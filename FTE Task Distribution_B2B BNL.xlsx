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rtibha.p\Downloads\"/>
    </mc:Choice>
  </mc:AlternateContent>
  <xr:revisionPtr revIDLastSave="0" documentId="8_{36873AAD-1A80-41E4-A6AE-AEC2CA3F51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PFBF Metrics" sheetId="3" r:id="rId1"/>
    <sheet name="Inventory View" sheetId="4" r:id="rId2"/>
    <sheet name="Central RCA" sheetId="5" r:id="rId3"/>
    <sheet name="June IBOB" sheetId="6" r:id="rId4"/>
    <sheet name="May IBOB" sheetId="7" state="hidden" r:id="rId5"/>
    <sheet name="&gt;7 days pendency RCA" sheetId="8" r:id="rId6"/>
    <sheet name="IBOB April " sheetId="9" state="hidden" r:id="rId7"/>
    <sheet name="March IBOB Boxes" sheetId="10" state="hidden" r:id="rId8"/>
    <sheet name="Grid plan sheet" sheetId="11" r:id="rId9"/>
    <sheet name="GGN Attainment" sheetId="12" r:id="rId10"/>
    <sheet name="GGN grid view " sheetId="13" r:id="rId11"/>
  </sheets>
  <definedNames>
    <definedName name="_xlnm._FilterDatabase" localSheetId="10" hidden="1">'GGN grid view '!$A$6661:$X$7050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0" i="12" l="1"/>
  <c r="H1000" i="12"/>
  <c r="G1000" i="12"/>
  <c r="I999" i="12"/>
  <c r="H999" i="12"/>
  <c r="G999" i="12"/>
  <c r="I998" i="12"/>
  <c r="H998" i="12"/>
  <c r="G998" i="12"/>
  <c r="I997" i="12"/>
  <c r="H997" i="12"/>
  <c r="G997" i="12"/>
  <c r="I996" i="12"/>
  <c r="H996" i="12"/>
  <c r="G996" i="12"/>
  <c r="I995" i="12"/>
  <c r="H995" i="12"/>
  <c r="G995" i="12"/>
  <c r="I994" i="12"/>
  <c r="H994" i="12"/>
  <c r="G994" i="12"/>
  <c r="I993" i="12"/>
  <c r="H993" i="12"/>
  <c r="G993" i="12"/>
  <c r="I992" i="12"/>
  <c r="H992" i="12"/>
  <c r="G992" i="12"/>
  <c r="I991" i="12"/>
  <c r="H991" i="12"/>
  <c r="G991" i="12"/>
  <c r="I990" i="12"/>
  <c r="H990" i="12"/>
  <c r="G990" i="12"/>
  <c r="I989" i="12"/>
  <c r="H989" i="12"/>
  <c r="G989" i="12"/>
  <c r="I988" i="12"/>
  <c r="H988" i="12"/>
  <c r="G988" i="12"/>
  <c r="I987" i="12"/>
  <c r="H987" i="12"/>
  <c r="G987" i="12"/>
  <c r="I986" i="12"/>
  <c r="H986" i="12"/>
  <c r="G986" i="12"/>
  <c r="I985" i="12"/>
  <c r="H985" i="12"/>
  <c r="G985" i="12"/>
  <c r="I984" i="12"/>
  <c r="H984" i="12"/>
  <c r="G984" i="12"/>
  <c r="I983" i="12"/>
  <c r="H983" i="12"/>
  <c r="G983" i="12"/>
  <c r="I982" i="12"/>
  <c r="H982" i="12"/>
  <c r="G982" i="12"/>
  <c r="I981" i="12"/>
  <c r="H981" i="12"/>
  <c r="G981" i="12"/>
  <c r="I980" i="12"/>
  <c r="H980" i="12"/>
  <c r="G980" i="12"/>
  <c r="I979" i="12"/>
  <c r="H979" i="12"/>
  <c r="G979" i="12"/>
  <c r="I978" i="12"/>
  <c r="H978" i="12"/>
  <c r="G978" i="12"/>
  <c r="I977" i="12"/>
  <c r="H977" i="12"/>
  <c r="G977" i="12"/>
  <c r="I976" i="12"/>
  <c r="H976" i="12"/>
  <c r="G976" i="12"/>
  <c r="I975" i="12"/>
  <c r="H975" i="12"/>
  <c r="G975" i="12"/>
  <c r="I974" i="12"/>
  <c r="H974" i="12"/>
  <c r="G974" i="12"/>
  <c r="I973" i="12"/>
  <c r="H973" i="12"/>
  <c r="G973" i="12"/>
  <c r="I972" i="12"/>
  <c r="H972" i="12"/>
  <c r="G972" i="12"/>
  <c r="I971" i="12"/>
  <c r="H971" i="12"/>
  <c r="G971" i="12"/>
  <c r="I970" i="12"/>
  <c r="H970" i="12"/>
  <c r="G970" i="12"/>
  <c r="I969" i="12"/>
  <c r="H969" i="12"/>
  <c r="G969" i="12"/>
  <c r="I968" i="12"/>
  <c r="H968" i="12"/>
  <c r="G968" i="12"/>
  <c r="I967" i="12"/>
  <c r="H967" i="12"/>
  <c r="G967" i="12"/>
  <c r="I966" i="12"/>
  <c r="H966" i="12"/>
  <c r="G966" i="12"/>
  <c r="I965" i="12"/>
  <c r="H965" i="12"/>
  <c r="G965" i="12"/>
  <c r="I964" i="12"/>
  <c r="H964" i="12"/>
  <c r="G964" i="12"/>
  <c r="I963" i="12"/>
  <c r="H963" i="12"/>
  <c r="G963" i="12"/>
  <c r="I962" i="12"/>
  <c r="H962" i="12"/>
  <c r="G962" i="12"/>
  <c r="I961" i="12"/>
  <c r="H961" i="12"/>
  <c r="G961" i="12"/>
  <c r="I960" i="12"/>
  <c r="H960" i="12"/>
  <c r="G960" i="12"/>
  <c r="I959" i="12"/>
  <c r="H959" i="12"/>
  <c r="G959" i="12"/>
  <c r="I958" i="12"/>
  <c r="H958" i="12"/>
  <c r="G958" i="12"/>
  <c r="I957" i="12"/>
  <c r="H957" i="12"/>
  <c r="G957" i="12"/>
  <c r="I956" i="12"/>
  <c r="H956" i="12"/>
  <c r="G956" i="12"/>
  <c r="I955" i="12"/>
  <c r="H955" i="12"/>
  <c r="G955" i="12"/>
  <c r="I954" i="12"/>
  <c r="H954" i="12"/>
  <c r="G954" i="12"/>
  <c r="I953" i="12"/>
  <c r="H953" i="12"/>
  <c r="G953" i="12"/>
  <c r="I952" i="12"/>
  <c r="H952" i="12"/>
  <c r="G952" i="12"/>
  <c r="I951" i="12"/>
  <c r="H951" i="12"/>
  <c r="G951" i="12"/>
  <c r="I950" i="12"/>
  <c r="H950" i="12"/>
  <c r="G950" i="12"/>
  <c r="I949" i="12"/>
  <c r="H949" i="12"/>
  <c r="G949" i="12"/>
  <c r="I948" i="12"/>
  <c r="H948" i="12"/>
  <c r="G948" i="12"/>
  <c r="I947" i="12"/>
  <c r="H947" i="12"/>
  <c r="G947" i="12"/>
  <c r="I946" i="12"/>
  <c r="H946" i="12"/>
  <c r="G946" i="12"/>
  <c r="I945" i="12"/>
  <c r="H945" i="12"/>
  <c r="G945" i="12"/>
  <c r="I944" i="12"/>
  <c r="H944" i="12"/>
  <c r="G944" i="12"/>
  <c r="I943" i="12"/>
  <c r="H943" i="12"/>
  <c r="G943" i="12"/>
  <c r="I942" i="12"/>
  <c r="H942" i="12"/>
  <c r="G942" i="12"/>
  <c r="I941" i="12"/>
  <c r="H941" i="12"/>
  <c r="G941" i="12"/>
  <c r="I940" i="12"/>
  <c r="H940" i="12"/>
  <c r="G940" i="12"/>
  <c r="I939" i="12"/>
  <c r="H939" i="12"/>
  <c r="G939" i="12"/>
  <c r="I938" i="12"/>
  <c r="H938" i="12"/>
  <c r="G938" i="12"/>
  <c r="I937" i="12"/>
  <c r="H937" i="12"/>
  <c r="G937" i="12"/>
  <c r="I936" i="12"/>
  <c r="H936" i="12"/>
  <c r="G936" i="12"/>
  <c r="I935" i="12"/>
  <c r="H935" i="12"/>
  <c r="G935" i="12"/>
  <c r="I934" i="12"/>
  <c r="H934" i="12"/>
  <c r="G934" i="12"/>
  <c r="I933" i="12"/>
  <c r="H933" i="12"/>
  <c r="G933" i="12"/>
  <c r="I932" i="12"/>
  <c r="H932" i="12"/>
  <c r="G932" i="12"/>
  <c r="I931" i="12"/>
  <c r="H931" i="12"/>
  <c r="G931" i="12"/>
  <c r="I930" i="12"/>
  <c r="H930" i="12"/>
  <c r="G930" i="12"/>
  <c r="I929" i="12"/>
  <c r="H929" i="12"/>
  <c r="G929" i="12"/>
  <c r="I928" i="12"/>
  <c r="H928" i="12"/>
  <c r="G928" i="12"/>
  <c r="I927" i="12"/>
  <c r="H927" i="12"/>
  <c r="G927" i="12"/>
  <c r="I926" i="12"/>
  <c r="H926" i="12"/>
  <c r="G926" i="12"/>
  <c r="I925" i="12"/>
  <c r="H925" i="12"/>
  <c r="G925" i="12"/>
  <c r="I924" i="12"/>
  <c r="H924" i="12"/>
  <c r="G924" i="12"/>
  <c r="I923" i="12"/>
  <c r="H923" i="12"/>
  <c r="G923" i="12"/>
  <c r="I922" i="12"/>
  <c r="H922" i="12"/>
  <c r="G922" i="12"/>
  <c r="I921" i="12"/>
  <c r="H921" i="12"/>
  <c r="G921" i="12"/>
  <c r="I920" i="12"/>
  <c r="H920" i="12"/>
  <c r="G920" i="12"/>
  <c r="I919" i="12"/>
  <c r="H919" i="12"/>
  <c r="G919" i="12"/>
  <c r="I918" i="12"/>
  <c r="H918" i="12"/>
  <c r="G918" i="12"/>
  <c r="I917" i="12"/>
  <c r="H917" i="12"/>
  <c r="G917" i="12"/>
  <c r="I916" i="12"/>
  <c r="H916" i="12"/>
  <c r="G916" i="12"/>
  <c r="I915" i="12"/>
  <c r="H915" i="12"/>
  <c r="G915" i="12"/>
  <c r="I914" i="12"/>
  <c r="H914" i="12"/>
  <c r="G914" i="12"/>
  <c r="I913" i="12"/>
  <c r="H913" i="12"/>
  <c r="G913" i="12"/>
  <c r="I912" i="12"/>
  <c r="H912" i="12"/>
  <c r="G912" i="12"/>
  <c r="I911" i="12"/>
  <c r="H911" i="12"/>
  <c r="G911" i="12"/>
  <c r="I910" i="12"/>
  <c r="H910" i="12"/>
  <c r="G910" i="12"/>
  <c r="I909" i="12"/>
  <c r="H909" i="12"/>
  <c r="G909" i="12"/>
  <c r="I908" i="12"/>
  <c r="H908" i="12"/>
  <c r="G908" i="12"/>
  <c r="I907" i="12"/>
  <c r="H907" i="12"/>
  <c r="G907" i="12"/>
  <c r="I906" i="12"/>
  <c r="H906" i="12"/>
  <c r="G906" i="12"/>
  <c r="I905" i="12"/>
  <c r="H905" i="12"/>
  <c r="G905" i="12"/>
  <c r="I904" i="12"/>
  <c r="H904" i="12"/>
  <c r="G904" i="12"/>
  <c r="I903" i="12"/>
  <c r="H903" i="12"/>
  <c r="G903" i="12"/>
  <c r="I902" i="12"/>
  <c r="H902" i="12"/>
  <c r="G902" i="12"/>
  <c r="I901" i="12"/>
  <c r="H901" i="12"/>
  <c r="G901" i="12"/>
  <c r="I900" i="12"/>
  <c r="H900" i="12"/>
  <c r="G900" i="12"/>
  <c r="I899" i="12"/>
  <c r="H899" i="12"/>
  <c r="G899" i="12"/>
  <c r="I898" i="12"/>
  <c r="H898" i="12"/>
  <c r="G898" i="12"/>
  <c r="I897" i="12"/>
  <c r="H897" i="12"/>
  <c r="G897" i="12"/>
  <c r="I896" i="12"/>
  <c r="H896" i="12"/>
  <c r="G896" i="12"/>
  <c r="I895" i="12"/>
  <c r="H895" i="12"/>
  <c r="G895" i="12"/>
  <c r="I894" i="12"/>
  <c r="H894" i="12"/>
  <c r="G894" i="12"/>
  <c r="I893" i="12"/>
  <c r="H893" i="12"/>
  <c r="G893" i="12"/>
  <c r="I892" i="12"/>
  <c r="H892" i="12"/>
  <c r="G892" i="12"/>
  <c r="I891" i="12"/>
  <c r="H891" i="12"/>
  <c r="G891" i="12"/>
  <c r="I890" i="12"/>
  <c r="H890" i="12"/>
  <c r="G890" i="12"/>
  <c r="I889" i="12"/>
  <c r="H889" i="12"/>
  <c r="G889" i="12"/>
  <c r="I888" i="12"/>
  <c r="H888" i="12"/>
  <c r="G888" i="12"/>
  <c r="I887" i="12"/>
  <c r="H887" i="12"/>
  <c r="G887" i="12"/>
  <c r="I886" i="12"/>
  <c r="H886" i="12"/>
  <c r="G886" i="12"/>
  <c r="I885" i="12"/>
  <c r="H885" i="12"/>
  <c r="G885" i="12"/>
  <c r="I884" i="12"/>
  <c r="H884" i="12"/>
  <c r="G884" i="12"/>
  <c r="I883" i="12"/>
  <c r="H883" i="12"/>
  <c r="G883" i="12"/>
  <c r="I882" i="12"/>
  <c r="H882" i="12"/>
  <c r="G882" i="12"/>
  <c r="I881" i="12"/>
  <c r="H881" i="12"/>
  <c r="G881" i="12"/>
  <c r="I880" i="12"/>
  <c r="H880" i="12"/>
  <c r="G880" i="12"/>
  <c r="I879" i="12"/>
  <c r="H879" i="12"/>
  <c r="G879" i="12"/>
  <c r="I878" i="12"/>
  <c r="H878" i="12"/>
  <c r="G878" i="12"/>
  <c r="I877" i="12"/>
  <c r="H877" i="12"/>
  <c r="G877" i="12"/>
  <c r="I876" i="12"/>
  <c r="H876" i="12"/>
  <c r="G876" i="12"/>
  <c r="I875" i="12"/>
  <c r="H875" i="12"/>
  <c r="G875" i="12"/>
  <c r="I874" i="12"/>
  <c r="H874" i="12"/>
  <c r="G874" i="12"/>
  <c r="I873" i="12"/>
  <c r="H873" i="12"/>
  <c r="G873" i="12"/>
  <c r="I872" i="12"/>
  <c r="H872" i="12"/>
  <c r="G872" i="12"/>
  <c r="I871" i="12"/>
  <c r="H871" i="12"/>
  <c r="G871" i="12"/>
  <c r="I870" i="12"/>
  <c r="H870" i="12"/>
  <c r="G870" i="12"/>
  <c r="I869" i="12"/>
  <c r="H869" i="12"/>
  <c r="G869" i="12"/>
  <c r="I868" i="12"/>
  <c r="H868" i="12"/>
  <c r="G868" i="12"/>
  <c r="I867" i="12"/>
  <c r="H867" i="12"/>
  <c r="G867" i="12"/>
  <c r="I866" i="12"/>
  <c r="H866" i="12"/>
  <c r="G866" i="12"/>
  <c r="I865" i="12"/>
  <c r="H865" i="12"/>
  <c r="G865" i="12"/>
  <c r="I864" i="12"/>
  <c r="H864" i="12"/>
  <c r="G864" i="12"/>
  <c r="I863" i="12"/>
  <c r="H863" i="12"/>
  <c r="G863" i="12"/>
  <c r="I862" i="12"/>
  <c r="H862" i="12"/>
  <c r="G862" i="12"/>
  <c r="I861" i="12"/>
  <c r="H861" i="12"/>
  <c r="G861" i="12"/>
  <c r="I860" i="12"/>
  <c r="H860" i="12"/>
  <c r="G860" i="12"/>
  <c r="I859" i="12"/>
  <c r="H859" i="12"/>
  <c r="G859" i="12"/>
  <c r="I858" i="12"/>
  <c r="H858" i="12"/>
  <c r="G858" i="12"/>
  <c r="I857" i="12"/>
  <c r="H857" i="12"/>
  <c r="G857" i="12"/>
  <c r="I856" i="12"/>
  <c r="H856" i="12"/>
  <c r="G856" i="12"/>
  <c r="I855" i="12"/>
  <c r="H855" i="12"/>
  <c r="G855" i="12"/>
  <c r="I854" i="12"/>
  <c r="H854" i="12"/>
  <c r="G854" i="12"/>
  <c r="I853" i="12"/>
  <c r="H853" i="12"/>
  <c r="G853" i="12"/>
  <c r="I852" i="12"/>
  <c r="H852" i="12"/>
  <c r="G852" i="12"/>
  <c r="I851" i="12"/>
  <c r="H851" i="12"/>
  <c r="G851" i="12"/>
  <c r="I850" i="12"/>
  <c r="H850" i="12"/>
  <c r="G850" i="12"/>
  <c r="I849" i="12"/>
  <c r="H849" i="12"/>
  <c r="G849" i="12"/>
  <c r="I848" i="12"/>
  <c r="H848" i="12"/>
  <c r="G848" i="12"/>
  <c r="I847" i="12"/>
  <c r="H847" i="12"/>
  <c r="G847" i="12"/>
  <c r="I846" i="12"/>
  <c r="H846" i="12"/>
  <c r="G846" i="12"/>
  <c r="I845" i="12"/>
  <c r="H845" i="12"/>
  <c r="G845" i="12"/>
  <c r="I844" i="12"/>
  <c r="H844" i="12"/>
  <c r="G844" i="12"/>
  <c r="I843" i="12"/>
  <c r="H843" i="12"/>
  <c r="G843" i="12"/>
  <c r="I842" i="12"/>
  <c r="H842" i="12"/>
  <c r="G842" i="12"/>
  <c r="I841" i="12"/>
  <c r="H841" i="12"/>
  <c r="G841" i="12"/>
  <c r="I840" i="12"/>
  <c r="H840" i="12"/>
  <c r="G840" i="12"/>
  <c r="I839" i="12"/>
  <c r="H839" i="12"/>
  <c r="G839" i="12"/>
  <c r="I838" i="12"/>
  <c r="H838" i="12"/>
  <c r="G838" i="12"/>
  <c r="I837" i="12"/>
  <c r="H837" i="12"/>
  <c r="G837" i="12"/>
  <c r="I836" i="12"/>
  <c r="H836" i="12"/>
  <c r="G836" i="12"/>
  <c r="I835" i="12"/>
  <c r="H835" i="12"/>
  <c r="G835" i="12"/>
  <c r="I834" i="12"/>
  <c r="H834" i="12"/>
  <c r="G834" i="12"/>
  <c r="I833" i="12"/>
  <c r="H833" i="12"/>
  <c r="G833" i="12"/>
  <c r="I832" i="12"/>
  <c r="H832" i="12"/>
  <c r="G832" i="12"/>
  <c r="I831" i="12"/>
  <c r="H831" i="12"/>
  <c r="G831" i="12"/>
  <c r="I830" i="12"/>
  <c r="H830" i="12"/>
  <c r="G830" i="12"/>
  <c r="I829" i="12"/>
  <c r="H829" i="12"/>
  <c r="G829" i="12"/>
  <c r="I828" i="12"/>
  <c r="H828" i="12"/>
  <c r="G828" i="12"/>
  <c r="I827" i="12"/>
  <c r="H827" i="12"/>
  <c r="G827" i="12"/>
  <c r="I826" i="12"/>
  <c r="H826" i="12"/>
  <c r="G826" i="12"/>
  <c r="I825" i="12"/>
  <c r="H825" i="12"/>
  <c r="G825" i="12"/>
  <c r="I824" i="12"/>
  <c r="H824" i="12"/>
  <c r="G824" i="12"/>
  <c r="I823" i="12"/>
  <c r="H823" i="12"/>
  <c r="G823" i="12"/>
  <c r="I822" i="12"/>
  <c r="H822" i="12"/>
  <c r="G822" i="12"/>
  <c r="I821" i="12"/>
  <c r="H821" i="12"/>
  <c r="G821" i="12"/>
  <c r="I820" i="12"/>
  <c r="H820" i="12"/>
  <c r="G820" i="12"/>
  <c r="I819" i="12"/>
  <c r="H819" i="12"/>
  <c r="G819" i="12"/>
  <c r="I818" i="12"/>
  <c r="H818" i="12"/>
  <c r="G818" i="12"/>
  <c r="I817" i="12"/>
  <c r="H817" i="12"/>
  <c r="G817" i="12"/>
  <c r="I816" i="12"/>
  <c r="H816" i="12"/>
  <c r="G816" i="12"/>
  <c r="I815" i="12"/>
  <c r="H815" i="12"/>
  <c r="G815" i="12"/>
  <c r="I814" i="12"/>
  <c r="H814" i="12"/>
  <c r="G814" i="12"/>
  <c r="I813" i="12"/>
  <c r="H813" i="12"/>
  <c r="G813" i="12"/>
  <c r="I812" i="12"/>
  <c r="H812" i="12"/>
  <c r="G812" i="12"/>
  <c r="I811" i="12"/>
  <c r="H811" i="12"/>
  <c r="G811" i="12"/>
  <c r="I810" i="12"/>
  <c r="H810" i="12"/>
  <c r="G810" i="12"/>
  <c r="I809" i="12"/>
  <c r="H809" i="12"/>
  <c r="G809" i="12"/>
  <c r="I808" i="12"/>
  <c r="H808" i="12"/>
  <c r="G808" i="12"/>
  <c r="I807" i="12"/>
  <c r="H807" i="12"/>
  <c r="G807" i="12"/>
  <c r="I806" i="12"/>
  <c r="H806" i="12"/>
  <c r="G806" i="12"/>
  <c r="I805" i="12"/>
  <c r="H805" i="12"/>
  <c r="G805" i="12"/>
  <c r="I804" i="12"/>
  <c r="H804" i="12"/>
  <c r="G804" i="12"/>
  <c r="I803" i="12"/>
  <c r="H803" i="12"/>
  <c r="G803" i="12"/>
  <c r="I802" i="12"/>
  <c r="H802" i="12"/>
  <c r="G802" i="12"/>
  <c r="I801" i="12"/>
  <c r="H801" i="12"/>
  <c r="G801" i="12"/>
  <c r="I800" i="12"/>
  <c r="H800" i="12"/>
  <c r="G800" i="12"/>
  <c r="I799" i="12"/>
  <c r="H799" i="12"/>
  <c r="G799" i="12"/>
  <c r="I798" i="12"/>
  <c r="H798" i="12"/>
  <c r="G798" i="12"/>
  <c r="I797" i="12"/>
  <c r="H797" i="12"/>
  <c r="G797" i="12"/>
  <c r="I796" i="12"/>
  <c r="H796" i="12"/>
  <c r="G796" i="12"/>
  <c r="I795" i="12"/>
  <c r="H795" i="12"/>
  <c r="G795" i="12"/>
  <c r="I794" i="12"/>
  <c r="H794" i="12"/>
  <c r="G794" i="12"/>
  <c r="I793" i="12"/>
  <c r="H793" i="12"/>
  <c r="G793" i="12"/>
  <c r="I792" i="12"/>
  <c r="H792" i="12"/>
  <c r="G792" i="12"/>
  <c r="I791" i="12"/>
  <c r="H791" i="12"/>
  <c r="G791" i="12"/>
  <c r="I790" i="12"/>
  <c r="H790" i="12"/>
  <c r="G790" i="12"/>
  <c r="I789" i="12"/>
  <c r="H789" i="12"/>
  <c r="G789" i="12"/>
  <c r="I788" i="12"/>
  <c r="H788" i="12"/>
  <c r="G788" i="12"/>
  <c r="I787" i="12"/>
  <c r="H787" i="12"/>
  <c r="G787" i="12"/>
  <c r="I786" i="12"/>
  <c r="H786" i="12"/>
  <c r="G786" i="12"/>
  <c r="I785" i="12"/>
  <c r="H785" i="12"/>
  <c r="G785" i="12"/>
  <c r="I784" i="12"/>
  <c r="H784" i="12"/>
  <c r="G784" i="12"/>
  <c r="I783" i="12"/>
  <c r="H783" i="12"/>
  <c r="G783" i="12"/>
  <c r="I782" i="12"/>
  <c r="H782" i="12"/>
  <c r="G782" i="12"/>
  <c r="I781" i="12"/>
  <c r="H781" i="12"/>
  <c r="G781" i="12"/>
  <c r="I780" i="12"/>
  <c r="H780" i="12"/>
  <c r="G780" i="12"/>
  <c r="I779" i="12"/>
  <c r="H779" i="12"/>
  <c r="G779" i="12"/>
  <c r="I778" i="12"/>
  <c r="H778" i="12"/>
  <c r="G778" i="12"/>
  <c r="I777" i="12"/>
  <c r="H777" i="12"/>
  <c r="G777" i="12"/>
  <c r="I776" i="12"/>
  <c r="H776" i="12"/>
  <c r="G776" i="12"/>
  <c r="I775" i="12"/>
  <c r="H775" i="12"/>
  <c r="G775" i="12"/>
  <c r="I774" i="12"/>
  <c r="H774" i="12"/>
  <c r="G774" i="12"/>
  <c r="I773" i="12"/>
  <c r="H773" i="12"/>
  <c r="G773" i="12"/>
  <c r="I772" i="12"/>
  <c r="H772" i="12"/>
  <c r="G772" i="12"/>
  <c r="I771" i="12"/>
  <c r="H771" i="12"/>
  <c r="G771" i="12"/>
  <c r="I770" i="12"/>
  <c r="H770" i="12"/>
  <c r="G770" i="12"/>
  <c r="I769" i="12"/>
  <c r="H769" i="12"/>
  <c r="G769" i="12"/>
  <c r="I768" i="12"/>
  <c r="H768" i="12"/>
  <c r="G768" i="12"/>
  <c r="I767" i="12"/>
  <c r="H767" i="12"/>
  <c r="G767" i="12"/>
  <c r="I766" i="12"/>
  <c r="H766" i="12"/>
  <c r="G766" i="12"/>
  <c r="I765" i="12"/>
  <c r="H765" i="12"/>
  <c r="G765" i="12"/>
  <c r="I764" i="12"/>
  <c r="H764" i="12"/>
  <c r="G764" i="12"/>
  <c r="I763" i="12"/>
  <c r="H763" i="12"/>
  <c r="G763" i="12"/>
  <c r="I762" i="12"/>
  <c r="H762" i="12"/>
  <c r="G762" i="12"/>
  <c r="I761" i="12"/>
  <c r="H761" i="12"/>
  <c r="G761" i="12"/>
  <c r="I760" i="12"/>
  <c r="H760" i="12"/>
  <c r="G760" i="12"/>
  <c r="I759" i="12"/>
  <c r="H759" i="12"/>
  <c r="G759" i="12"/>
  <c r="I758" i="12"/>
  <c r="H758" i="12"/>
  <c r="G758" i="12"/>
  <c r="I757" i="12"/>
  <c r="H757" i="12"/>
  <c r="G757" i="12"/>
  <c r="I756" i="12"/>
  <c r="H756" i="12"/>
  <c r="G756" i="12"/>
  <c r="I755" i="12"/>
  <c r="H755" i="12"/>
  <c r="G755" i="12"/>
  <c r="I754" i="12"/>
  <c r="H754" i="12"/>
  <c r="G754" i="12"/>
  <c r="I753" i="12"/>
  <c r="H753" i="12"/>
  <c r="G753" i="12"/>
  <c r="I752" i="12"/>
  <c r="H752" i="12"/>
  <c r="G752" i="12"/>
  <c r="I751" i="12"/>
  <c r="H751" i="12"/>
  <c r="G751" i="12"/>
  <c r="I750" i="12"/>
  <c r="H750" i="12"/>
  <c r="G750" i="12"/>
  <c r="I749" i="12"/>
  <c r="H749" i="12"/>
  <c r="G749" i="12"/>
  <c r="I748" i="12"/>
  <c r="H748" i="12"/>
  <c r="G748" i="12"/>
  <c r="I747" i="12"/>
  <c r="H747" i="12"/>
  <c r="G747" i="12"/>
  <c r="I746" i="12"/>
  <c r="H746" i="12"/>
  <c r="G746" i="12"/>
  <c r="I745" i="12"/>
  <c r="H745" i="12"/>
  <c r="G745" i="12"/>
  <c r="I744" i="12"/>
  <c r="H744" i="12"/>
  <c r="G744" i="12"/>
  <c r="I743" i="12"/>
  <c r="H743" i="12"/>
  <c r="G743" i="12"/>
  <c r="I742" i="12"/>
  <c r="H742" i="12"/>
  <c r="G742" i="12"/>
  <c r="I741" i="12"/>
  <c r="H741" i="12"/>
  <c r="G741" i="12"/>
  <c r="I740" i="12"/>
  <c r="H740" i="12"/>
  <c r="G740" i="12"/>
  <c r="I739" i="12"/>
  <c r="H739" i="12"/>
  <c r="G739" i="12"/>
  <c r="I738" i="12"/>
  <c r="H738" i="12"/>
  <c r="G738" i="12"/>
  <c r="I737" i="12"/>
  <c r="H737" i="12"/>
  <c r="G737" i="12"/>
  <c r="I736" i="12"/>
  <c r="H736" i="12"/>
  <c r="G736" i="12"/>
  <c r="I735" i="12"/>
  <c r="H735" i="12"/>
  <c r="G735" i="12"/>
  <c r="I734" i="12"/>
  <c r="H734" i="12"/>
  <c r="G734" i="12"/>
  <c r="I733" i="12"/>
  <c r="H733" i="12"/>
  <c r="G733" i="12"/>
  <c r="I732" i="12"/>
  <c r="H732" i="12"/>
  <c r="G732" i="12"/>
  <c r="I731" i="12"/>
  <c r="H731" i="12"/>
  <c r="G731" i="12"/>
  <c r="I730" i="12"/>
  <c r="H730" i="12"/>
  <c r="G730" i="12"/>
  <c r="I729" i="12"/>
  <c r="H729" i="12"/>
  <c r="G729" i="12"/>
  <c r="I728" i="12"/>
  <c r="H728" i="12"/>
  <c r="G728" i="12"/>
  <c r="I727" i="12"/>
  <c r="H727" i="12"/>
  <c r="G727" i="12"/>
  <c r="I726" i="12"/>
  <c r="H726" i="12"/>
  <c r="G726" i="12"/>
  <c r="I725" i="12"/>
  <c r="H725" i="12"/>
  <c r="G725" i="12"/>
  <c r="I724" i="12"/>
  <c r="H724" i="12"/>
  <c r="G724" i="12"/>
  <c r="I723" i="12"/>
  <c r="H723" i="12"/>
  <c r="G723" i="12"/>
  <c r="I722" i="12"/>
  <c r="H722" i="12"/>
  <c r="G722" i="12"/>
  <c r="I721" i="12"/>
  <c r="H721" i="12"/>
  <c r="G721" i="12"/>
  <c r="I720" i="12"/>
  <c r="H720" i="12"/>
  <c r="G720" i="12"/>
  <c r="I719" i="12"/>
  <c r="H719" i="12"/>
  <c r="G719" i="12"/>
  <c r="I718" i="12"/>
  <c r="H718" i="12"/>
  <c r="G718" i="12"/>
  <c r="I717" i="12"/>
  <c r="H717" i="12"/>
  <c r="G717" i="12"/>
  <c r="I716" i="12"/>
  <c r="H716" i="12"/>
  <c r="G716" i="12"/>
  <c r="I715" i="12"/>
  <c r="H715" i="12"/>
  <c r="G715" i="12"/>
  <c r="I714" i="12"/>
  <c r="H714" i="12"/>
  <c r="G714" i="12"/>
  <c r="I713" i="12"/>
  <c r="H713" i="12"/>
  <c r="G713" i="12"/>
  <c r="I712" i="12"/>
  <c r="H712" i="12"/>
  <c r="G712" i="12"/>
  <c r="I711" i="12"/>
  <c r="H711" i="12"/>
  <c r="G711" i="12"/>
  <c r="I710" i="12"/>
  <c r="H710" i="12"/>
  <c r="G710" i="12"/>
  <c r="I709" i="12"/>
  <c r="H709" i="12"/>
  <c r="G709" i="12"/>
  <c r="I708" i="12"/>
  <c r="H708" i="12"/>
  <c r="G708" i="12"/>
  <c r="I707" i="12"/>
  <c r="H707" i="12"/>
  <c r="G707" i="12"/>
  <c r="I706" i="12"/>
  <c r="H706" i="12"/>
  <c r="G706" i="12"/>
  <c r="I705" i="12"/>
  <c r="H705" i="12"/>
  <c r="G705" i="12"/>
  <c r="I704" i="12"/>
  <c r="H704" i="12"/>
  <c r="G704" i="12"/>
  <c r="I703" i="12"/>
  <c r="H703" i="12"/>
  <c r="G703" i="12"/>
  <c r="I702" i="12"/>
  <c r="H702" i="12"/>
  <c r="G702" i="12"/>
  <c r="I701" i="12"/>
  <c r="H701" i="12"/>
  <c r="G701" i="12"/>
  <c r="I700" i="12"/>
  <c r="H700" i="12"/>
  <c r="G700" i="12"/>
  <c r="I699" i="12"/>
  <c r="H699" i="12"/>
  <c r="G699" i="12"/>
  <c r="I698" i="12"/>
  <c r="H698" i="12"/>
  <c r="G698" i="12"/>
  <c r="I697" i="12"/>
  <c r="H697" i="12"/>
  <c r="G697" i="12"/>
  <c r="I696" i="12"/>
  <c r="H696" i="12"/>
  <c r="G696" i="12"/>
  <c r="I695" i="12"/>
  <c r="H695" i="12"/>
  <c r="G695" i="12"/>
  <c r="I694" i="12"/>
  <c r="H694" i="12"/>
  <c r="G694" i="12"/>
  <c r="I693" i="12"/>
  <c r="H693" i="12"/>
  <c r="G693" i="12"/>
  <c r="I692" i="12"/>
  <c r="H692" i="12"/>
  <c r="G692" i="12"/>
  <c r="I691" i="12"/>
  <c r="H691" i="12"/>
  <c r="G691" i="12"/>
  <c r="I690" i="12"/>
  <c r="H690" i="12"/>
  <c r="G690" i="12"/>
  <c r="I689" i="12"/>
  <c r="H689" i="12"/>
  <c r="G689" i="12"/>
  <c r="I688" i="12"/>
  <c r="H688" i="12"/>
  <c r="G688" i="12"/>
  <c r="I687" i="12"/>
  <c r="H687" i="12"/>
  <c r="G687" i="12"/>
  <c r="I686" i="12"/>
  <c r="H686" i="12"/>
  <c r="G686" i="12"/>
  <c r="I685" i="12"/>
  <c r="H685" i="12"/>
  <c r="G685" i="12"/>
  <c r="I684" i="12"/>
  <c r="H684" i="12"/>
  <c r="G684" i="12"/>
  <c r="I683" i="12"/>
  <c r="H683" i="12"/>
  <c r="G683" i="12"/>
  <c r="I682" i="12"/>
  <c r="H682" i="12"/>
  <c r="G682" i="12"/>
  <c r="I681" i="12"/>
  <c r="H681" i="12"/>
  <c r="G681" i="12"/>
  <c r="I680" i="12"/>
  <c r="H680" i="12"/>
  <c r="G680" i="12"/>
  <c r="I679" i="12"/>
  <c r="H679" i="12"/>
  <c r="G679" i="12"/>
  <c r="I678" i="12"/>
  <c r="H678" i="12"/>
  <c r="G678" i="12"/>
  <c r="I677" i="12"/>
  <c r="H677" i="12"/>
  <c r="G677" i="12"/>
  <c r="I676" i="12"/>
  <c r="H676" i="12"/>
  <c r="G676" i="12"/>
  <c r="I675" i="12"/>
  <c r="H675" i="12"/>
  <c r="G675" i="12"/>
  <c r="I674" i="12"/>
  <c r="H674" i="12"/>
  <c r="G674" i="12"/>
  <c r="I673" i="12"/>
  <c r="H673" i="12"/>
  <c r="G673" i="12"/>
  <c r="I672" i="12"/>
  <c r="H672" i="12"/>
  <c r="G672" i="12"/>
  <c r="I671" i="12"/>
  <c r="H671" i="12"/>
  <c r="G671" i="12"/>
  <c r="I670" i="12"/>
  <c r="H670" i="12"/>
  <c r="G670" i="12"/>
  <c r="I669" i="12"/>
  <c r="H669" i="12"/>
  <c r="G669" i="12"/>
  <c r="I668" i="12"/>
  <c r="H668" i="12"/>
  <c r="G668" i="12"/>
  <c r="I667" i="12"/>
  <c r="H667" i="12"/>
  <c r="G667" i="12"/>
  <c r="I666" i="12"/>
  <c r="H666" i="12"/>
  <c r="G666" i="12"/>
  <c r="I665" i="12"/>
  <c r="H665" i="12"/>
  <c r="G665" i="12"/>
  <c r="I664" i="12"/>
  <c r="H664" i="12"/>
  <c r="G664" i="12"/>
  <c r="I663" i="12"/>
  <c r="H663" i="12"/>
  <c r="G663" i="12"/>
  <c r="I662" i="12"/>
  <c r="H662" i="12"/>
  <c r="G662" i="12"/>
  <c r="I661" i="12"/>
  <c r="H661" i="12"/>
  <c r="G661" i="12"/>
  <c r="I660" i="12"/>
  <c r="H660" i="12"/>
  <c r="G660" i="12"/>
  <c r="I659" i="12"/>
  <c r="H659" i="12"/>
  <c r="G659" i="12"/>
  <c r="I658" i="12"/>
  <c r="H658" i="12"/>
  <c r="G658" i="12"/>
  <c r="I657" i="12"/>
  <c r="H657" i="12"/>
  <c r="G657" i="12"/>
  <c r="I656" i="12"/>
  <c r="H656" i="12"/>
  <c r="G656" i="12"/>
  <c r="I655" i="12"/>
  <c r="H655" i="12"/>
  <c r="G655" i="12"/>
  <c r="I654" i="12"/>
  <c r="H654" i="12"/>
  <c r="G654" i="12"/>
  <c r="I653" i="12"/>
  <c r="H653" i="12"/>
  <c r="G653" i="12"/>
  <c r="I652" i="12"/>
  <c r="H652" i="12"/>
  <c r="G652" i="12"/>
  <c r="I651" i="12"/>
  <c r="H651" i="12"/>
  <c r="G651" i="12"/>
  <c r="I650" i="12"/>
  <c r="H650" i="12"/>
  <c r="G650" i="12"/>
  <c r="I649" i="12"/>
  <c r="H649" i="12"/>
  <c r="G649" i="12"/>
  <c r="I648" i="12"/>
  <c r="H648" i="12"/>
  <c r="G648" i="12"/>
  <c r="I647" i="12"/>
  <c r="H647" i="12"/>
  <c r="G647" i="12"/>
  <c r="I646" i="12"/>
  <c r="H646" i="12"/>
  <c r="G646" i="12"/>
  <c r="I645" i="12"/>
  <c r="H645" i="12"/>
  <c r="G645" i="12"/>
  <c r="I644" i="12"/>
  <c r="H644" i="12"/>
  <c r="G644" i="12"/>
  <c r="I643" i="12"/>
  <c r="H643" i="12"/>
  <c r="G643" i="12"/>
  <c r="I642" i="12"/>
  <c r="H642" i="12"/>
  <c r="G642" i="12"/>
  <c r="I641" i="12"/>
  <c r="H641" i="12"/>
  <c r="G641" i="12"/>
  <c r="I640" i="12"/>
  <c r="H640" i="12"/>
  <c r="G640" i="12"/>
  <c r="I639" i="12"/>
  <c r="H639" i="12"/>
  <c r="G639" i="12"/>
  <c r="I638" i="12"/>
  <c r="H638" i="12"/>
  <c r="G638" i="12"/>
  <c r="I637" i="12"/>
  <c r="H637" i="12"/>
  <c r="G637" i="12"/>
  <c r="I636" i="12"/>
  <c r="H636" i="12"/>
  <c r="G636" i="12"/>
  <c r="I635" i="12"/>
  <c r="H635" i="12"/>
  <c r="G635" i="12"/>
  <c r="I634" i="12"/>
  <c r="H634" i="12"/>
  <c r="G634" i="12"/>
  <c r="I633" i="12"/>
  <c r="H633" i="12"/>
  <c r="G633" i="12"/>
  <c r="I632" i="12"/>
  <c r="H632" i="12"/>
  <c r="G632" i="12"/>
  <c r="I631" i="12"/>
  <c r="H631" i="12"/>
  <c r="G631" i="12"/>
  <c r="I630" i="12"/>
  <c r="H630" i="12"/>
  <c r="G630" i="12"/>
  <c r="I629" i="12"/>
  <c r="H629" i="12"/>
  <c r="G629" i="12"/>
  <c r="I628" i="12"/>
  <c r="H628" i="12"/>
  <c r="G628" i="12"/>
  <c r="I627" i="12"/>
  <c r="H627" i="12"/>
  <c r="G627" i="12"/>
  <c r="I626" i="12"/>
  <c r="H626" i="12"/>
  <c r="G626" i="12"/>
  <c r="I625" i="12"/>
  <c r="H625" i="12"/>
  <c r="G625" i="12"/>
  <c r="I624" i="12"/>
  <c r="H624" i="12"/>
  <c r="G624" i="12"/>
  <c r="I623" i="12"/>
  <c r="H623" i="12"/>
  <c r="G623" i="12"/>
  <c r="I622" i="12"/>
  <c r="H622" i="12"/>
  <c r="G622" i="12"/>
  <c r="I621" i="12"/>
  <c r="H621" i="12"/>
  <c r="G621" i="12"/>
  <c r="I620" i="12"/>
  <c r="H620" i="12"/>
  <c r="G620" i="12"/>
  <c r="I619" i="12"/>
  <c r="H619" i="12"/>
  <c r="G619" i="12"/>
  <c r="I618" i="12"/>
  <c r="H618" i="12"/>
  <c r="G618" i="12"/>
  <c r="I617" i="12"/>
  <c r="H617" i="12"/>
  <c r="G617" i="12"/>
  <c r="I616" i="12"/>
  <c r="H616" i="12"/>
  <c r="G616" i="12"/>
  <c r="I615" i="12"/>
  <c r="H615" i="12"/>
  <c r="G615" i="12"/>
  <c r="I614" i="12"/>
  <c r="H614" i="12"/>
  <c r="G614" i="12"/>
  <c r="I613" i="12"/>
  <c r="H613" i="12"/>
  <c r="G613" i="12"/>
  <c r="I612" i="12"/>
  <c r="H612" i="12"/>
  <c r="G612" i="12"/>
  <c r="I611" i="12"/>
  <c r="H611" i="12"/>
  <c r="G611" i="12"/>
  <c r="I610" i="12"/>
  <c r="H610" i="12"/>
  <c r="G610" i="12"/>
  <c r="I609" i="12"/>
  <c r="H609" i="12"/>
  <c r="G609" i="12"/>
  <c r="I608" i="12"/>
  <c r="H608" i="12"/>
  <c r="G608" i="12"/>
  <c r="I607" i="12"/>
  <c r="H607" i="12"/>
  <c r="G607" i="12"/>
  <c r="I606" i="12"/>
  <c r="H606" i="12"/>
  <c r="G606" i="12"/>
  <c r="I605" i="12"/>
  <c r="H605" i="12"/>
  <c r="G605" i="12"/>
  <c r="I604" i="12"/>
  <c r="H604" i="12"/>
  <c r="G604" i="12"/>
  <c r="I603" i="12"/>
  <c r="H603" i="12"/>
  <c r="G603" i="12"/>
  <c r="I602" i="12"/>
  <c r="H602" i="12"/>
  <c r="G602" i="12"/>
  <c r="I601" i="12"/>
  <c r="H601" i="12"/>
  <c r="G601" i="12"/>
  <c r="I600" i="12"/>
  <c r="H600" i="12"/>
  <c r="G600" i="12"/>
  <c r="I599" i="12"/>
  <c r="H599" i="12"/>
  <c r="G599" i="12"/>
  <c r="I598" i="12"/>
  <c r="H598" i="12"/>
  <c r="G598" i="12"/>
  <c r="I597" i="12"/>
  <c r="H597" i="12"/>
  <c r="G597" i="12"/>
  <c r="I596" i="12"/>
  <c r="H596" i="12"/>
  <c r="G596" i="12"/>
  <c r="I595" i="12"/>
  <c r="H595" i="12"/>
  <c r="G595" i="12"/>
  <c r="I594" i="12"/>
  <c r="H594" i="12"/>
  <c r="G594" i="12"/>
  <c r="I593" i="12"/>
  <c r="H593" i="12"/>
  <c r="G593" i="12"/>
  <c r="I592" i="12"/>
  <c r="H592" i="12"/>
  <c r="G592" i="12"/>
  <c r="I591" i="12"/>
  <c r="H591" i="12"/>
  <c r="G591" i="12"/>
  <c r="I590" i="12"/>
  <c r="H590" i="12"/>
  <c r="G590" i="12"/>
  <c r="I589" i="12"/>
  <c r="H589" i="12"/>
  <c r="G589" i="12"/>
  <c r="I588" i="12"/>
  <c r="H588" i="12"/>
  <c r="G588" i="12"/>
  <c r="I587" i="12"/>
  <c r="H587" i="12"/>
  <c r="G587" i="12"/>
  <c r="I586" i="12"/>
  <c r="H586" i="12"/>
  <c r="G586" i="12"/>
  <c r="I585" i="12"/>
  <c r="H585" i="12"/>
  <c r="G585" i="12"/>
  <c r="I584" i="12"/>
  <c r="H584" i="12"/>
  <c r="G584" i="12"/>
  <c r="I583" i="12"/>
  <c r="H583" i="12"/>
  <c r="G583" i="12"/>
  <c r="I582" i="12"/>
  <c r="H582" i="12"/>
  <c r="G582" i="12"/>
  <c r="I581" i="12"/>
  <c r="H581" i="12"/>
  <c r="G581" i="12"/>
  <c r="I580" i="12"/>
  <c r="H580" i="12"/>
  <c r="G580" i="12"/>
  <c r="I579" i="12"/>
  <c r="H579" i="12"/>
  <c r="G579" i="12"/>
  <c r="I578" i="12"/>
  <c r="H578" i="12"/>
  <c r="G578" i="12"/>
  <c r="I577" i="12"/>
  <c r="H577" i="12"/>
  <c r="G577" i="12"/>
  <c r="I576" i="12"/>
  <c r="H576" i="12"/>
  <c r="G576" i="12"/>
  <c r="I575" i="12"/>
  <c r="H575" i="12"/>
  <c r="G575" i="12"/>
  <c r="I574" i="12"/>
  <c r="H574" i="12"/>
  <c r="G574" i="12"/>
  <c r="I573" i="12"/>
  <c r="H573" i="12"/>
  <c r="G573" i="12"/>
  <c r="I572" i="12"/>
  <c r="H572" i="12"/>
  <c r="G572" i="12"/>
  <c r="I571" i="12"/>
  <c r="H571" i="12"/>
  <c r="G571" i="12"/>
  <c r="I570" i="12"/>
  <c r="H570" i="12"/>
  <c r="G570" i="12"/>
  <c r="I569" i="12"/>
  <c r="H569" i="12"/>
  <c r="G569" i="12"/>
  <c r="I568" i="12"/>
  <c r="H568" i="12"/>
  <c r="G568" i="12"/>
  <c r="I567" i="12"/>
  <c r="H567" i="12"/>
  <c r="G567" i="12"/>
  <c r="I566" i="12"/>
  <c r="H566" i="12"/>
  <c r="G566" i="12"/>
  <c r="I565" i="12"/>
  <c r="H565" i="12"/>
  <c r="G565" i="12"/>
  <c r="I564" i="12"/>
  <c r="H564" i="12"/>
  <c r="G564" i="12"/>
  <c r="I563" i="12"/>
  <c r="H563" i="12"/>
  <c r="G563" i="12"/>
  <c r="I562" i="12"/>
  <c r="H562" i="12"/>
  <c r="G562" i="12"/>
  <c r="I561" i="12"/>
  <c r="H561" i="12"/>
  <c r="G561" i="12"/>
  <c r="I560" i="12"/>
  <c r="H560" i="12"/>
  <c r="G560" i="12"/>
  <c r="I559" i="12"/>
  <c r="H559" i="12"/>
  <c r="G559" i="12"/>
  <c r="I558" i="12"/>
  <c r="H558" i="12"/>
  <c r="G558" i="12"/>
  <c r="I557" i="12"/>
  <c r="H557" i="12"/>
  <c r="G557" i="12"/>
  <c r="I556" i="12"/>
  <c r="H556" i="12"/>
  <c r="G556" i="12"/>
  <c r="I555" i="12"/>
  <c r="H555" i="12"/>
  <c r="G555" i="12"/>
  <c r="I554" i="12"/>
  <c r="H554" i="12"/>
  <c r="G554" i="12"/>
  <c r="I553" i="12"/>
  <c r="H553" i="12"/>
  <c r="G553" i="12"/>
  <c r="I552" i="12"/>
  <c r="H552" i="12"/>
  <c r="G552" i="12"/>
  <c r="I551" i="12"/>
  <c r="H551" i="12"/>
  <c r="G551" i="12"/>
  <c r="I550" i="12"/>
  <c r="H550" i="12"/>
  <c r="G550" i="12"/>
  <c r="I549" i="12"/>
  <c r="H549" i="12"/>
  <c r="G549" i="12"/>
  <c r="I548" i="12"/>
  <c r="H548" i="12"/>
  <c r="G548" i="12"/>
  <c r="I547" i="12"/>
  <c r="H547" i="12"/>
  <c r="G547" i="12"/>
  <c r="I546" i="12"/>
  <c r="H546" i="12"/>
  <c r="G546" i="12"/>
  <c r="I545" i="12"/>
  <c r="H545" i="12"/>
  <c r="G545" i="12"/>
  <c r="I544" i="12"/>
  <c r="H544" i="12"/>
  <c r="G544" i="12"/>
  <c r="I543" i="12"/>
  <c r="H543" i="12"/>
  <c r="G543" i="12"/>
  <c r="I542" i="12"/>
  <c r="H542" i="12"/>
  <c r="G542" i="12"/>
  <c r="I541" i="12"/>
  <c r="H541" i="12"/>
  <c r="G541" i="12"/>
  <c r="I540" i="12"/>
  <c r="H540" i="12"/>
  <c r="G540" i="12"/>
  <c r="I539" i="12"/>
  <c r="H539" i="12"/>
  <c r="G539" i="12"/>
  <c r="I538" i="12"/>
  <c r="H538" i="12"/>
  <c r="G538" i="12"/>
  <c r="I537" i="12"/>
  <c r="H537" i="12"/>
  <c r="G537" i="12"/>
  <c r="I536" i="12"/>
  <c r="H536" i="12"/>
  <c r="G536" i="12"/>
  <c r="I535" i="12"/>
  <c r="H535" i="12"/>
  <c r="G535" i="12"/>
  <c r="I534" i="12"/>
  <c r="H534" i="12"/>
  <c r="G534" i="12"/>
  <c r="I533" i="12"/>
  <c r="H533" i="12"/>
  <c r="G533" i="12"/>
  <c r="I532" i="12"/>
  <c r="H532" i="12"/>
  <c r="G532" i="12"/>
  <c r="I531" i="12"/>
  <c r="H531" i="12"/>
  <c r="G531" i="12"/>
  <c r="I530" i="12"/>
  <c r="H530" i="12"/>
  <c r="G530" i="12"/>
  <c r="I529" i="12"/>
  <c r="H529" i="12"/>
  <c r="G529" i="12"/>
  <c r="I528" i="12"/>
  <c r="H528" i="12"/>
  <c r="G528" i="12"/>
  <c r="I527" i="12"/>
  <c r="H527" i="12"/>
  <c r="G527" i="12"/>
  <c r="I526" i="12"/>
  <c r="H526" i="12"/>
  <c r="G526" i="12"/>
  <c r="I525" i="12"/>
  <c r="H525" i="12"/>
  <c r="G525" i="12"/>
  <c r="I524" i="12"/>
  <c r="H524" i="12"/>
  <c r="G524" i="12"/>
  <c r="I523" i="12"/>
  <c r="H523" i="12"/>
  <c r="G523" i="12"/>
  <c r="I522" i="12"/>
  <c r="H522" i="12"/>
  <c r="G522" i="12"/>
  <c r="I521" i="12"/>
  <c r="H521" i="12"/>
  <c r="G521" i="12"/>
  <c r="I520" i="12"/>
  <c r="H520" i="12"/>
  <c r="G520" i="12"/>
  <c r="I519" i="12"/>
  <c r="H519" i="12"/>
  <c r="G519" i="12"/>
  <c r="I518" i="12"/>
  <c r="H518" i="12"/>
  <c r="G518" i="12"/>
  <c r="I517" i="12"/>
  <c r="H517" i="12"/>
  <c r="G517" i="12"/>
  <c r="I516" i="12"/>
  <c r="H516" i="12"/>
  <c r="G516" i="12"/>
  <c r="I515" i="12"/>
  <c r="H515" i="12"/>
  <c r="G515" i="12"/>
  <c r="I514" i="12"/>
  <c r="H514" i="12"/>
  <c r="G514" i="12"/>
  <c r="I513" i="12"/>
  <c r="H513" i="12"/>
  <c r="G513" i="12"/>
  <c r="I512" i="12"/>
  <c r="H512" i="12"/>
  <c r="G512" i="12"/>
  <c r="I511" i="12"/>
  <c r="H511" i="12"/>
  <c r="G511" i="12"/>
  <c r="I510" i="12"/>
  <c r="H510" i="12"/>
  <c r="G510" i="12"/>
  <c r="I509" i="12"/>
  <c r="H509" i="12"/>
  <c r="G509" i="12"/>
  <c r="I508" i="12"/>
  <c r="H508" i="12"/>
  <c r="G508" i="12"/>
  <c r="I507" i="12"/>
  <c r="H507" i="12"/>
  <c r="G507" i="12"/>
  <c r="I506" i="12"/>
  <c r="H506" i="12"/>
  <c r="G506" i="12"/>
  <c r="I505" i="12"/>
  <c r="H505" i="12"/>
  <c r="G505" i="12"/>
  <c r="I504" i="12"/>
  <c r="H504" i="12"/>
  <c r="G504" i="12"/>
  <c r="I503" i="12"/>
  <c r="H503" i="12"/>
  <c r="G503" i="12"/>
  <c r="I502" i="12"/>
  <c r="H502" i="12"/>
  <c r="G502" i="12"/>
  <c r="I501" i="12"/>
  <c r="H501" i="12"/>
  <c r="G501" i="12"/>
  <c r="I500" i="12"/>
  <c r="H500" i="12"/>
  <c r="G500" i="12"/>
  <c r="I499" i="12"/>
  <c r="H499" i="12"/>
  <c r="G499" i="12"/>
  <c r="I498" i="12"/>
  <c r="H498" i="12"/>
  <c r="G498" i="12"/>
  <c r="I497" i="12"/>
  <c r="H497" i="12"/>
  <c r="G497" i="12"/>
  <c r="I496" i="12"/>
  <c r="H496" i="12"/>
  <c r="G496" i="12"/>
  <c r="I495" i="12"/>
  <c r="H495" i="12"/>
  <c r="G495" i="12"/>
  <c r="I494" i="12"/>
  <c r="H494" i="12"/>
  <c r="G494" i="12"/>
  <c r="I493" i="12"/>
  <c r="H493" i="12"/>
  <c r="G493" i="12"/>
  <c r="I492" i="12"/>
  <c r="H492" i="12"/>
  <c r="G492" i="12"/>
  <c r="I491" i="12"/>
  <c r="H491" i="12"/>
  <c r="G491" i="12"/>
  <c r="I490" i="12"/>
  <c r="H490" i="12"/>
  <c r="G490" i="12"/>
  <c r="I489" i="12"/>
  <c r="H489" i="12"/>
  <c r="G489" i="12"/>
  <c r="I488" i="12"/>
  <c r="H488" i="12"/>
  <c r="G488" i="12"/>
  <c r="I487" i="12"/>
  <c r="H487" i="12"/>
  <c r="G487" i="12"/>
  <c r="I486" i="12"/>
  <c r="H486" i="12"/>
  <c r="G486" i="12"/>
  <c r="I485" i="12"/>
  <c r="H485" i="12"/>
  <c r="G485" i="12"/>
  <c r="I484" i="12"/>
  <c r="H484" i="12"/>
  <c r="G484" i="12"/>
  <c r="I483" i="12"/>
  <c r="H483" i="12"/>
  <c r="G483" i="12"/>
  <c r="I482" i="12"/>
  <c r="H482" i="12"/>
  <c r="G482" i="12"/>
  <c r="I481" i="12"/>
  <c r="H481" i="12"/>
  <c r="G481" i="12"/>
  <c r="I480" i="12"/>
  <c r="H480" i="12"/>
  <c r="G480" i="12"/>
  <c r="I479" i="12"/>
  <c r="H479" i="12"/>
  <c r="G479" i="12"/>
  <c r="I478" i="12"/>
  <c r="H478" i="12"/>
  <c r="G478" i="12"/>
  <c r="I477" i="12"/>
  <c r="H477" i="12"/>
  <c r="G477" i="12"/>
  <c r="I476" i="12"/>
  <c r="H476" i="12"/>
  <c r="G476" i="12"/>
  <c r="I475" i="12"/>
  <c r="H475" i="12"/>
  <c r="G475" i="12"/>
  <c r="I474" i="12"/>
  <c r="H474" i="12"/>
  <c r="G474" i="12"/>
  <c r="I473" i="12"/>
  <c r="H473" i="12"/>
  <c r="G473" i="12"/>
  <c r="I472" i="12"/>
  <c r="H472" i="12"/>
  <c r="G472" i="12"/>
  <c r="I471" i="12"/>
  <c r="H471" i="12"/>
  <c r="G471" i="12"/>
  <c r="I470" i="12"/>
  <c r="H470" i="12"/>
  <c r="G470" i="12"/>
  <c r="I469" i="12"/>
  <c r="H469" i="12"/>
  <c r="G469" i="12"/>
  <c r="I468" i="12"/>
  <c r="H468" i="12"/>
  <c r="G468" i="12"/>
  <c r="I467" i="12"/>
  <c r="H467" i="12"/>
  <c r="G467" i="12"/>
  <c r="I466" i="12"/>
  <c r="H466" i="12"/>
  <c r="G466" i="12"/>
  <c r="I465" i="12"/>
  <c r="H465" i="12"/>
  <c r="G465" i="12"/>
  <c r="I464" i="12"/>
  <c r="H464" i="12"/>
  <c r="G464" i="12"/>
  <c r="I463" i="12"/>
  <c r="H463" i="12"/>
  <c r="G463" i="12"/>
  <c r="I462" i="12"/>
  <c r="H462" i="12"/>
  <c r="G462" i="12"/>
  <c r="I461" i="12"/>
  <c r="H461" i="12"/>
  <c r="G461" i="12"/>
  <c r="I460" i="12"/>
  <c r="H460" i="12"/>
  <c r="G460" i="12"/>
  <c r="I459" i="12"/>
  <c r="H459" i="12"/>
  <c r="G459" i="12"/>
  <c r="I458" i="12"/>
  <c r="H458" i="12"/>
  <c r="G458" i="12"/>
  <c r="I457" i="12"/>
  <c r="H457" i="12"/>
  <c r="G457" i="12"/>
  <c r="I456" i="12"/>
  <c r="H456" i="12"/>
  <c r="G456" i="12"/>
  <c r="I455" i="12"/>
  <c r="H455" i="12"/>
  <c r="G455" i="12"/>
  <c r="I454" i="12"/>
  <c r="H454" i="12"/>
  <c r="G454" i="12"/>
  <c r="I453" i="12"/>
  <c r="H453" i="12"/>
  <c r="G453" i="12"/>
  <c r="I452" i="12"/>
  <c r="H452" i="12"/>
  <c r="G452" i="12"/>
  <c r="I451" i="12"/>
  <c r="H451" i="12"/>
  <c r="G451" i="12"/>
  <c r="I450" i="12"/>
  <c r="H450" i="12"/>
  <c r="G450" i="12"/>
  <c r="I449" i="12"/>
  <c r="H449" i="12"/>
  <c r="G449" i="12"/>
  <c r="I448" i="12"/>
  <c r="H448" i="12"/>
  <c r="G448" i="12"/>
  <c r="I447" i="12"/>
  <c r="H447" i="12"/>
  <c r="G447" i="12"/>
  <c r="I446" i="12"/>
  <c r="H446" i="12"/>
  <c r="G446" i="12"/>
  <c r="I445" i="12"/>
  <c r="H445" i="12"/>
  <c r="G445" i="12"/>
  <c r="I444" i="12"/>
  <c r="H444" i="12"/>
  <c r="G444" i="12"/>
  <c r="I443" i="12"/>
  <c r="H443" i="12"/>
  <c r="G443" i="12"/>
  <c r="I442" i="12"/>
  <c r="H442" i="12"/>
  <c r="G442" i="12"/>
  <c r="I441" i="12"/>
  <c r="H441" i="12"/>
  <c r="G441" i="12"/>
  <c r="I440" i="12"/>
  <c r="H440" i="12"/>
  <c r="G440" i="12"/>
  <c r="I439" i="12"/>
  <c r="H439" i="12"/>
  <c r="G439" i="12"/>
  <c r="I438" i="12"/>
  <c r="H438" i="12"/>
  <c r="G438" i="12"/>
  <c r="I437" i="12"/>
  <c r="H437" i="12"/>
  <c r="G437" i="12"/>
  <c r="I436" i="12"/>
  <c r="H436" i="12"/>
  <c r="G436" i="12"/>
  <c r="I435" i="12"/>
  <c r="H435" i="12"/>
  <c r="G435" i="12"/>
  <c r="I434" i="12"/>
  <c r="H434" i="12"/>
  <c r="G434" i="12"/>
  <c r="I433" i="12"/>
  <c r="H433" i="12"/>
  <c r="G433" i="12"/>
  <c r="I432" i="12"/>
  <c r="H432" i="12"/>
  <c r="G432" i="12"/>
  <c r="I431" i="12"/>
  <c r="H431" i="12"/>
  <c r="G431" i="12"/>
  <c r="I430" i="12"/>
  <c r="H430" i="12"/>
  <c r="G430" i="12"/>
  <c r="I429" i="12"/>
  <c r="H429" i="12"/>
  <c r="G429" i="12"/>
  <c r="I428" i="12"/>
  <c r="H428" i="12"/>
  <c r="G428" i="12"/>
  <c r="I427" i="12"/>
  <c r="H427" i="12"/>
  <c r="G427" i="12"/>
  <c r="I426" i="12"/>
  <c r="H426" i="12"/>
  <c r="G426" i="12"/>
  <c r="I425" i="12"/>
  <c r="H425" i="12"/>
  <c r="G425" i="12"/>
  <c r="I424" i="12"/>
  <c r="H424" i="12"/>
  <c r="G424" i="12"/>
  <c r="I423" i="12"/>
  <c r="H423" i="12"/>
  <c r="G423" i="12"/>
  <c r="I422" i="12"/>
  <c r="H422" i="12"/>
  <c r="G422" i="12"/>
  <c r="I421" i="12"/>
  <c r="H421" i="12"/>
  <c r="G421" i="12"/>
  <c r="I420" i="12"/>
  <c r="H420" i="12"/>
  <c r="G420" i="12"/>
  <c r="I419" i="12"/>
  <c r="H419" i="12"/>
  <c r="G419" i="12"/>
  <c r="I418" i="12"/>
  <c r="H418" i="12"/>
  <c r="G418" i="12"/>
  <c r="I417" i="12"/>
  <c r="H417" i="12"/>
  <c r="G417" i="12"/>
  <c r="I416" i="12"/>
  <c r="H416" i="12"/>
  <c r="G416" i="12"/>
  <c r="I415" i="12"/>
  <c r="H415" i="12"/>
  <c r="G415" i="12"/>
  <c r="I414" i="12"/>
  <c r="H414" i="12"/>
  <c r="G414" i="12"/>
  <c r="I413" i="12"/>
  <c r="H413" i="12"/>
  <c r="G413" i="12"/>
  <c r="I412" i="12"/>
  <c r="H412" i="12"/>
  <c r="G412" i="12"/>
  <c r="I411" i="12"/>
  <c r="H411" i="12"/>
  <c r="G411" i="12"/>
  <c r="I410" i="12"/>
  <c r="H410" i="12"/>
  <c r="G410" i="12"/>
  <c r="I409" i="12"/>
  <c r="H409" i="12"/>
  <c r="G409" i="12"/>
  <c r="I408" i="12"/>
  <c r="H408" i="12"/>
  <c r="G408" i="12"/>
  <c r="I407" i="12"/>
  <c r="H407" i="12"/>
  <c r="G407" i="12"/>
  <c r="I406" i="12"/>
  <c r="H406" i="12"/>
  <c r="G406" i="12"/>
  <c r="I405" i="12"/>
  <c r="H405" i="12"/>
  <c r="G405" i="12"/>
  <c r="I404" i="12"/>
  <c r="H404" i="12"/>
  <c r="G404" i="12"/>
  <c r="I403" i="12"/>
  <c r="H403" i="12"/>
  <c r="G403" i="12"/>
  <c r="I402" i="12"/>
  <c r="H402" i="12"/>
  <c r="G402" i="12"/>
  <c r="I401" i="12"/>
  <c r="H401" i="12"/>
  <c r="G401" i="12"/>
  <c r="I400" i="12"/>
  <c r="H400" i="12"/>
  <c r="G400" i="12"/>
  <c r="I399" i="12"/>
  <c r="H399" i="12"/>
  <c r="G399" i="12"/>
  <c r="I398" i="12"/>
  <c r="H398" i="12"/>
  <c r="G398" i="12"/>
  <c r="I397" i="12"/>
  <c r="H397" i="12"/>
  <c r="G397" i="12"/>
  <c r="I396" i="12"/>
  <c r="H396" i="12"/>
  <c r="G396" i="12"/>
  <c r="I395" i="12"/>
  <c r="H395" i="12"/>
  <c r="G395" i="12"/>
  <c r="I394" i="12"/>
  <c r="H394" i="12"/>
  <c r="G394" i="12"/>
  <c r="I393" i="12"/>
  <c r="H393" i="12"/>
  <c r="G393" i="12"/>
  <c r="I392" i="12"/>
  <c r="H392" i="12"/>
  <c r="G392" i="12"/>
  <c r="I391" i="12"/>
  <c r="H391" i="12"/>
  <c r="G391" i="12"/>
  <c r="I390" i="12"/>
  <c r="H390" i="12"/>
  <c r="G390" i="12"/>
  <c r="I389" i="12"/>
  <c r="H389" i="12"/>
  <c r="G389" i="12"/>
  <c r="I388" i="12"/>
  <c r="H388" i="12"/>
  <c r="G388" i="12"/>
  <c r="I387" i="12"/>
  <c r="H387" i="12"/>
  <c r="G387" i="12"/>
  <c r="I386" i="12"/>
  <c r="H386" i="12"/>
  <c r="G386" i="12"/>
  <c r="I385" i="12"/>
  <c r="H385" i="12"/>
  <c r="G385" i="12"/>
  <c r="I384" i="12"/>
  <c r="H384" i="12"/>
  <c r="G384" i="12"/>
  <c r="I383" i="12"/>
  <c r="H383" i="12"/>
  <c r="G383" i="12"/>
  <c r="I382" i="12"/>
  <c r="H382" i="12"/>
  <c r="G382" i="12"/>
  <c r="I381" i="12"/>
  <c r="H381" i="12"/>
  <c r="G381" i="12"/>
  <c r="I380" i="12"/>
  <c r="H380" i="12"/>
  <c r="G380" i="12"/>
  <c r="I379" i="12"/>
  <c r="H379" i="12"/>
  <c r="G379" i="12"/>
  <c r="I378" i="12"/>
  <c r="H378" i="12"/>
  <c r="G378" i="12"/>
  <c r="I377" i="12"/>
  <c r="H377" i="12"/>
  <c r="G377" i="12"/>
  <c r="I376" i="12"/>
  <c r="H376" i="12"/>
  <c r="G376" i="12"/>
  <c r="I375" i="12"/>
  <c r="H375" i="12"/>
  <c r="G375" i="12"/>
  <c r="I374" i="12"/>
  <c r="H374" i="12"/>
  <c r="G374" i="12"/>
  <c r="I373" i="12"/>
  <c r="H373" i="12"/>
  <c r="G373" i="12"/>
  <c r="I372" i="12"/>
  <c r="H372" i="12"/>
  <c r="G372" i="12"/>
  <c r="I371" i="12"/>
  <c r="H371" i="12"/>
  <c r="G371" i="12"/>
  <c r="I370" i="12"/>
  <c r="H370" i="12"/>
  <c r="G370" i="12"/>
  <c r="I369" i="12"/>
  <c r="H369" i="12"/>
  <c r="G369" i="12"/>
  <c r="I368" i="12"/>
  <c r="H368" i="12"/>
  <c r="G368" i="12"/>
  <c r="I367" i="12"/>
  <c r="H367" i="12"/>
  <c r="G367" i="12"/>
  <c r="I366" i="12"/>
  <c r="H366" i="12"/>
  <c r="G366" i="12"/>
  <c r="I365" i="12"/>
  <c r="H365" i="12"/>
  <c r="G365" i="12"/>
  <c r="I364" i="12"/>
  <c r="H364" i="12"/>
  <c r="G364" i="12"/>
  <c r="I363" i="12"/>
  <c r="H363" i="12"/>
  <c r="G363" i="12"/>
  <c r="I362" i="12"/>
  <c r="H362" i="12"/>
  <c r="G362" i="12"/>
  <c r="I361" i="12"/>
  <c r="H361" i="12"/>
  <c r="G361" i="12"/>
  <c r="I360" i="12"/>
  <c r="H360" i="12"/>
  <c r="G360" i="12"/>
  <c r="I359" i="12"/>
  <c r="H359" i="12"/>
  <c r="G359" i="12"/>
  <c r="I358" i="12"/>
  <c r="H358" i="12"/>
  <c r="G358" i="12"/>
  <c r="I357" i="12"/>
  <c r="H357" i="12"/>
  <c r="G357" i="12"/>
  <c r="I356" i="12"/>
  <c r="H356" i="12"/>
  <c r="G356" i="12"/>
  <c r="I355" i="12"/>
  <c r="H355" i="12"/>
  <c r="G355" i="12"/>
  <c r="I354" i="12"/>
  <c r="H354" i="12"/>
  <c r="G354" i="12"/>
  <c r="I353" i="12"/>
  <c r="H353" i="12"/>
  <c r="G353" i="12"/>
  <c r="I352" i="12"/>
  <c r="H352" i="12"/>
  <c r="G352" i="12"/>
  <c r="I351" i="12"/>
  <c r="H351" i="12"/>
  <c r="G351" i="12"/>
  <c r="I350" i="12"/>
  <c r="H350" i="12"/>
  <c r="G350" i="12"/>
  <c r="I349" i="12"/>
  <c r="H349" i="12"/>
  <c r="G349" i="12"/>
  <c r="I348" i="12"/>
  <c r="H348" i="12"/>
  <c r="G348" i="12"/>
  <c r="I347" i="12"/>
  <c r="H347" i="12"/>
  <c r="G347" i="12"/>
  <c r="I346" i="12"/>
  <c r="H346" i="12"/>
  <c r="G346" i="12"/>
  <c r="I345" i="12"/>
  <c r="H345" i="12"/>
  <c r="G345" i="12"/>
  <c r="I344" i="12"/>
  <c r="H344" i="12"/>
  <c r="G344" i="12"/>
  <c r="I343" i="12"/>
  <c r="H343" i="12"/>
  <c r="G343" i="12"/>
  <c r="I342" i="12"/>
  <c r="H342" i="12"/>
  <c r="G342" i="12"/>
  <c r="I341" i="12"/>
  <c r="H341" i="12"/>
  <c r="G341" i="12"/>
  <c r="I340" i="12"/>
  <c r="H340" i="12"/>
  <c r="G340" i="12"/>
  <c r="I339" i="12"/>
  <c r="H339" i="12"/>
  <c r="G339" i="12"/>
  <c r="I338" i="12"/>
  <c r="H338" i="12"/>
  <c r="G338" i="12"/>
  <c r="I337" i="12"/>
  <c r="H337" i="12"/>
  <c r="G337" i="12"/>
  <c r="I336" i="12"/>
  <c r="H336" i="12"/>
  <c r="G336" i="12"/>
  <c r="I335" i="12"/>
  <c r="H335" i="12"/>
  <c r="G335" i="12"/>
  <c r="I334" i="12"/>
  <c r="H334" i="12"/>
  <c r="G334" i="12"/>
  <c r="I333" i="12"/>
  <c r="H333" i="12"/>
  <c r="G333" i="12"/>
  <c r="I332" i="12"/>
  <c r="H332" i="12"/>
  <c r="G332" i="12"/>
  <c r="I331" i="12"/>
  <c r="H331" i="12"/>
  <c r="G331" i="12"/>
  <c r="I330" i="12"/>
  <c r="H330" i="12"/>
  <c r="G330" i="12"/>
  <c r="I329" i="12"/>
  <c r="H329" i="12"/>
  <c r="G329" i="12"/>
  <c r="I328" i="12"/>
  <c r="H328" i="12"/>
  <c r="G328" i="12"/>
  <c r="I327" i="12"/>
  <c r="H327" i="12"/>
  <c r="G327" i="12"/>
  <c r="I326" i="12"/>
  <c r="H326" i="12"/>
  <c r="G326" i="12"/>
  <c r="I325" i="12"/>
  <c r="H325" i="12"/>
  <c r="G325" i="12"/>
  <c r="I324" i="12"/>
  <c r="H324" i="12"/>
  <c r="G324" i="12"/>
  <c r="I323" i="12"/>
  <c r="H323" i="12"/>
  <c r="G323" i="12"/>
  <c r="I322" i="12"/>
  <c r="H322" i="12"/>
  <c r="G322" i="12"/>
  <c r="I321" i="12"/>
  <c r="H321" i="12"/>
  <c r="G321" i="12"/>
  <c r="I320" i="12"/>
  <c r="H320" i="12"/>
  <c r="G320" i="12"/>
  <c r="I319" i="12"/>
  <c r="H319" i="12"/>
  <c r="G319" i="12"/>
  <c r="I318" i="12"/>
  <c r="H318" i="12"/>
  <c r="G318" i="12"/>
  <c r="I317" i="12"/>
  <c r="H317" i="12"/>
  <c r="G317" i="12"/>
  <c r="I316" i="12"/>
  <c r="H316" i="12"/>
  <c r="G316" i="12"/>
  <c r="I315" i="12"/>
  <c r="H315" i="12"/>
  <c r="G315" i="12"/>
  <c r="I314" i="12"/>
  <c r="H314" i="12"/>
  <c r="G314" i="12"/>
  <c r="I313" i="12"/>
  <c r="H313" i="12"/>
  <c r="G313" i="12"/>
  <c r="I312" i="12"/>
  <c r="H312" i="12"/>
  <c r="G312" i="12"/>
  <c r="I311" i="12"/>
  <c r="H311" i="12"/>
  <c r="G311" i="12"/>
  <c r="I310" i="12"/>
  <c r="H310" i="12"/>
  <c r="G310" i="12"/>
  <c r="I309" i="12"/>
  <c r="H309" i="12"/>
  <c r="G309" i="12"/>
  <c r="I308" i="12"/>
  <c r="H308" i="12"/>
  <c r="G308" i="12"/>
  <c r="I307" i="12"/>
  <c r="H307" i="12"/>
  <c r="G307" i="12"/>
  <c r="I306" i="12"/>
  <c r="H306" i="12"/>
  <c r="G306" i="12"/>
  <c r="I305" i="12"/>
  <c r="H305" i="12"/>
  <c r="G305" i="12"/>
  <c r="I304" i="12"/>
  <c r="H304" i="12"/>
  <c r="G304" i="12"/>
  <c r="I303" i="12"/>
  <c r="H303" i="12"/>
  <c r="G303" i="12"/>
  <c r="I302" i="12"/>
  <c r="H302" i="12"/>
  <c r="G302" i="12"/>
  <c r="I301" i="12"/>
  <c r="H301" i="12"/>
  <c r="G301" i="12"/>
  <c r="I300" i="12"/>
  <c r="H300" i="12"/>
  <c r="G300" i="12"/>
  <c r="I299" i="12"/>
  <c r="H299" i="12"/>
  <c r="G299" i="12"/>
  <c r="I298" i="12"/>
  <c r="H298" i="12"/>
  <c r="G298" i="12"/>
  <c r="I297" i="12"/>
  <c r="H297" i="12"/>
  <c r="G297" i="12"/>
  <c r="I296" i="12"/>
  <c r="H296" i="12"/>
  <c r="G296" i="12"/>
  <c r="I295" i="12"/>
  <c r="H295" i="12"/>
  <c r="G295" i="12"/>
  <c r="I294" i="12"/>
  <c r="H294" i="12"/>
  <c r="G294" i="12"/>
  <c r="I293" i="12"/>
  <c r="H293" i="12"/>
  <c r="G293" i="12"/>
  <c r="I292" i="12"/>
  <c r="H292" i="12"/>
  <c r="G292" i="12"/>
  <c r="I291" i="12"/>
  <c r="H291" i="12"/>
  <c r="G291" i="12"/>
  <c r="I290" i="12"/>
  <c r="H290" i="12"/>
  <c r="G290" i="12"/>
  <c r="I289" i="12"/>
  <c r="H289" i="12"/>
  <c r="G289" i="12"/>
  <c r="I288" i="12"/>
  <c r="H288" i="12"/>
  <c r="G288" i="12"/>
  <c r="I287" i="12"/>
  <c r="H287" i="12"/>
  <c r="G287" i="12"/>
  <c r="I286" i="12"/>
  <c r="H286" i="12"/>
  <c r="G286" i="12"/>
  <c r="I285" i="12"/>
  <c r="H285" i="12"/>
  <c r="G285" i="12"/>
  <c r="I284" i="12"/>
  <c r="H284" i="12"/>
  <c r="G284" i="12"/>
  <c r="I283" i="12"/>
  <c r="H283" i="12"/>
  <c r="G283" i="12"/>
  <c r="I282" i="12"/>
  <c r="H282" i="12"/>
  <c r="G282" i="12"/>
  <c r="I281" i="12"/>
  <c r="H281" i="12"/>
  <c r="G281" i="12"/>
  <c r="I280" i="12"/>
  <c r="H280" i="12"/>
  <c r="G280" i="12"/>
  <c r="I279" i="12"/>
  <c r="H279" i="12"/>
  <c r="G279" i="12"/>
  <c r="I278" i="12"/>
  <c r="H278" i="12"/>
  <c r="G278" i="12"/>
  <c r="I277" i="12"/>
  <c r="H277" i="12"/>
  <c r="G277" i="12"/>
  <c r="I276" i="12"/>
  <c r="H276" i="12"/>
  <c r="G276" i="12"/>
  <c r="I275" i="12"/>
  <c r="H275" i="12"/>
  <c r="G275" i="12"/>
  <c r="I274" i="12"/>
  <c r="H274" i="12"/>
  <c r="G274" i="12"/>
  <c r="I273" i="12"/>
  <c r="H273" i="12"/>
  <c r="G273" i="12"/>
  <c r="I272" i="12"/>
  <c r="H272" i="12"/>
  <c r="G272" i="12"/>
  <c r="I271" i="12"/>
  <c r="H271" i="12"/>
  <c r="G271" i="12"/>
  <c r="I270" i="12"/>
  <c r="H270" i="12"/>
  <c r="G270" i="12"/>
  <c r="I269" i="12"/>
  <c r="H269" i="12"/>
  <c r="G269" i="12"/>
  <c r="I268" i="12"/>
  <c r="H268" i="12"/>
  <c r="G268" i="12"/>
  <c r="I267" i="12"/>
  <c r="H267" i="12"/>
  <c r="G267" i="12"/>
  <c r="I266" i="12"/>
  <c r="H266" i="12"/>
  <c r="G266" i="12"/>
  <c r="I265" i="12"/>
  <c r="H265" i="12"/>
  <c r="G265" i="12"/>
  <c r="I264" i="12"/>
  <c r="H264" i="12"/>
  <c r="G264" i="12"/>
  <c r="I263" i="12"/>
  <c r="H263" i="12"/>
  <c r="G263" i="12"/>
  <c r="I262" i="12"/>
  <c r="H262" i="12"/>
  <c r="G262" i="12"/>
  <c r="I261" i="12"/>
  <c r="H261" i="12"/>
  <c r="G261" i="12"/>
  <c r="I260" i="12"/>
  <c r="H260" i="12"/>
  <c r="G260" i="12"/>
  <c r="I259" i="12"/>
  <c r="H259" i="12"/>
  <c r="G259" i="12"/>
  <c r="I258" i="12"/>
  <c r="H258" i="12"/>
  <c r="G258" i="12"/>
  <c r="I257" i="12"/>
  <c r="H257" i="12"/>
  <c r="G257" i="12"/>
  <c r="I256" i="12"/>
  <c r="H256" i="12"/>
  <c r="G256" i="12"/>
  <c r="I255" i="12"/>
  <c r="H255" i="12"/>
  <c r="G255" i="12"/>
  <c r="I254" i="12"/>
  <c r="H254" i="12"/>
  <c r="G254" i="12"/>
  <c r="I253" i="12"/>
  <c r="H253" i="12"/>
  <c r="G253" i="12"/>
  <c r="I252" i="12"/>
  <c r="H252" i="12"/>
  <c r="G252" i="12"/>
  <c r="I251" i="12"/>
  <c r="H251" i="12"/>
  <c r="G251" i="12"/>
  <c r="I250" i="12"/>
  <c r="H250" i="12"/>
  <c r="G250" i="12"/>
  <c r="I249" i="12"/>
  <c r="H249" i="12"/>
  <c r="G249" i="12"/>
  <c r="I248" i="12"/>
  <c r="H248" i="12"/>
  <c r="G248" i="12"/>
  <c r="I247" i="12"/>
  <c r="H247" i="12"/>
  <c r="G247" i="12"/>
  <c r="I246" i="12"/>
  <c r="H246" i="12"/>
  <c r="G246" i="12"/>
  <c r="I245" i="12"/>
  <c r="H245" i="12"/>
  <c r="G245" i="12"/>
  <c r="I244" i="12"/>
  <c r="H244" i="12"/>
  <c r="G244" i="12"/>
  <c r="I243" i="12"/>
  <c r="H243" i="12"/>
  <c r="G243" i="12"/>
  <c r="I242" i="12"/>
  <c r="H242" i="12"/>
  <c r="G242" i="12"/>
  <c r="I241" i="12"/>
  <c r="H241" i="12"/>
  <c r="G241" i="12"/>
  <c r="I240" i="12"/>
  <c r="H240" i="12"/>
  <c r="G240" i="12"/>
  <c r="I239" i="12"/>
  <c r="H239" i="12"/>
  <c r="G239" i="12"/>
  <c r="I238" i="12"/>
  <c r="H238" i="12"/>
  <c r="G238" i="12"/>
  <c r="I237" i="12"/>
  <c r="H237" i="12"/>
  <c r="G237" i="12"/>
  <c r="I236" i="12"/>
  <c r="H236" i="12"/>
  <c r="G236" i="12"/>
  <c r="I235" i="12"/>
  <c r="H235" i="12"/>
  <c r="G235" i="12"/>
  <c r="I234" i="12"/>
  <c r="H234" i="12"/>
  <c r="G234" i="12"/>
  <c r="I233" i="12"/>
  <c r="H233" i="12"/>
  <c r="G233" i="12"/>
  <c r="I232" i="12"/>
  <c r="H232" i="12"/>
  <c r="G232" i="12"/>
  <c r="I231" i="12"/>
  <c r="H231" i="12"/>
  <c r="G231" i="12"/>
  <c r="I230" i="12"/>
  <c r="H230" i="12"/>
  <c r="G230" i="12"/>
  <c r="I229" i="12"/>
  <c r="H229" i="12"/>
  <c r="G229" i="12"/>
  <c r="I228" i="12"/>
  <c r="H228" i="12"/>
  <c r="G228" i="12"/>
  <c r="I227" i="12"/>
  <c r="H227" i="12"/>
  <c r="G227" i="12"/>
  <c r="I226" i="12"/>
  <c r="H226" i="12"/>
  <c r="G226" i="12"/>
  <c r="I225" i="12"/>
  <c r="H225" i="12"/>
  <c r="G225" i="12"/>
  <c r="I224" i="12"/>
  <c r="H224" i="12"/>
  <c r="G224" i="12"/>
  <c r="I223" i="12"/>
  <c r="H223" i="12"/>
  <c r="G223" i="12"/>
  <c r="I222" i="12"/>
  <c r="H222" i="12"/>
  <c r="G222" i="12"/>
  <c r="I221" i="12"/>
  <c r="H221" i="12"/>
  <c r="G221" i="12"/>
  <c r="I220" i="12"/>
  <c r="H220" i="12"/>
  <c r="G220" i="12"/>
  <c r="I219" i="12"/>
  <c r="H219" i="12"/>
  <c r="G219" i="12"/>
  <c r="I218" i="12"/>
  <c r="H218" i="12"/>
  <c r="G218" i="12"/>
  <c r="I217" i="12"/>
  <c r="H217" i="12"/>
  <c r="G217" i="12"/>
  <c r="I216" i="12"/>
  <c r="H216" i="12"/>
  <c r="G216" i="12"/>
  <c r="I215" i="12"/>
  <c r="H215" i="12"/>
  <c r="G215" i="12"/>
  <c r="I214" i="12"/>
  <c r="H214" i="12"/>
  <c r="G214" i="12"/>
  <c r="I213" i="12"/>
  <c r="H213" i="12"/>
  <c r="G213" i="12"/>
  <c r="I212" i="12"/>
  <c r="H212" i="12"/>
  <c r="G212" i="12"/>
  <c r="I211" i="12"/>
  <c r="H211" i="12"/>
  <c r="G211" i="12"/>
  <c r="I210" i="12"/>
  <c r="H210" i="12"/>
  <c r="G210" i="12"/>
  <c r="I209" i="12"/>
  <c r="H209" i="12"/>
  <c r="G209" i="12"/>
  <c r="I208" i="12"/>
  <c r="H208" i="12"/>
  <c r="G208" i="12"/>
  <c r="I207" i="12"/>
  <c r="H207" i="12"/>
  <c r="G207" i="12"/>
  <c r="I206" i="12"/>
  <c r="H206" i="12"/>
  <c r="G206" i="12"/>
  <c r="I205" i="12"/>
  <c r="H205" i="12"/>
  <c r="G205" i="12"/>
  <c r="I204" i="12"/>
  <c r="H204" i="12"/>
  <c r="G204" i="12"/>
  <c r="I203" i="12"/>
  <c r="H203" i="12"/>
  <c r="G203" i="12"/>
  <c r="I202" i="12"/>
  <c r="H202" i="12"/>
  <c r="G202" i="12"/>
  <c r="I201" i="12"/>
  <c r="H201" i="12"/>
  <c r="G201" i="12"/>
  <c r="I200" i="12"/>
  <c r="H200" i="12"/>
  <c r="G200" i="12"/>
  <c r="I199" i="12"/>
  <c r="H199" i="12"/>
  <c r="G199" i="12"/>
  <c r="I198" i="12"/>
  <c r="H198" i="12"/>
  <c r="G198" i="12"/>
  <c r="I197" i="12"/>
  <c r="H197" i="12"/>
  <c r="G197" i="12"/>
  <c r="I196" i="12"/>
  <c r="H196" i="12"/>
  <c r="G196" i="12"/>
  <c r="I195" i="12"/>
  <c r="H195" i="12"/>
  <c r="G195" i="12"/>
  <c r="I194" i="12"/>
  <c r="H194" i="12"/>
  <c r="G194" i="12"/>
  <c r="I193" i="12"/>
  <c r="H193" i="12"/>
  <c r="G193" i="12"/>
  <c r="I192" i="12"/>
  <c r="H192" i="12"/>
  <c r="G192" i="12"/>
  <c r="I191" i="12"/>
  <c r="H191" i="12"/>
  <c r="G191" i="12"/>
  <c r="I190" i="12"/>
  <c r="H190" i="12"/>
  <c r="G190" i="12"/>
  <c r="I189" i="12"/>
  <c r="H189" i="12"/>
  <c r="G189" i="12"/>
  <c r="I188" i="12"/>
  <c r="H188" i="12"/>
  <c r="G188" i="12"/>
  <c r="I187" i="12"/>
  <c r="H187" i="12"/>
  <c r="G187" i="12"/>
  <c r="I186" i="12"/>
  <c r="H186" i="12"/>
  <c r="G186" i="12"/>
  <c r="I185" i="12"/>
  <c r="H185" i="12"/>
  <c r="G185" i="12"/>
  <c r="I184" i="12"/>
  <c r="H184" i="12"/>
  <c r="G184" i="12"/>
  <c r="I183" i="12"/>
  <c r="H183" i="12"/>
  <c r="G183" i="12"/>
  <c r="I182" i="12"/>
  <c r="H182" i="12"/>
  <c r="G182" i="12"/>
  <c r="I181" i="12"/>
  <c r="H181" i="12"/>
  <c r="G181" i="12"/>
  <c r="I180" i="12"/>
  <c r="H180" i="12"/>
  <c r="G180" i="12"/>
  <c r="I179" i="12"/>
  <c r="H179" i="12"/>
  <c r="G179" i="12"/>
  <c r="I178" i="12"/>
  <c r="H178" i="12"/>
  <c r="G178" i="12"/>
  <c r="I177" i="12"/>
  <c r="H177" i="12"/>
  <c r="G177" i="12"/>
  <c r="I176" i="12"/>
  <c r="H176" i="12"/>
  <c r="G176" i="12"/>
  <c r="I175" i="12"/>
  <c r="H175" i="12"/>
  <c r="G175" i="12"/>
  <c r="I174" i="12"/>
  <c r="H174" i="12"/>
  <c r="G174" i="12"/>
  <c r="I173" i="12"/>
  <c r="H173" i="12"/>
  <c r="G173" i="12"/>
  <c r="I172" i="12"/>
  <c r="H172" i="12"/>
  <c r="G172" i="12"/>
  <c r="I171" i="12"/>
  <c r="H171" i="12"/>
  <c r="G171" i="12"/>
  <c r="I170" i="12"/>
  <c r="H170" i="12"/>
  <c r="G170" i="12"/>
  <c r="I169" i="12"/>
  <c r="H169" i="12"/>
  <c r="G169" i="12"/>
  <c r="I168" i="12"/>
  <c r="H168" i="12"/>
  <c r="G168" i="12"/>
  <c r="I167" i="12"/>
  <c r="H167" i="12"/>
  <c r="G167" i="12"/>
  <c r="I166" i="12"/>
  <c r="H166" i="12"/>
  <c r="G166" i="12"/>
  <c r="I165" i="12"/>
  <c r="H165" i="12"/>
  <c r="G165" i="12"/>
  <c r="I164" i="12"/>
  <c r="H164" i="12"/>
  <c r="G164" i="12"/>
  <c r="I163" i="12"/>
  <c r="H163" i="12"/>
  <c r="G163" i="12"/>
  <c r="I162" i="12"/>
  <c r="H162" i="12"/>
  <c r="G162" i="12"/>
  <c r="I161" i="12"/>
  <c r="H161" i="12"/>
  <c r="G161" i="12"/>
  <c r="I160" i="12"/>
  <c r="H160" i="12"/>
  <c r="G160" i="12"/>
  <c r="I159" i="12"/>
  <c r="H159" i="12"/>
  <c r="G159" i="12"/>
  <c r="I158" i="12"/>
  <c r="H158" i="12"/>
  <c r="G158" i="12"/>
  <c r="I157" i="12"/>
  <c r="H157" i="12"/>
  <c r="G157" i="12"/>
  <c r="I156" i="12"/>
  <c r="H156" i="12"/>
  <c r="G156" i="12"/>
  <c r="I155" i="12"/>
  <c r="H155" i="12"/>
  <c r="G155" i="12"/>
  <c r="I154" i="12"/>
  <c r="H154" i="12"/>
  <c r="G154" i="12"/>
  <c r="I153" i="12"/>
  <c r="H153" i="12"/>
  <c r="G153" i="12"/>
  <c r="I152" i="12"/>
  <c r="H152" i="12"/>
  <c r="G152" i="12"/>
  <c r="I151" i="12"/>
  <c r="H151" i="12"/>
  <c r="G151" i="12"/>
  <c r="I150" i="12"/>
  <c r="H150" i="12"/>
  <c r="G150" i="12"/>
  <c r="I149" i="12"/>
  <c r="H149" i="12"/>
  <c r="G149" i="12"/>
  <c r="I148" i="12"/>
  <c r="H148" i="12"/>
  <c r="G148" i="12"/>
  <c r="I147" i="12"/>
  <c r="H147" i="12"/>
  <c r="G147" i="12"/>
  <c r="I146" i="12"/>
  <c r="H146" i="12"/>
  <c r="G146" i="12"/>
  <c r="I145" i="12"/>
  <c r="H145" i="12"/>
  <c r="G145" i="12"/>
  <c r="I144" i="12"/>
  <c r="H144" i="12"/>
  <c r="G144" i="12"/>
  <c r="I143" i="12"/>
  <c r="H143" i="12"/>
  <c r="G143" i="12"/>
  <c r="I142" i="12"/>
  <c r="H142" i="12"/>
  <c r="G142" i="12"/>
  <c r="I141" i="12"/>
  <c r="H141" i="12"/>
  <c r="G141" i="12"/>
  <c r="I140" i="12"/>
  <c r="H140" i="12"/>
  <c r="G140" i="12"/>
  <c r="I139" i="12"/>
  <c r="H139" i="12"/>
  <c r="G139" i="12"/>
  <c r="I138" i="12"/>
  <c r="H138" i="12"/>
  <c r="G138" i="12"/>
  <c r="I137" i="12"/>
  <c r="H137" i="12"/>
  <c r="G137" i="12"/>
  <c r="I136" i="12"/>
  <c r="H136" i="12"/>
  <c r="G136" i="12"/>
  <c r="I135" i="12"/>
  <c r="H135" i="12"/>
  <c r="G135" i="12"/>
  <c r="I134" i="12"/>
  <c r="H134" i="12"/>
  <c r="G134" i="12"/>
  <c r="I133" i="12"/>
  <c r="H133" i="12"/>
  <c r="G133" i="12"/>
  <c r="I132" i="12"/>
  <c r="H132" i="12"/>
  <c r="G132" i="12"/>
  <c r="I131" i="12"/>
  <c r="H131" i="12"/>
  <c r="G131" i="12"/>
  <c r="I130" i="12"/>
  <c r="H130" i="12"/>
  <c r="G130" i="12"/>
  <c r="I129" i="12"/>
  <c r="H129" i="12"/>
  <c r="G129" i="12"/>
  <c r="I128" i="12"/>
  <c r="H128" i="12"/>
  <c r="G128" i="12"/>
  <c r="I127" i="12"/>
  <c r="H127" i="12"/>
  <c r="G127" i="12"/>
  <c r="I126" i="12"/>
  <c r="H126" i="12"/>
  <c r="G126" i="12"/>
  <c r="I125" i="12"/>
  <c r="H125" i="12"/>
  <c r="G125" i="12"/>
  <c r="I124" i="12"/>
  <c r="H124" i="12"/>
  <c r="G124" i="12"/>
  <c r="I123" i="12"/>
  <c r="H123" i="12"/>
  <c r="G123" i="12"/>
  <c r="I122" i="12"/>
  <c r="H122" i="12"/>
  <c r="G122" i="12"/>
  <c r="I121" i="12"/>
  <c r="H121" i="12"/>
  <c r="G121" i="12"/>
  <c r="I120" i="12"/>
  <c r="H120" i="12"/>
  <c r="G120" i="12"/>
  <c r="I119" i="12"/>
  <c r="H119" i="12"/>
  <c r="G119" i="12"/>
  <c r="I118" i="12"/>
  <c r="H118" i="12"/>
  <c r="G118" i="12"/>
  <c r="I117" i="12"/>
  <c r="H117" i="12"/>
  <c r="G117" i="12"/>
  <c r="I116" i="12"/>
  <c r="H116" i="12"/>
  <c r="G116" i="12"/>
  <c r="I115" i="12"/>
  <c r="H115" i="12"/>
  <c r="G115" i="12"/>
  <c r="I114" i="12"/>
  <c r="H114" i="12"/>
  <c r="G114" i="12"/>
  <c r="I113" i="12"/>
  <c r="H113" i="12"/>
  <c r="G113" i="12"/>
  <c r="I112" i="12"/>
  <c r="H112" i="12"/>
  <c r="G112" i="12"/>
  <c r="I111" i="12"/>
  <c r="H111" i="12"/>
  <c r="G111" i="12"/>
  <c r="I110" i="12"/>
  <c r="H110" i="12"/>
  <c r="G110" i="12"/>
  <c r="I109" i="12"/>
  <c r="H109" i="12"/>
  <c r="G109" i="12"/>
  <c r="I108" i="12"/>
  <c r="H108" i="12"/>
  <c r="G108" i="12"/>
  <c r="I107" i="12"/>
  <c r="H107" i="12"/>
  <c r="G107" i="12"/>
  <c r="I106" i="12"/>
  <c r="H106" i="12"/>
  <c r="G106" i="12"/>
  <c r="I105" i="12"/>
  <c r="H105" i="12"/>
  <c r="G105" i="12"/>
  <c r="I104" i="12"/>
  <c r="H104" i="12"/>
  <c r="G104" i="12"/>
  <c r="I103" i="12"/>
  <c r="H103" i="12"/>
  <c r="G103" i="12"/>
  <c r="I102" i="12"/>
  <c r="H102" i="12"/>
  <c r="G102" i="12"/>
  <c r="I101" i="12"/>
  <c r="H101" i="12"/>
  <c r="G101" i="12"/>
  <c r="I100" i="12"/>
  <c r="H100" i="12"/>
  <c r="G100" i="12"/>
  <c r="I99" i="12"/>
  <c r="H99" i="12"/>
  <c r="G99" i="12"/>
  <c r="I98" i="12"/>
  <c r="H98" i="12"/>
  <c r="G98" i="12"/>
  <c r="I97" i="12"/>
  <c r="H97" i="12"/>
  <c r="G97" i="12"/>
  <c r="I96" i="12"/>
  <c r="H96" i="12"/>
  <c r="G96" i="12"/>
  <c r="I95" i="12"/>
  <c r="H95" i="12"/>
  <c r="G95" i="12"/>
  <c r="I94" i="12"/>
  <c r="H94" i="12"/>
  <c r="G94" i="12"/>
  <c r="I93" i="12"/>
  <c r="H93" i="12"/>
  <c r="G93" i="12"/>
  <c r="I92" i="12"/>
  <c r="H92" i="12"/>
  <c r="G92" i="12"/>
  <c r="I91" i="12"/>
  <c r="H91" i="12"/>
  <c r="G91" i="12"/>
  <c r="I90" i="12"/>
  <c r="H90" i="12"/>
  <c r="G90" i="12"/>
  <c r="I89" i="12"/>
  <c r="H89" i="12"/>
  <c r="G89" i="12"/>
  <c r="I88" i="12"/>
  <c r="H88" i="12"/>
  <c r="G88" i="12"/>
  <c r="I87" i="12"/>
  <c r="H87" i="12"/>
  <c r="G87" i="12"/>
  <c r="I86" i="12"/>
  <c r="H86" i="12"/>
  <c r="G86" i="12"/>
  <c r="I85" i="12"/>
  <c r="H85" i="12"/>
  <c r="G85" i="12"/>
  <c r="I84" i="12"/>
  <c r="H84" i="12"/>
  <c r="G84" i="12"/>
  <c r="I83" i="12"/>
  <c r="H83" i="12"/>
  <c r="G83" i="12"/>
  <c r="I82" i="12"/>
  <c r="H82" i="12"/>
  <c r="G82" i="12"/>
  <c r="I81" i="12"/>
  <c r="H81" i="12"/>
  <c r="G81" i="12"/>
  <c r="I80" i="12"/>
  <c r="H80" i="12"/>
  <c r="G80" i="12"/>
  <c r="I79" i="12"/>
  <c r="H79" i="12"/>
  <c r="G79" i="12"/>
  <c r="I78" i="12"/>
  <c r="H78" i="12"/>
  <c r="G78" i="12"/>
  <c r="I77" i="12"/>
  <c r="H77" i="12"/>
  <c r="G77" i="12"/>
  <c r="I76" i="12"/>
  <c r="H76" i="12"/>
  <c r="G76" i="12"/>
  <c r="I75" i="12"/>
  <c r="H75" i="12"/>
  <c r="G75" i="12"/>
  <c r="I74" i="12"/>
  <c r="H74" i="12"/>
  <c r="G74" i="12"/>
  <c r="I73" i="12"/>
  <c r="H73" i="12"/>
  <c r="G73" i="12"/>
  <c r="I72" i="12"/>
  <c r="H72" i="12"/>
  <c r="G72" i="12"/>
  <c r="I71" i="12"/>
  <c r="H71" i="12"/>
  <c r="G71" i="12"/>
  <c r="I70" i="12"/>
  <c r="H70" i="12"/>
  <c r="G70" i="12"/>
  <c r="I69" i="12"/>
  <c r="H69" i="12"/>
  <c r="G69" i="12"/>
  <c r="I68" i="12"/>
  <c r="H68" i="12"/>
  <c r="G68" i="12"/>
  <c r="I67" i="12"/>
  <c r="H67" i="12"/>
  <c r="G67" i="12"/>
  <c r="I66" i="12"/>
  <c r="H66" i="12"/>
  <c r="G66" i="12"/>
  <c r="I65" i="12"/>
  <c r="H65" i="12"/>
  <c r="G65" i="12"/>
  <c r="I64" i="12"/>
  <c r="H64" i="12"/>
  <c r="G64" i="12"/>
  <c r="I63" i="12"/>
  <c r="H63" i="12"/>
  <c r="G63" i="12"/>
  <c r="I62" i="12"/>
  <c r="H62" i="12"/>
  <c r="G62" i="12"/>
  <c r="I61" i="12"/>
  <c r="H61" i="12"/>
  <c r="G61" i="12"/>
  <c r="I60" i="12"/>
  <c r="H60" i="12"/>
  <c r="G60" i="12"/>
  <c r="I59" i="12"/>
  <c r="H59" i="12"/>
  <c r="G59" i="12"/>
  <c r="I58" i="12"/>
  <c r="H58" i="12"/>
  <c r="G58" i="12"/>
  <c r="B58" i="12"/>
  <c r="I57" i="12"/>
  <c r="H57" i="12"/>
  <c r="G57" i="12"/>
  <c r="B57" i="12"/>
  <c r="I56" i="12"/>
  <c r="H56" i="12"/>
  <c r="G56" i="12"/>
  <c r="B56" i="12"/>
  <c r="I55" i="12"/>
  <c r="H55" i="12"/>
  <c r="G55" i="12"/>
  <c r="B55" i="12"/>
  <c r="I54" i="12"/>
  <c r="H54" i="12"/>
  <c r="G54" i="12"/>
  <c r="B54" i="12"/>
  <c r="I53" i="12"/>
  <c r="H53" i="12"/>
  <c r="G53" i="12"/>
  <c r="B53" i="12"/>
  <c r="I52" i="12"/>
  <c r="H52" i="12"/>
  <c r="G52" i="12"/>
  <c r="B52" i="12"/>
  <c r="I51" i="12"/>
  <c r="H51" i="12"/>
  <c r="G51" i="12"/>
  <c r="B51" i="12"/>
  <c r="I50" i="12"/>
  <c r="H50" i="12"/>
  <c r="G50" i="12"/>
  <c r="B50" i="12"/>
  <c r="I49" i="12"/>
  <c r="H49" i="12"/>
  <c r="G49" i="12"/>
  <c r="B49" i="12"/>
  <c r="I48" i="12"/>
  <c r="H48" i="12"/>
  <c r="G48" i="12"/>
  <c r="B48" i="12"/>
  <c r="I47" i="12"/>
  <c r="H47" i="12"/>
  <c r="G47" i="12"/>
  <c r="B47" i="12"/>
  <c r="I46" i="12"/>
  <c r="H46" i="12"/>
  <c r="G46" i="12"/>
  <c r="B46" i="12"/>
  <c r="I45" i="12"/>
  <c r="H45" i="12"/>
  <c r="G45" i="12"/>
  <c r="B45" i="12"/>
  <c r="I44" i="12"/>
  <c r="H44" i="12"/>
  <c r="G44" i="12"/>
  <c r="B44" i="12"/>
  <c r="I43" i="12"/>
  <c r="H43" i="12"/>
  <c r="G43" i="12"/>
  <c r="B43" i="12"/>
  <c r="I42" i="12"/>
  <c r="H42" i="12"/>
  <c r="G42" i="12"/>
  <c r="B42" i="12"/>
  <c r="I41" i="12"/>
  <c r="H41" i="12"/>
  <c r="G41" i="12"/>
  <c r="B41" i="12"/>
  <c r="I40" i="12"/>
  <c r="H40" i="12"/>
  <c r="G40" i="12"/>
  <c r="B40" i="12"/>
  <c r="I39" i="12"/>
  <c r="H39" i="12"/>
  <c r="G39" i="12"/>
  <c r="B39" i="12"/>
  <c r="I38" i="12"/>
  <c r="H38" i="12"/>
  <c r="G38" i="12"/>
  <c r="B38" i="12"/>
  <c r="I37" i="12"/>
  <c r="H37" i="12"/>
  <c r="G37" i="12"/>
  <c r="B37" i="12"/>
  <c r="I36" i="12"/>
  <c r="H36" i="12"/>
  <c r="G36" i="12"/>
  <c r="B36" i="12"/>
  <c r="I35" i="12"/>
  <c r="H35" i="12"/>
  <c r="G35" i="12"/>
  <c r="B35" i="12"/>
  <c r="I34" i="12"/>
  <c r="H34" i="12"/>
  <c r="G34" i="12"/>
  <c r="B34" i="12"/>
  <c r="I33" i="12"/>
  <c r="H33" i="12"/>
  <c r="G33" i="12"/>
  <c r="B33" i="12"/>
  <c r="I32" i="12"/>
  <c r="H32" i="12"/>
  <c r="G32" i="12"/>
  <c r="B32" i="12"/>
  <c r="I31" i="12"/>
  <c r="H31" i="12"/>
  <c r="G31" i="12"/>
  <c r="B31" i="12"/>
  <c r="I30" i="12"/>
  <c r="H30" i="12"/>
  <c r="G30" i="12"/>
  <c r="B30" i="12"/>
  <c r="I29" i="12"/>
  <c r="H29" i="12"/>
  <c r="G29" i="12"/>
  <c r="B29" i="12"/>
  <c r="I28" i="12"/>
  <c r="H28" i="12"/>
  <c r="G28" i="12"/>
  <c r="B28" i="12"/>
  <c r="I27" i="12"/>
  <c r="H27" i="12"/>
  <c r="G27" i="12"/>
  <c r="B27" i="12"/>
  <c r="I26" i="12"/>
  <c r="H26" i="12"/>
  <c r="G26" i="12"/>
  <c r="B26" i="12"/>
  <c r="I25" i="12"/>
  <c r="H25" i="12"/>
  <c r="G25" i="12"/>
  <c r="B25" i="12"/>
  <c r="I24" i="12"/>
  <c r="H24" i="12"/>
  <c r="G24" i="12"/>
  <c r="B24" i="12"/>
  <c r="I23" i="12"/>
  <c r="H23" i="12"/>
  <c r="G23" i="12"/>
  <c r="B23" i="12"/>
  <c r="I22" i="12"/>
  <c r="H22" i="12"/>
  <c r="G22" i="12"/>
  <c r="B22" i="12"/>
  <c r="I21" i="12"/>
  <c r="H21" i="12"/>
  <c r="G21" i="12"/>
  <c r="B21" i="12"/>
  <c r="I20" i="12"/>
  <c r="H20" i="12"/>
  <c r="G20" i="12"/>
  <c r="B20" i="12"/>
  <c r="I19" i="12"/>
  <c r="H19" i="12"/>
  <c r="G19" i="12"/>
  <c r="B19" i="12"/>
  <c r="I18" i="12"/>
  <c r="H18" i="12"/>
  <c r="G18" i="12"/>
  <c r="B18" i="12"/>
  <c r="I17" i="12"/>
  <c r="H17" i="12"/>
  <c r="G17" i="12"/>
  <c r="B17" i="12"/>
  <c r="I16" i="12"/>
  <c r="H16" i="12"/>
  <c r="G16" i="12"/>
  <c r="B16" i="12"/>
  <c r="I15" i="12"/>
  <c r="G15" i="12"/>
  <c r="B15" i="12"/>
  <c r="I14" i="12"/>
  <c r="G14" i="12"/>
  <c r="B14" i="12"/>
  <c r="I13" i="12"/>
  <c r="G13" i="12"/>
  <c r="B13" i="12"/>
  <c r="I12" i="12"/>
  <c r="G12" i="12"/>
  <c r="B12" i="12"/>
  <c r="I11" i="12"/>
  <c r="G11" i="12"/>
  <c r="B11" i="12"/>
  <c r="I10" i="12"/>
  <c r="G10" i="12"/>
  <c r="B10" i="12"/>
  <c r="I9" i="12"/>
  <c r="G9" i="12"/>
  <c r="B9" i="12"/>
  <c r="I8" i="12"/>
  <c r="G8" i="12"/>
  <c r="B8" i="12"/>
  <c r="I7" i="12"/>
  <c r="G7" i="12"/>
  <c r="B7" i="12"/>
  <c r="I6" i="12"/>
  <c r="G6" i="12"/>
  <c r="B6" i="12"/>
  <c r="I5" i="12"/>
  <c r="H5" i="12"/>
  <c r="G5" i="12"/>
  <c r="B5" i="12"/>
  <c r="I4" i="12"/>
  <c r="G4" i="12"/>
  <c r="B4" i="12"/>
  <c r="I3" i="12"/>
  <c r="G3" i="12"/>
  <c r="B3" i="12"/>
  <c r="I2" i="12"/>
  <c r="G2" i="12"/>
  <c r="B2" i="12"/>
  <c r="G17" i="11"/>
  <c r="M9" i="11"/>
  <c r="L5" i="11"/>
  <c r="AG71" i="10"/>
  <c r="AG70" i="10"/>
  <c r="AG69" i="10"/>
  <c r="AG68" i="10"/>
  <c r="AG67" i="10"/>
  <c r="AG66" i="10"/>
  <c r="AG65" i="10"/>
  <c r="AG64" i="10"/>
  <c r="AG63" i="10"/>
  <c r="AG62" i="10"/>
  <c r="AG61" i="10"/>
  <c r="AG60" i="10"/>
  <c r="AG59" i="10"/>
  <c r="AG58" i="10"/>
  <c r="AG57" i="10"/>
  <c r="AG56" i="10"/>
  <c r="AG55" i="10"/>
  <c r="AG54" i="10"/>
  <c r="AG53" i="10"/>
  <c r="AG52" i="10"/>
  <c r="AG51" i="10"/>
  <c r="AG50" i="10"/>
  <c r="AF49" i="10"/>
  <c r="AF42" i="10" s="1"/>
  <c r="AG48" i="10"/>
  <c r="AG47" i="10"/>
  <c r="AG46" i="10"/>
  <c r="AG45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AG40" i="10"/>
  <c r="AG39" i="10"/>
  <c r="AG38" i="10"/>
  <c r="AG37" i="10"/>
  <c r="AG36" i="10"/>
  <c r="AG35" i="10"/>
  <c r="AG34" i="10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44" i="10" s="1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F3" i="10"/>
  <c r="AF1" i="10" s="1"/>
  <c r="AE3" i="10"/>
  <c r="AE1" i="10" s="1"/>
  <c r="AD3" i="10"/>
  <c r="AC3" i="10"/>
  <c r="AC1" i="10" s="1"/>
  <c r="AB3" i="10"/>
  <c r="AA3" i="10"/>
  <c r="AA1" i="10" s="1"/>
  <c r="Z3" i="10"/>
  <c r="Z1" i="10" s="1"/>
  <c r="Y3" i="10"/>
  <c r="X3" i="10"/>
  <c r="X1" i="10" s="1"/>
  <c r="W3" i="10"/>
  <c r="W1" i="10" s="1"/>
  <c r="V3" i="10"/>
  <c r="U3" i="10"/>
  <c r="T3" i="10"/>
  <c r="S3" i="10"/>
  <c r="R3" i="10"/>
  <c r="R1" i="10" s="1"/>
  <c r="Q3" i="10"/>
  <c r="P3" i="10"/>
  <c r="P1" i="10" s="1"/>
  <c r="O3" i="10"/>
  <c r="O1" i="10" s="1"/>
  <c r="N3" i="10"/>
  <c r="M3" i="10"/>
  <c r="L3" i="10"/>
  <c r="K3" i="10"/>
  <c r="J3" i="10"/>
  <c r="J1" i="10" s="1"/>
  <c r="I3" i="10"/>
  <c r="H3" i="10"/>
  <c r="H1" i="10" s="1"/>
  <c r="G3" i="10"/>
  <c r="G1" i="10" s="1"/>
  <c r="F3" i="10"/>
  <c r="E3" i="10"/>
  <c r="D3" i="10"/>
  <c r="C3" i="10"/>
  <c r="B3" i="10"/>
  <c r="AG3" i="10" s="1"/>
  <c r="AD1" i="10"/>
  <c r="AB1" i="10"/>
  <c r="Y1" i="10"/>
  <c r="V1" i="10"/>
  <c r="U1" i="10"/>
  <c r="T1" i="10"/>
  <c r="S1" i="10"/>
  <c r="Q1" i="10"/>
  <c r="N1" i="10"/>
  <c r="M1" i="10"/>
  <c r="L1" i="10"/>
  <c r="K1" i="10"/>
  <c r="I1" i="10"/>
  <c r="F1" i="10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F44" i="9" s="1"/>
  <c r="AC3" i="9"/>
  <c r="AB3" i="9"/>
  <c r="Y3" i="9"/>
  <c r="X3" i="9"/>
  <c r="U3" i="9"/>
  <c r="T3" i="9"/>
  <c r="Q3" i="9"/>
  <c r="P3" i="9"/>
  <c r="M3" i="9"/>
  <c r="L3" i="9"/>
  <c r="I3" i="9"/>
  <c r="H3" i="9"/>
  <c r="E3" i="9"/>
  <c r="D3" i="9"/>
  <c r="AE1" i="9"/>
  <c r="AE3" i="9" s="1"/>
  <c r="AD1" i="9"/>
  <c r="AD3" i="9" s="1"/>
  <c r="AC1" i="9"/>
  <c r="AB1" i="9"/>
  <c r="AA1" i="9"/>
  <c r="AA3" i="9" s="1"/>
  <c r="Z1" i="9"/>
  <c r="Z3" i="9" s="1"/>
  <c r="Y1" i="9"/>
  <c r="X1" i="9"/>
  <c r="W1" i="9"/>
  <c r="W3" i="9" s="1"/>
  <c r="V1" i="9"/>
  <c r="V3" i="9" s="1"/>
  <c r="U1" i="9"/>
  <c r="T1" i="9"/>
  <c r="S1" i="9"/>
  <c r="S3" i="9" s="1"/>
  <c r="R1" i="9"/>
  <c r="R3" i="9" s="1"/>
  <c r="Q1" i="9"/>
  <c r="P1" i="9"/>
  <c r="O1" i="9"/>
  <c r="O3" i="9" s="1"/>
  <c r="N1" i="9"/>
  <c r="N3" i="9" s="1"/>
  <c r="M1" i="9"/>
  <c r="L1" i="9"/>
  <c r="K1" i="9"/>
  <c r="K3" i="9" s="1"/>
  <c r="J1" i="9"/>
  <c r="J3" i="9" s="1"/>
  <c r="I1" i="9"/>
  <c r="H1" i="9"/>
  <c r="G1" i="9"/>
  <c r="G3" i="9" s="1"/>
  <c r="F1" i="9"/>
  <c r="F3" i="9" s="1"/>
  <c r="E1" i="9"/>
  <c r="D1" i="9"/>
  <c r="C1" i="9"/>
  <c r="C3" i="9" s="1"/>
  <c r="B1" i="9"/>
  <c r="B3" i="9" s="1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8" i="7"/>
  <c r="AG7" i="7"/>
  <c r="AG6" i="7"/>
  <c r="AG5" i="7"/>
  <c r="AG4" i="7"/>
  <c r="N4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F68" i="6"/>
  <c r="AF67" i="6"/>
  <c r="AF66" i="6"/>
  <c r="AF65" i="6"/>
  <c r="AF64" i="6"/>
  <c r="AF63" i="6"/>
  <c r="AF62" i="6"/>
  <c r="AF61" i="6"/>
  <c r="AF60" i="6"/>
  <c r="AF59" i="6"/>
  <c r="AF58" i="6"/>
  <c r="AF57" i="6"/>
  <c r="AF56" i="6"/>
  <c r="AF55" i="6"/>
  <c r="AF54" i="6"/>
  <c r="AF53" i="6"/>
  <c r="AF52" i="6"/>
  <c r="AF51" i="6"/>
  <c r="AF50" i="6"/>
  <c r="AF49" i="6"/>
  <c r="AF48" i="6"/>
  <c r="AF47" i="6"/>
  <c r="AF46" i="6"/>
  <c r="AF45" i="6"/>
  <c r="AF44" i="6"/>
  <c r="AF43" i="6"/>
  <c r="AF42" i="6"/>
  <c r="AF41" i="6"/>
  <c r="AF40" i="6"/>
  <c r="AF39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F33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M330" i="4"/>
  <c r="AL5" i="4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L18" i="3"/>
  <c r="L17" i="3"/>
  <c r="L16" i="3"/>
  <c r="L15" i="3"/>
  <c r="AG49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tc={d5f63f03-a19a-4f56-8be1-08ba4f1398c0}</author>
    <author>tc={0bea7f2f-7b12-4535-a1f8-c295c3834b4a}</author>
    <author>tc={9b6a5e1e-25a6-4941-89fc-ac9c01a8eeb1}</author>
    <author>tc={c59efe92-fe74-4ed3-90fd-3cd78da30a03}</author>
    <author>tc={0a4d5b40-4370-4815-a4ed-f28bf107e689}</author>
    <author>tc={f42d4553-fb34-401a-8647-9ae84fd93454}</author>
    <author>tc={3ceeced9-200f-4c4e-a79f-4593f400fe79}</author>
    <author>tc={d4d7651f-8b8a-4f51-a28b-a716dd8548e6}</author>
    <author>tc={1a2ddf98-e6e3-4d3d-9c45-bd9aaf97065e}</author>
    <author>tc={633c2adc-4737-412a-8531-86def462d7d7}</author>
    <author>tc={4db18782-5427-4ffa-b4ac-e46140bcb7b1}</author>
    <author>tc={542c55d1-2a89-4f33-84c8-499111584a03}</author>
    <author>tc={55b6bd97-8be3-46e8-8550-56b9ed03c6f9}</author>
    <author>tc={86c9117b-1ee0-4277-bf30-8d525f0c5e39}</author>
    <author>tc={11f61a61-8799-4530-a543-aee99fcb95d4}</author>
    <author>tc={1cfbe739-5dad-490b-851d-be9ca9af9667}</author>
    <author>tc={d940687a-a48c-40b0-b11d-2fffd281a2df}</author>
    <author>tc={4845b67d-32c4-4e52-8d64-96bc4b28f4e5}</author>
    <author>tc={ccdad33e-6b23-4ce9-b550-e21654ef4305}</author>
    <author>tc={3e7c4cd4-9b3e-4215-a591-eadc20cb1d86}</author>
    <author>tc={bde76b56-bbe9-454b-a81a-ff9b62268576}</author>
    <author>tc={0d76f94a-0455-4fa7-8c4b-6c582560c02b}</author>
    <author>tc={ae211a3b-e1db-4181-90d6-f66418b83f50}</author>
    <author>tc={2215cdea-3d1f-4ad4-8ab7-2da2979fb78a}</author>
    <author>tc={ef2dbcfc-88ca-4858-ac00-804bafef605e}</author>
    <author>tc={f74fdc0e-05ea-4bb9-b128-68b80f922a2b}</author>
    <author>tc={e1cae4d0-e530-4cad-9c17-1086491eeeaa}</author>
    <author>tc={a0cc809e-1d68-4e53-98c9-dbc329229b50}</author>
    <author>tc={52683834-226d-4724-b6bf-c1187c664ab7}</author>
    <author>tc={cf2291c1-7cda-4a23-a871-afd312f8cb51}</author>
    <author>tc={510d67c5-e580-488e-940f-45dfc012562a}</author>
    <author>tc={22f287de-7be9-4833-8d8b-551361f5611f}</author>
    <author>tc={4967bcd3-289e-4aa4-bdef-13e1359f3154}</author>
    <author>tc={a36f5478-f8ad-4f91-a4c8-1b194e6647e8}</author>
    <author>tc={0c92e1ec-402e-41c8-8a90-7566b6142017}</author>
    <author>tc={db1ff6a6-c981-4ad2-a5c7-2f626c2a26ca}</author>
    <author>tc={67cbc77a-8848-4a0c-a7b5-ed346c4cec5b}</author>
    <author>tc={9a8eba85-950b-4297-82ac-c81f6820feae}</author>
    <author>tc={4590cd81-e752-4c7c-b330-d625f0fdf23d}</author>
    <author>tc={12e75ebb-80ce-4f2e-bb38-01d5f1d777aa}</author>
    <author>tc={46164e8b-1a9a-44da-a15b-34bee199ea69}</author>
    <author>tc={621f50e2-aedb-4776-a09d-c40472f52aa9}</author>
    <author>tc={2e1c1ec2-67ac-4fd5-b281-2c38092997eb}</author>
    <author>tc={7cc4c7ea-77f0-44c2-af63-27700dca1fa2}</author>
    <author>tc={520b1886-b0c1-40a4-b002-184e0d918c13}</author>
    <author>tc={d07102ac-6154-4660-90d5-fbf228bc6e5d}</author>
    <author>tc={82adc7bd-620b-49c5-b2a1-3f1c1e80c583}</author>
    <author>tc={25a11f79-0268-4dad-a9f2-77d102e02509}</author>
    <author>tc={3cf48184-c570-4a38-bf15-4e6be7e1d80c}</author>
    <author>tc={17ba146d-e633-44dc-81ab-3c4940b9b90c}</author>
    <author>tc={d770b7f3-810c-416a-9b7f-130fd3e35537}</author>
    <author>tc={8830dd7a-2e1e-4cac-ac5d-1157acdcab44}</author>
    <author>tc={95299b02-ad2d-44df-978b-53cef934db25}</author>
  </authors>
  <commentList>
    <comment ref="C10" authorId="0" shapeId="0" xr:uid="{D5F63F03-A19A-4F56-8BE1-08BA4F1398C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7002650705 - FC_MED
7002704244- FC_PLS</t>
      </text>
    </comment>
    <comment ref="E10" authorId="1" shapeId="0" xr:uid="{0BEA7F2F-7B12-4535-A1F8-C295C3834B4A}">
      <text>
        <t>[Threaded comment]
Your version of Excel allows you to read this threaded comment; however, any edits to it will get removed if the file is opened in a newer version of Excel. Learn more: https://go.microsoft.com/fwlink/?linkid=870924
Comment:
    7002674778-MAL</t>
      </text>
    </comment>
    <comment ref="M10" authorId="2" shapeId="0" xr:uid="{9B6A5E1E-25A6-4941-89FC-AC9C01A8EEB1}">
      <text>
        <t>[Threaded comment]
Your version of Excel allows you to read this threaded comment; however, any edits to it will get removed if the file is opened in a newer version of Excel. Learn more: https://go.microsoft.com/fwlink/?linkid=870924
Comment:
    7002640661- GGN -close</t>
      </text>
    </comment>
    <comment ref="C11" authorId="3" shapeId="0" xr:uid="{C59EFE92-FE74-4ED3-90FD-3CD78DA30A03}">
      <text>
        <t>[Threaded comment]
Your version of Excel allows you to read this threaded comment; however, any edits to it will get removed if the file is opened in a newer version of Excel. Learn more: https://go.microsoft.com/fwlink/?linkid=870924
Comment:
    7 Pending
2 Under Process
2 placed 
1 Hold -10 boxes pending for unloading</t>
      </text>
    </comment>
    <comment ref="D11" authorId="4" shapeId="0" xr:uid="{0A4D5B40-4370-4815-A4ED-F28BF107E689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Under Process
2 - Placed
6 - Pending</t>
      </text>
    </comment>
    <comment ref="E11" authorId="5" shapeId="0" xr:uid="{F42D4553-FB34-401A-8647-9AE84FD93454}">
      <text>
        <t>[Threaded comment]
Your version of Excel allows you to read this threaded comment; however, any edits to it will get removed if the file is opened in a newer version of Excel. Learn more: https://go.microsoft.com/fwlink/?linkid=870924
Comment:
    1 Placed
2 Under Process
4 pending</t>
      </text>
    </comment>
    <comment ref="F11" authorId="6" shapeId="0" xr:uid="{3CEECED9-200F-4C4E-A79F-4593F400FE79}">
      <text>
        <t>[Threaded comment]
Your version of Excel allows you to read this threaded comment; however, any edits to it will get removed if the file is opened in a newer version of Excel. Learn more: https://go.microsoft.com/fwlink/?linkid=870924
Comment:
    3Under process
5 Pending</t>
      </text>
    </comment>
    <comment ref="J11" authorId="7" shapeId="0" xr:uid="{D4D7651F-8B8A-4F51-A28B-A716DD8548E6}">
      <text>
        <t>[Threaded comment]
Your version of Excel allows you to read this threaded comment; however, any edits to it will get removed if the file is opened in a newer version of Excel. Learn more: https://go.microsoft.com/fwlink/?linkid=870924
Comment:
    2 - PENDING
3 - Under process</t>
      </text>
    </comment>
    <comment ref="K11" authorId="8" shapeId="0" xr:uid="{1A2DDF98-E6E3-4D3D-9C45-BD9AAF97065E}">
      <text>
        <t>[Threaded comment]
Your version of Excel allows you to read this threaded comment; however, any edits to it will get removed if the file is opened in a newer version of Excel. Learn more: https://go.microsoft.com/fwlink/?linkid=870924
Comment:
    2 Under-Process
2 pending</t>
      </text>
    </comment>
    <comment ref="L11" authorId="9" shapeId="0" xr:uid="{633C2ADC-4737-412A-8531-86DEF462D7D7}">
      <text>
        <t>[Threaded comment]
Your version of Excel allows you to read this threaded comment; however, any edits to it will get removed if the file is opened in a newer version of Excel. Learn more: https://go.microsoft.com/fwlink/?linkid=870924
Comment:
    2 Under process
1 pending</t>
      </text>
    </comment>
    <comment ref="M11" authorId="10" shapeId="0" xr:uid="{4DB18782-5427-4FFA-B4AC-E46140BCB7B1}">
      <text>
        <t>[Threaded comment]
Your version of Excel allows you to read this threaded comment; however, any edits to it will get removed if the file is opened in a newer version of Excel. Learn more: https://go.microsoft.com/fwlink/?linkid=870924
Comment:
    2 Under process
2 Pending</t>
      </text>
    </comment>
    <comment ref="C19" authorId="11" shapeId="0" xr:uid="{542C55D1-2A89-4F33-84C8-499111584A03}">
      <text>
        <t>[Threaded comment]
Your version of Excel allows you to read this threaded comment; however, any edits to it will get removed if the file is opened in a newer version of Excel. Learn more: https://go.microsoft.com/fwlink/?linkid=870924
Comment:
    DSP	HR55AT7359
CVL	DL1LAN0420
MND	DL1MB3281
CVL	DL1LAN0442
CVL	DL1MA9131</t>
      </text>
    </comment>
    <comment ref="D19" authorId="12" shapeId="0" xr:uid="{55B6BD97-8BE3-46E8-8550-56B9ED03C6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NOI	HR55AT6261</t>
      </text>
    </comment>
    <comment ref="F19" authorId="13" shapeId="0" xr:uid="{86C9117B-1EE0-4277-BF30-8D525F0C5E39}">
      <text>
        <t>[Threaded comment]
Your version of Excel allows you to read this threaded comment; however, any edits to it will get removed if the file is opened in a newer version of Excel. Learn more: https://go.microsoft.com/fwlink/?linkid=870924
Comment:
    NOI	DL1MB3377
NOI	HR55AT6261</t>
      </text>
    </comment>
    <comment ref="G19" authorId="14" shapeId="0" xr:uid="{11F61A61-8799-4530-A543-AEE99FCB95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NOI DL1MA4105</t>
      </text>
    </comment>
    <comment ref="H19" authorId="15" shapeId="0" xr:uid="{1CFBE739-5DAD-490B-851D-BE9CA9AF9667}">
      <text>
        <t>[Threaded comment]
Your version of Excel allows you to read this threaded comment; however, any edits to it will get removed if the file is opened in a newer version of Excel. Learn more: https://go.microsoft.com/fwlink/?linkid=870924
Comment:
    CVL- DL1MA0331, DL1LAN0442, DL1LAN0420</t>
      </text>
    </comment>
    <comment ref="L19" authorId="16" shapeId="0" xr:uid="{D940687A-A48C-40B0-B11D-2FFFD281A2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NOI	DL1MB3377</t>
      </text>
    </comment>
    <comment ref="M19" authorId="17" shapeId="0" xr:uid="{4845B67D-32C4-4E52-8D64-96BC4B28F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CVL	DL1LAN0442
NOI	DL1MB3377</t>
      </text>
    </comment>
    <comment ref="N19" authorId="18" shapeId="0" xr:uid="{CCDAD33E-6B23-4CE9-B550-E21654EF43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NOI- HR55AT6261
NOI- HR55AK2619
CVL- DL01MB6142</t>
      </text>
    </comment>
    <comment ref="O19" authorId="19" shapeId="0" xr:uid="{3E7C4CD4-9B3E-4215-A591-EADC20CB1D86}">
      <text>
        <t>[Threaded comment]
Your version of Excel allows you to read this threaded comment; however, any edits to it will get removed if the file is opened in a newer version of Excel. Learn more: https://go.microsoft.com/fwlink/?linkid=870924
Comment:
    CVL	DL1LAN0442</t>
      </text>
    </comment>
    <comment ref="C28" authorId="20" shapeId="0" xr:uid="{BDE76B56-BBE9-454B-A81A-FF9B62268576}">
      <text>
        <t>[Threaded comment]
Your version of Excel allows you to read this threaded comment; however, any edits to it will get removed if the file is opened in a newer version of Excel. Learn more: https://go.microsoft.com/fwlink/?linkid=870924
Comment:
    3 Short received from source- MH_HYP/MH_ABD
1 MAL- Need to search
1 ULB - Tech issue</t>
      </text>
    </comment>
    <comment ref="D28" authorId="21" shapeId="0" xr:uid="{0D76F94A-0455-4FA7-8C4B-6C582560C02B}">
      <text>
        <t>[Threaded comment]
Your version of Excel allows you to read this threaded comment; however, any edits to it will get removed if the file is opened in a newer version of Excel. Learn more: https://go.microsoft.com/fwlink/?linkid=870924
Comment:
    MED &amp; PLS connected</t>
      </text>
    </comment>
    <comment ref="F28" authorId="22" shapeId="0" xr:uid="{AE211A3B-E1DB-4181-90D6-F66418B83F50}">
      <text>
        <t>[Threaded comment]
Your version of Excel allows you to read this threaded comment; however, any edits to it will get removed if the file is opened in a newer version of Excel. Learn more: https://go.microsoft.com/fwlink/?linkid=870924
Comment:
    29 -BHI
2 -tech issue
2 - connected as per cut-off</t>
      </text>
    </comment>
    <comment ref="I28" authorId="23" shapeId="0" xr:uid="{2215CDEA-3D1F-4AD4-8AB7-2DA2979FB78A}">
      <text>
        <t>[Threaded comment]
Your version of Excel allows you to read this threaded comment; however, any edits to it will get removed if the file is opened in a newer version of Excel. Learn more: https://go.microsoft.com/fwlink/?linkid=870924
Comment:
    140-ULB -tech issue
9- connected as per cut-off
2 - Ops miss</t>
      </text>
    </comment>
    <comment ref="M28" authorId="24" shapeId="0" xr:uid="{EF2DBCFC-88CA-4858-AC00-804BAFEF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GGN</t>
      </text>
    </comment>
    <comment ref="M29" authorId="25" shapeId="0" xr:uid="{F74FDC0E-05EA-4BB9-B128-68B80F922A2B}">
      <text>
        <t>[Threaded comment]
Your version of Excel allows you to read this threaded comment; however, any edits to it will get removed if the file is opened in a newer version of Excel. Learn more: https://go.microsoft.com/fwlink/?linkid=870924
Comment:
    2 MAL
1 RTO creation Pending</t>
      </text>
    </comment>
    <comment ref="C30" authorId="26" shapeId="0" xr:uid="{E1CAE4D0-E530-4CAD-9C17-1086491EEEAA}">
      <text>
        <t>[Threaded comment]
Your version of Excel allows you to read this threaded comment; however, any edits to it will get removed if the file is opened in a newer version of Excel. Learn more: https://go.microsoft.com/fwlink/?linkid=870924
Comment:
    2 -Tech issue-MAL</t>
      </text>
    </comment>
    <comment ref="D30" authorId="27" shapeId="0" xr:uid="{A0CC809E-1D68-4E53-98C9-DBC329229B50}">
      <text>
        <t>[Threaded comment]
Your version of Excel allows you to read this threaded comment; however, any edits to it will get removed if the file is opened in a newer version of Excel. Learn more: https://go.microsoft.com/fwlink/?linkid=870924
Comment:
    2 LKO short received 
2 - MAL- tech issue
1 - Need to search</t>
      </text>
    </comment>
    <comment ref="E30" authorId="28" shapeId="0" xr:uid="{52683834-226D-4724-B6BF-C1187C664AB7}">
      <text>
        <t>[Threaded comment]
Your version of Excel allows you to read this threaded comment; however, any edits to it will get removed if the file is opened in a newer version of Excel. Learn more: https://go.microsoft.com/fwlink/?linkid=870924
Comment:
    MAL -1</t>
      </text>
    </comment>
    <comment ref="F30" authorId="29" shapeId="0" xr:uid="{CF2291C1-7CDA-4A23-A871-AFD312F8CB51}">
      <text>
        <t>[Threaded comment]
Your version of Excel allows you to read this threaded comment; however, any edits to it will get removed if the file is opened in a newer version of Excel. Learn more: https://go.microsoft.com/fwlink/?linkid=870924
Comment:
    1 Document issue</t>
      </text>
    </comment>
    <comment ref="H30" authorId="30" shapeId="0" xr:uid="{510D67C5-E580-488E-940F-45DFC012562A}">
      <text>
        <t>[Threaded comment]
Your version of Excel allows you to read this threaded comment; however, any edits to it will get removed if the file is opened in a newer version of Excel. Learn more: https://go.microsoft.com/fwlink/?linkid=870924
Comment:
    EWB not received from source
FC rejected</t>
      </text>
    </comment>
    <comment ref="J30" authorId="31" shapeId="0" xr:uid="{22F287DE-7BE9-4833-8D8B-551361F5611F}">
      <text>
        <t>[Threaded comment]
Your version of Excel allows you to read this threaded comment; however, any edits to it will get removed if the file is opened in a newer version of Excel. Learn more: https://go.microsoft.com/fwlink/?linkid=870924
Comment:
    145 - Tech issue
2 Placement failure</t>
      </text>
    </comment>
    <comment ref="M30" authorId="32" shapeId="0" xr:uid="{4967BCD3-289E-4AA4-BDEF-13E1359F3154}">
      <text>
        <t>[Threaded comment]
Your version of Excel allows you to read this threaded comment; however, any edits to it will get removed if the file is opened in a newer version of Excel. Learn more: https://go.microsoft.com/fwlink/?linkid=870924
Comment:
    &gt;5 hrs. delay loading vehicle 
2 ULB 
1 GGN
1 BHI 
1 MAL</t>
      </text>
    </comment>
    <comment ref="C32" authorId="33" shapeId="0" xr:uid="{A36F5478-F8AD-4F91-A4C8-1B194E66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2 Tech issue</t>
      </text>
    </comment>
    <comment ref="D32" authorId="34" shapeId="0" xr:uid="{0C92E1EC-402E-41C8-8A90-7566B6142017}">
      <text>
        <t>[Threaded comment]
Your version of Excel allows you to read this threaded comment; however, any edits to it will get removed if the file is opened in a newer version of Excel. Learn more: https://go.microsoft.com/fwlink/?linkid=870924
Comment:
    1 Tech issue
3 Short received from source
1  Ops-miss</t>
      </text>
    </comment>
    <comment ref="E32" authorId="35" shapeId="0" xr:uid="{DB1FF6A6-C981-4AD2-A5C7-2F626C2A26CA}">
      <text>
        <t>[Threaded comment]
Your version of Excel allows you to read this threaded comment; however, any edits to it will get removed if the file is opened in a newer version of Excel. Learn more: https://go.microsoft.com/fwlink/?linkid=870924
Comment:
    3 Not received
1 Heavy weight
2 Connected</t>
      </text>
    </comment>
    <comment ref="F32" authorId="36" shapeId="0" xr:uid="{67CBC77A-8848-4A0C-A7B5-ED346C4CEC5B}">
      <text>
        <t>[Threaded comment]
Your version of Excel allows you to read this threaded comment; however, any edits to it will get removed if the file is opened in a newer version of Excel. Learn more: https://go.microsoft.com/fwlink/?linkid=870924
Comment:
    3 Ops-miss
3 connected as per cut-off
1 Documents not received</t>
      </text>
    </comment>
    <comment ref="G32" authorId="37" shapeId="0" xr:uid="{9A8EBA85-950B-4297-82AC-C81F6820FEAE}">
      <text>
        <t>[Threaded comment]
Your version of Excel allows you to read this threaded comment; however, any edits to it will get removed if the file is opened in a newer version of Excel. Learn more: https://go.microsoft.com/fwlink/?linkid=870924
Comment:
    1-Connected
2-Hold due to Heavy weight (50kg) - BHI
3-Docket Not Received (MH_ABD) - LKO</t>
      </text>
    </comment>
    <comment ref="H32" authorId="38" shapeId="0" xr:uid="{4590CD81-E752-4C7C-B330-D625F0FDF23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Connect today (Ops miss)
Connected
Connected
Connected
EWB Not received from ABD
Docket Not Received (MH_ABD)</t>
      </text>
    </comment>
    <comment ref="J32" authorId="39" shapeId="0" xr:uid="{12E75EBB-80CE-4F2E-BB38-01D5F1D777AA}">
      <text>
        <t>[Threaded comment]
Your version of Excel allows you to read this threaded comment; however, any edits to it will get removed if the file is opened in a newer version of Excel. Learn more: https://go.microsoft.com/fwlink/?linkid=870924
Comment:
    1 Ops miss
11 Tech issue
4 Connected</t>
      </text>
    </comment>
    <comment ref="K32" authorId="40" shapeId="0" xr:uid="{46164E8B-1A9A-44DA-A15B-34BEE199EA69}">
      <text>
        <t>[Threaded comment]
Your version of Excel allows you to read this threaded comment; however, any edits to it will get removed if the file is opened in a newer version of Excel. Learn more: https://go.microsoft.com/fwlink/?linkid=870924
Comment:
    7 vehicle placement failure
1 tech issue
1 Short received from Source
1 Damage received from source
3 Connected</t>
      </text>
    </comment>
    <comment ref="M32" authorId="41" shapeId="0" xr:uid="{621F50E2-AEDB-4776-A09D-C40472F52AA9}">
      <text>
        <t>[Threaded comment]
Your version of Excel allows you to read this threaded comment; however, any edits to it will get removed if the file is opened in a newer version of Excel. Learn more: https://go.microsoft.com/fwlink/?linkid=870924
Comment:
    2 Connected,
4 Docket not received from Source
1 Tech issue</t>
      </text>
    </comment>
    <comment ref="O32" authorId="42" shapeId="0" xr:uid="{2E1C1EC2-67AC-4FD5-B281-2C38092997EB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 issue</t>
      </text>
    </comment>
    <comment ref="D33" authorId="43" shapeId="0" xr:uid="{7CC4C7EA-77F0-44C2-AF63-27700DCA1FA2}">
      <text>
        <t>[Threaded comment]
Your version of Excel allows you to read this threaded comment; however, any edits to it will get removed if the file is opened in a newer version of Excel. Learn more: https://go.microsoft.com/fwlink/?linkid=870924
Comment:
    2 tech issue</t>
      </text>
    </comment>
    <comment ref="E33" authorId="44" shapeId="0" xr:uid="{520B1886-B0C1-40A4-B002-184E0D918C13}">
      <text>
        <t>[Threaded comment]
Your version of Excel allows you to read this threaded comment; however, any edits to it will get removed if the file is opened in a newer version of Excel. Learn more: https://go.microsoft.com/fwlink/?linkid=870924
Comment:
    2 tech issue
1 Ops-miss
2 Short received from source</t>
      </text>
    </comment>
    <comment ref="F33" authorId="45" shapeId="0" xr:uid="{D07102AC-6154-4660-90D5-FBF228BC6E5D}">
      <text>
        <t>[Threaded comment]
Your version of Excel allows you to read this threaded comment; however, any edits to it will get removed if the file is opened in a newer version of Excel. Learn more: https://go.microsoft.com/fwlink/?linkid=870924
Comment:
    1 -Ops miss
3 Docket not receeived</t>
      </text>
    </comment>
    <comment ref="G33" authorId="46" shapeId="0" xr:uid="{82ADC7BD-620B-49C5-B2A1-3F1C1E80C583}">
      <text>
        <t>[Threaded comment]
Your version of Excel allows you to read this threaded comment; however, any edits to it will get removed if the file is opened in a newer version of Excel. Learn more: https://go.microsoft.com/fwlink/?linkid=870924
Comment:
    1-Ops Miss - 1 Box (MAL)
2-Tech issue, Physically connected - MAL
2-Short From Source (MH_HYP) - GGN</t>
      </text>
    </comment>
    <comment ref="H33" authorId="47" shapeId="0" xr:uid="{25A11F79-0268-4DAD-A9F2-77D102E02509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 Issue, physically Connected
Connected
Docket Not Received (MH_ABD)
Tech Issue, physically Connected
Spillover
Docket Not Received (MH_ABD)</t>
      </text>
    </comment>
    <comment ref="J33" authorId="48" shapeId="0" xr:uid="{3CF48184-C570-4A38-BF15-4E6BE7E1D80C}">
      <text>
        <t>[Threaded comment]
Your version of Excel allows you to read this threaded comment; however, any edits to it will get removed if the file is opened in a newer version of Excel. Learn more: https://go.microsoft.com/fwlink/?linkid=870924
Comment:
    1 trip not created
1 tech issue
3 Docket not received from Source</t>
      </text>
    </comment>
    <comment ref="K33" authorId="49" shapeId="0" xr:uid="{17BA146D-E633-44DC-81AB-3C4940B9B90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tech issue
1 Vehicle placement failure
1 Connected
2 Docket not received</t>
      </text>
    </comment>
    <comment ref="L33" authorId="50" shapeId="0" xr:uid="{D770B7F3-810C-416A-9B7F-130FD3E35537}">
      <text>
        <t>[Threaded comment]
Your version of Excel allows you to read this threaded comment; however, any edits to it will get removed if the file is opened in a newer version of Excel. Learn more: https://go.microsoft.com/fwlink/?linkid=870924
Comment:
    1 Damage received
1 Tech issue
1 Short received from source</t>
      </text>
    </comment>
    <comment ref="M33" authorId="51" shapeId="0" xr:uid="{8830DD7A-2E1E-4CAC-AC5D-1157ACDCAB44}">
      <text>
        <t>[Threaded comment]
Your version of Excel allows you to read this threaded comment; however, any edits to it will get removed if the file is opened in a newer version of Excel. Learn more: https://go.microsoft.com/fwlink/?linkid=870924
Comment:
    1 Damage received,
1 tech issue</t>
      </text>
    </comment>
    <comment ref="O33" authorId="52" shapeId="0" xr:uid="{95299B02-AD2D-44DF-978B-53CEF934DB25}">
      <text>
        <t>[Threaded comment]
Your version of Excel allows you to read this threaded comment; however, any edits to it will get removed if the file is opened in a newer version of Excel. Learn more: https://go.microsoft.com/fwlink/?linkid=870924
Comment:
    1 Docket not received from source
1 tech issue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tc={b63548e8-bcc9-41cd-b529-95e1e1630e92}</author>
  </authors>
  <commentList>
    <comment ref="AK4" authorId="0" shapeId="0" xr:uid="{B63548E8-BCC9-41CD-B529-95E1E1630E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:- Delivered / Partial Delivered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tc={2a153ef1-204d-4ed2-b0b1-0e576f373d96}</author>
    <author>tc={6a1ff78f-0ebc-4e28-93b2-a5a2ff8b6c65}</author>
    <author>tc={af4230d2-6a90-4246-9b6a-89b7cc5479ab}</author>
  </authors>
  <commentList>
    <comment ref="L1158" authorId="0" shapeId="0" xr:uid="{2A153EF1-204D-4ED2-B0B1-0E576F373D96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boxes connected / Validated through CCTV / FC rejected stating short box/ Now connect boxes available on floor</t>
      </text>
    </comment>
    <comment ref="K1580" authorId="1" shapeId="0" xr:uid="{6A1FF78F-0EBC-4E28-93B2-A5A2FF8B6C6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discuss with Sachin R)</t>
      </text>
    </comment>
    <comment ref="K1581" authorId="2" shapeId="0" xr:uid="{AF4230D2-6A90-4246-9B6A-89B7CC5479AB}">
      <text>
        <t>[Threaded comment]
Your version of Excel allows you to read this threaded comment; however, any edits to it will get removed if the file is opened in a newer version of Excel. Learn more: https://go.microsoft.com/fwlink/?linkid=870924
Comment:
    To discuss with Sachin R)</t>
      </text>
    </comment>
  </commentList>
</comments>
</file>

<file path=xl/sharedStrings.xml><?xml version="1.0" encoding="utf-8"?>
<sst xmlns="http://schemas.openxmlformats.org/spreadsheetml/2006/main" count="21457" uniqueCount="766">
  <si>
    <t>-</t>
  </si>
  <si>
    <t>Date</t>
  </si>
  <si>
    <t>Subject</t>
  </si>
  <si>
    <t>Closed</t>
  </si>
  <si>
    <t>BNL</t>
  </si>
  <si>
    <t xml:space="preserve"> </t>
  </si>
  <si>
    <t>MPFBF Performance Report Card</t>
  </si>
  <si>
    <t>Priority Delivery</t>
  </si>
  <si>
    <t>Total AD Dockets in the Plan</t>
  </si>
  <si>
    <t>AD Dockets dispatched</t>
  </si>
  <si>
    <t>AD Achievement %age</t>
  </si>
  <si>
    <t>Total AWD Dockets in the Plan</t>
  </si>
  <si>
    <t>AWD Dockets Dispatched</t>
  </si>
  <si>
    <t>Total No of Delivery Failed (Docket wise)</t>
  </si>
  <si>
    <t>Total No of Delivery Failed Dockets (MH bucket)</t>
  </si>
  <si>
    <t>Compliance</t>
  </si>
  <si>
    <t>Weight Capture Adherence</t>
  </si>
  <si>
    <t>Short connection (LR wise)</t>
  </si>
  <si>
    <t>Inbound</t>
  </si>
  <si>
    <t>No of Vehicles reported at MLL</t>
  </si>
  <si>
    <t>No of Vehicles Unloaded &gt;4HRS</t>
  </si>
  <si>
    <t>Total Boxes Received (Count)</t>
  </si>
  <si>
    <t>Total Box Weight Received (Ton)</t>
  </si>
  <si>
    <t>7174/63.2T</t>
  </si>
  <si>
    <t>9852/98.7</t>
  </si>
  <si>
    <t>7708/82.2T</t>
  </si>
  <si>
    <t>7146/71.8T</t>
  </si>
  <si>
    <t>8286/79.7T</t>
  </si>
  <si>
    <t>9248/96.01T</t>
  </si>
  <si>
    <t>8621/81.8T</t>
  </si>
  <si>
    <t>8213/86.2 T</t>
  </si>
  <si>
    <t>9499/100T</t>
  </si>
  <si>
    <t>8309/94T</t>
  </si>
  <si>
    <t>5760/68.2T</t>
  </si>
  <si>
    <t>10363/98.3T</t>
  </si>
  <si>
    <t>8841/95.6T</t>
  </si>
  <si>
    <t>5769/61.4T</t>
  </si>
  <si>
    <t>Received Boxes - Local</t>
  </si>
  <si>
    <t>Received Boxes - PH</t>
  </si>
  <si>
    <t>Received Boxes - Zonal</t>
  </si>
  <si>
    <t>Received Boxes - National</t>
  </si>
  <si>
    <t>No. of Local/PH Vehicles reported post 03:00 am</t>
  </si>
  <si>
    <t>IB Achieved  % against Projection</t>
  </si>
  <si>
    <t>Putting</t>
  </si>
  <si>
    <t>Cross - Dock</t>
  </si>
  <si>
    <t>Putting Done</t>
  </si>
  <si>
    <t>Putting Pending</t>
  </si>
  <si>
    <t>Metrics</t>
  </si>
  <si>
    <t>RTO pendency &gt;24 hrs</t>
  </si>
  <si>
    <t>EDD Breached &gt;24 HRS (Dockets)</t>
  </si>
  <si>
    <t>Outbound Performance</t>
  </si>
  <si>
    <t>Total Floor Pendency @10:00 am</t>
  </si>
  <si>
    <t>OB Pendency &gt;24hrs ( Dockets)</t>
  </si>
  <si>
    <t>OB Pendency &gt;24hrs ( Boxes)</t>
  </si>
  <si>
    <t>OB Pendency &gt;48hrs (Dockets)</t>
  </si>
  <si>
    <t>Total Vehicles dispatched</t>
  </si>
  <si>
    <t>Total Boxes Dispatched</t>
  </si>
  <si>
    <t>Central Data - OB Pendency</t>
  </si>
  <si>
    <t>Dockets Breach : 24 - 48 Hrs</t>
  </si>
  <si>
    <t>Dockets Breach: &gt; 48 Hrs</t>
  </si>
  <si>
    <t>Returns</t>
  </si>
  <si>
    <t>RTO Pending &gt; 4 Days</t>
  </si>
  <si>
    <t>Row Labels</t>
  </si>
  <si>
    <t>Sum of Box Count</t>
  </si>
  <si>
    <t>typeOfOrder</t>
  </si>
  <si>
    <t>Internal-MP</t>
  </si>
  <si>
    <t>Orphan Boxes to be arrived</t>
  </si>
  <si>
    <t>VLPL</t>
  </si>
  <si>
    <t>Orphan Received details</t>
  </si>
  <si>
    <t>Orphan Boxes View_Tentative</t>
  </si>
  <si>
    <t>Source</t>
  </si>
  <si>
    <t>Box Count</t>
  </si>
  <si>
    <t>HR55AA3877</t>
  </si>
  <si>
    <t>Sum of currentBoxCount</t>
  </si>
  <si>
    <t>Column Labels</t>
  </si>
  <si>
    <t>Vehicle No.</t>
  </si>
  <si>
    <t>Without Docket</t>
  </si>
  <si>
    <t>CVL</t>
  </si>
  <si>
    <t>HR55AN0210</t>
  </si>
  <si>
    <t>0-12hrs</t>
  </si>
  <si>
    <t>12-20hrs</t>
  </si>
  <si>
    <t>20-24hrs</t>
  </si>
  <si>
    <t>24-48hrs</t>
  </si>
  <si>
    <t>More than 48hrs</t>
  </si>
  <si>
    <t>Grand Total</t>
  </si>
  <si>
    <t>MH_LKO</t>
  </si>
  <si>
    <t>RJ32GD5825</t>
  </si>
  <si>
    <t xml:space="preserve">With Docket </t>
  </si>
  <si>
    <t>DSP</t>
  </si>
  <si>
    <t>HR55AP0114</t>
  </si>
  <si>
    <t>FC_GGN</t>
  </si>
  <si>
    <t>CL_DSP</t>
  </si>
  <si>
    <t>DL1MB3287</t>
  </si>
  <si>
    <t xml:space="preserve">Total </t>
  </si>
  <si>
    <t>NOI</t>
  </si>
  <si>
    <t>HR55AP1406</t>
  </si>
  <si>
    <t>FC_MAL</t>
  </si>
  <si>
    <t>TECH ISSUE</t>
  </si>
  <si>
    <t>CL_CVL</t>
  </si>
  <si>
    <t>DL1MA9131</t>
  </si>
  <si>
    <t>Jaipur</t>
  </si>
  <si>
    <t>HR55AW6468</t>
  </si>
  <si>
    <t>FC_HRN</t>
  </si>
  <si>
    <t>CL_BLB</t>
  </si>
  <si>
    <t>DL1LAF8936</t>
  </si>
  <si>
    <t>LKO</t>
  </si>
  <si>
    <t>RJ32GD1328</t>
  </si>
  <si>
    <t>FC_BBI</t>
  </si>
  <si>
    <t>FC_ULB</t>
  </si>
  <si>
    <t>Client</t>
  </si>
  <si>
    <t>Pallet</t>
  </si>
  <si>
    <t>No. of Boxes</t>
  </si>
  <si>
    <t>FC_ABD</t>
  </si>
  <si>
    <t>FLIPKART</t>
  </si>
  <si>
    <t>MLL-43 P9</t>
  </si>
  <si>
    <t>FC_PLS</t>
  </si>
  <si>
    <t>MYNTRA</t>
  </si>
  <si>
    <t>MLL-43 P18</t>
  </si>
  <si>
    <t>FC_MED</t>
  </si>
  <si>
    <t>ARVIND</t>
  </si>
  <si>
    <t>MLL-43 P37</t>
  </si>
  <si>
    <t>FC_JAI</t>
  </si>
  <si>
    <t>FC_CSK</t>
  </si>
  <si>
    <t>Safari</t>
  </si>
  <si>
    <t>Mll-44 p18</t>
  </si>
  <si>
    <t>Snapin</t>
  </si>
  <si>
    <t>Mll 44-P-6</t>
  </si>
  <si>
    <t>Godraj</t>
  </si>
  <si>
    <t>Mll-46,P-15</t>
  </si>
  <si>
    <t>Jivo wilness</t>
  </si>
  <si>
    <t>Mll-46,P-17</t>
  </si>
  <si>
    <t>Yellow Dymand</t>
  </si>
  <si>
    <t>MINIMALIST</t>
  </si>
  <si>
    <t>MLL-44 P2</t>
  </si>
  <si>
    <t>MONET</t>
  </si>
  <si>
    <t>MLL-48 P20</t>
  </si>
  <si>
    <t>EVERTEEN</t>
  </si>
  <si>
    <t>MLL-48 P22</t>
  </si>
  <si>
    <t>HEATHCART</t>
  </si>
  <si>
    <t>MLL-48 P23</t>
  </si>
  <si>
    <t>FB GROUP</t>
  </si>
  <si>
    <t>MLL-48 P28</t>
  </si>
  <si>
    <t>PH 91</t>
  </si>
  <si>
    <t>Mll 46-P-19</t>
  </si>
  <si>
    <t>Ptron</t>
  </si>
  <si>
    <t>Mll 46-P-21</t>
  </si>
  <si>
    <t>Bathla</t>
  </si>
  <si>
    <t>Mll 46-P-24</t>
  </si>
  <si>
    <t>NUTTY YOOGI</t>
  </si>
  <si>
    <t>MlL-48-P-37</t>
  </si>
  <si>
    <t>Sassafras</t>
  </si>
  <si>
    <t>Mll-46,P-16</t>
  </si>
  <si>
    <t>Damensch</t>
  </si>
  <si>
    <t>Rio boom</t>
  </si>
  <si>
    <t>Ks corrporation</t>
  </si>
  <si>
    <t>LYFCARE CLASSIC ONLINE</t>
  </si>
  <si>
    <t>MLL-48 P19</t>
  </si>
  <si>
    <t>THE MAN COMPANY</t>
  </si>
  <si>
    <t>EVER RETAILS</t>
  </si>
  <si>
    <t>TOYSRUS</t>
  </si>
  <si>
    <t>BEETEL</t>
  </si>
  <si>
    <t>YELLOW DIAMOND</t>
  </si>
  <si>
    <t>MLL-48 P25</t>
  </si>
  <si>
    <t>Anveshan</t>
  </si>
  <si>
    <t>MLL-48 P29</t>
  </si>
  <si>
    <t>BOLAS</t>
  </si>
  <si>
    <t>MLL-48 P30</t>
  </si>
  <si>
    <t>REO</t>
  </si>
  <si>
    <t>MLL-48 P31</t>
  </si>
  <si>
    <t>TULSI</t>
  </si>
  <si>
    <t>CROMPTON</t>
  </si>
  <si>
    <t>MLL-48 P32</t>
  </si>
  <si>
    <t>PLUM</t>
  </si>
  <si>
    <t>BETTER NUTRITION</t>
  </si>
  <si>
    <t>ORIKA</t>
  </si>
  <si>
    <t>MTM</t>
  </si>
  <si>
    <t>MLL-48 P33</t>
  </si>
  <si>
    <t>SteelBird</t>
  </si>
  <si>
    <t>MLL-48 P34</t>
  </si>
  <si>
    <t>Frido</t>
  </si>
  <si>
    <t>Mll 46-P-18</t>
  </si>
  <si>
    <t>Decons truct</t>
  </si>
  <si>
    <t>BettER Nutration Atta</t>
  </si>
  <si>
    <t>vs Mani</t>
  </si>
  <si>
    <t>Cipla</t>
  </si>
  <si>
    <t>Mll 46-P-20</t>
  </si>
  <si>
    <t>Rio</t>
  </si>
  <si>
    <t>Rio Boom</t>
  </si>
  <si>
    <t>Bewakoof</t>
  </si>
  <si>
    <t>Dotandky</t>
  </si>
  <si>
    <t>Superwell</t>
  </si>
  <si>
    <t>Tira</t>
  </si>
  <si>
    <t>Mll 46-P-22</t>
  </si>
  <si>
    <t>Campus</t>
  </si>
  <si>
    <t>Mll 44-P-4</t>
  </si>
  <si>
    <t>Mll-44-P8</t>
  </si>
  <si>
    <t>Voltas</t>
  </si>
  <si>
    <t>Mll-44-P10</t>
  </si>
  <si>
    <t>Uber faishion</t>
  </si>
  <si>
    <t>Sudha Atta</t>
  </si>
  <si>
    <t>Eorthy Life</t>
  </si>
  <si>
    <t>Master Home Decor</t>
  </si>
  <si>
    <t>Kokuyo Camlin</t>
  </si>
  <si>
    <t>Picker</t>
  </si>
  <si>
    <t>Sanoor Textile</t>
  </si>
  <si>
    <t>Navashya Consumer</t>
  </si>
  <si>
    <t>Cipla Endura Mass</t>
  </si>
  <si>
    <t>Revection Aqua</t>
  </si>
  <si>
    <t>R k world</t>
  </si>
  <si>
    <t>Mobidryneo</t>
  </si>
  <si>
    <t>Mane kancor</t>
  </si>
  <si>
    <t>Pijechnologiens</t>
  </si>
  <si>
    <t>Lotus Herbal</t>
  </si>
  <si>
    <t>Elite Decor</t>
  </si>
  <si>
    <t>Acerturle</t>
  </si>
  <si>
    <t>Mankind</t>
  </si>
  <si>
    <t>Cello</t>
  </si>
  <si>
    <t>KVA industrial</t>
  </si>
  <si>
    <t>Ongc Petro addition</t>
  </si>
  <si>
    <t>TEKZON INDUSTRIES</t>
  </si>
  <si>
    <t>Polka pop</t>
  </si>
  <si>
    <t>Bodywise</t>
  </si>
  <si>
    <t>Pletheon</t>
  </si>
  <si>
    <t>KAPS HYGIENE SOLUTION</t>
  </si>
  <si>
    <t>SPF FASHION HUB</t>
  </si>
  <si>
    <t>FGEAR</t>
  </si>
  <si>
    <t>PEPE JEANS</t>
  </si>
  <si>
    <t>SUPERBOTTOMS</t>
  </si>
  <si>
    <t>SARAOGI SUPER SALES</t>
  </si>
  <si>
    <t>PORTRONICS</t>
  </si>
  <si>
    <t>HACHI WILSON</t>
  </si>
  <si>
    <t>AZAH</t>
  </si>
  <si>
    <t>N2B GLOBAL</t>
  </si>
  <si>
    <t>DOT&amp;KEY</t>
  </si>
  <si>
    <t>SCOOPITOS</t>
  </si>
  <si>
    <t>ETHEHOME DECOR</t>
  </si>
  <si>
    <t>NAPLA</t>
  </si>
  <si>
    <t>MLL-48 P21</t>
  </si>
  <si>
    <t>BATHLA</t>
  </si>
  <si>
    <t>INDIA TERRAIN</t>
  </si>
  <si>
    <t>DRS</t>
  </si>
  <si>
    <t>NOURISHYOU</t>
  </si>
  <si>
    <t>MENMOMS</t>
  </si>
  <si>
    <t>ILLY</t>
  </si>
  <si>
    <t>COOKD</t>
  </si>
  <si>
    <t>SKY HOMEWARE</t>
  </si>
  <si>
    <t>JK SUPER DRIVE</t>
  </si>
  <si>
    <t>KATELA CRCEATION</t>
  </si>
  <si>
    <t>JUGMUG</t>
  </si>
  <si>
    <t>LETS TRY</t>
  </si>
  <si>
    <t>DEODAP</t>
  </si>
  <si>
    <t>PH91</t>
  </si>
  <si>
    <t>MILA BEAUTE</t>
  </si>
  <si>
    <t>AMRO</t>
  </si>
  <si>
    <t>LA RENON</t>
  </si>
  <si>
    <t>BIFMA</t>
  </si>
  <si>
    <t>SGL MARKETING</t>
  </si>
  <si>
    <t>HOI</t>
  </si>
  <si>
    <t>MLL-48 P24</t>
  </si>
  <si>
    <t>WONDER</t>
  </si>
  <si>
    <t>AVON</t>
  </si>
  <si>
    <t>BETTER BRIGHTER</t>
  </si>
  <si>
    <t>LUNARMECH</t>
  </si>
  <si>
    <t>NIMSON</t>
  </si>
  <si>
    <t>AMEENAH</t>
  </si>
  <si>
    <t>LITTLE JOYS</t>
  </si>
  <si>
    <t>LEDVANCE</t>
  </si>
  <si>
    <t>PILGRIM</t>
  </si>
  <si>
    <t>MAYLO BABY</t>
  </si>
  <si>
    <t>VEDIKA AGRO</t>
  </si>
  <si>
    <t>TIANMA</t>
  </si>
  <si>
    <t>CURBYSTREET</t>
  </si>
  <si>
    <t>MARTIN AND HARRIS</t>
  </si>
  <si>
    <t>MLL-48 P27</t>
  </si>
  <si>
    <t>INNOTATIVE</t>
  </si>
  <si>
    <t>BOLDFIT</t>
  </si>
  <si>
    <t>LUX</t>
  </si>
  <si>
    <t>BLING BRAND</t>
  </si>
  <si>
    <t>WONDERLAND</t>
  </si>
  <si>
    <t>GLENMARK</t>
  </si>
  <si>
    <t>JB CHEMICALS</t>
  </si>
  <si>
    <t>TIBRA ATTIRE</t>
  </si>
  <si>
    <t>GLOBAL BEES</t>
  </si>
  <si>
    <t>PLIX</t>
  </si>
  <si>
    <t>ASTROTALK</t>
  </si>
  <si>
    <t>PTRON</t>
  </si>
  <si>
    <t>BOMBAY SAVING COMPANY</t>
  </si>
  <si>
    <t>MAN MATTERS</t>
  </si>
  <si>
    <t>THE GLAMM CLUB</t>
  </si>
  <si>
    <t>GODREG</t>
  </si>
  <si>
    <t>ACTION</t>
  </si>
  <si>
    <t>ZYDUS</t>
  </si>
  <si>
    <t>ZEXSAZONE</t>
  </si>
  <si>
    <t>Ace turtle</t>
  </si>
  <si>
    <t>ITC ESSENTRA</t>
  </si>
  <si>
    <t>URBAN GABRU</t>
  </si>
  <si>
    <t>NOVARTIS</t>
  </si>
  <si>
    <t>CSML CHANDIRAGH SPINNING MILL</t>
  </si>
  <si>
    <t>COSMO</t>
  </si>
  <si>
    <t>VEDIKA</t>
  </si>
  <si>
    <t>KUCHIPOO</t>
  </si>
  <si>
    <t>VS MANI</t>
  </si>
  <si>
    <t>TATA PLAY</t>
  </si>
  <si>
    <t>MENZ</t>
  </si>
  <si>
    <t>DI-KRAFT</t>
  </si>
  <si>
    <t>JANUMET TABLETS</t>
  </si>
  <si>
    <t>LOTUS</t>
  </si>
  <si>
    <t>SLURRP FARM</t>
  </si>
  <si>
    <t>SUN PHARMACEUTICAL</t>
  </si>
  <si>
    <t>EVELANCE</t>
  </si>
  <si>
    <t>MANKIND</t>
  </si>
  <si>
    <t>DIVISA</t>
  </si>
  <si>
    <t>MLL-48 P35</t>
  </si>
  <si>
    <t>JIBO</t>
  </si>
  <si>
    <t>CEREAL CORN</t>
  </si>
  <si>
    <t>VARLEY</t>
  </si>
  <si>
    <t>ECOAIR</t>
  </si>
  <si>
    <t>Reliance</t>
  </si>
  <si>
    <t>Sweet Karam Coffee</t>
  </si>
  <si>
    <t>Crax</t>
  </si>
  <si>
    <t>Lifestyle</t>
  </si>
  <si>
    <t>MB</t>
  </si>
  <si>
    <t>Vaibi International</t>
  </si>
  <si>
    <t>Capital Food</t>
  </si>
  <si>
    <t>Nipa Fashion</t>
  </si>
  <si>
    <t>Beston Retails</t>
  </si>
  <si>
    <t>Evelance wiper</t>
  </si>
  <si>
    <t>Nova</t>
  </si>
  <si>
    <t>De jure</t>
  </si>
  <si>
    <t>Beast LIFE</t>
  </si>
  <si>
    <t>Manna Rice</t>
  </si>
  <si>
    <t>Levista</t>
  </si>
  <si>
    <t>Softsens</t>
  </si>
  <si>
    <t>Decor</t>
  </si>
  <si>
    <t>Dr Readdy</t>
  </si>
  <si>
    <t>Repro Books</t>
  </si>
  <si>
    <t>Nuturoz</t>
  </si>
  <si>
    <t>Nilus Collection</t>
  </si>
  <si>
    <t>Paradayes</t>
  </si>
  <si>
    <t>Macho Sporto Kids</t>
  </si>
  <si>
    <t>Bombay shaving</t>
  </si>
  <si>
    <t>Increff</t>
  </si>
  <si>
    <t>PJTJ</t>
  </si>
  <si>
    <t>Man matter</t>
  </si>
  <si>
    <t>Sunlight</t>
  </si>
  <si>
    <t>Ambic</t>
  </si>
  <si>
    <t>Kapiva</t>
  </si>
  <si>
    <t>MTG</t>
  </si>
  <si>
    <t>Long Way India</t>
  </si>
  <si>
    <t>Yellow Diamond</t>
  </si>
  <si>
    <t>Plited Corpporation</t>
  </si>
  <si>
    <t>Nutty yogi</t>
  </si>
  <si>
    <t>Qtrix</t>
  </si>
  <si>
    <t>Body Cupid</t>
  </si>
  <si>
    <t>Essentra</t>
  </si>
  <si>
    <t>Boldfit</t>
  </si>
  <si>
    <t>Jivo ghee</t>
  </si>
  <si>
    <t>Poroxy</t>
  </si>
  <si>
    <t>Mll 44-P-5</t>
  </si>
  <si>
    <t>Livilon</t>
  </si>
  <si>
    <t>Mayur Clothing</t>
  </si>
  <si>
    <t>Dh Discovery</t>
  </si>
  <si>
    <t>Weelset India</t>
  </si>
  <si>
    <t>Mukunda Distrubution</t>
  </si>
  <si>
    <t>Vcmax Ecom</t>
  </si>
  <si>
    <t>Ecolink</t>
  </si>
  <si>
    <t>Plix</t>
  </si>
  <si>
    <t>Polka</t>
  </si>
  <si>
    <t>Ledvance</t>
  </si>
  <si>
    <t>Protico</t>
  </si>
  <si>
    <t>Sun Pharma</t>
  </si>
  <si>
    <t>Buyorganic Indus</t>
  </si>
  <si>
    <t>Starauss</t>
  </si>
  <si>
    <t>Vega</t>
  </si>
  <si>
    <t>Super Bottem</t>
  </si>
  <si>
    <t>Sanfe</t>
  </si>
  <si>
    <t>better Nutration Atta</t>
  </si>
  <si>
    <t>MlL-44-P-6</t>
  </si>
  <si>
    <t>Computer Grage</t>
  </si>
  <si>
    <t>Nestle</t>
  </si>
  <si>
    <t>HP Destop</t>
  </si>
  <si>
    <t>Acefour</t>
  </si>
  <si>
    <t>MC Vities</t>
  </si>
  <si>
    <t>Noise</t>
  </si>
  <si>
    <t>MlL-44-P-7</t>
  </si>
  <si>
    <t>Sangal Industries</t>
  </si>
  <si>
    <t>Natuorz</t>
  </si>
  <si>
    <t>BLCG</t>
  </si>
  <si>
    <t>Takzon</t>
  </si>
  <si>
    <t>Portronics</t>
  </si>
  <si>
    <t>Firstcry</t>
  </si>
  <si>
    <t>Earth Rhythm</t>
  </si>
  <si>
    <t>Heamlay</t>
  </si>
  <si>
    <t>KOZICARE</t>
  </si>
  <si>
    <t>WOCKHARDT</t>
  </si>
  <si>
    <t>EAT ANYTIME</t>
  </si>
  <si>
    <t>RABR</t>
  </si>
  <si>
    <t>MlL-48-P-38</t>
  </si>
  <si>
    <t>CAREFORCE</t>
  </si>
  <si>
    <t>RAYA COMMERCE</t>
  </si>
  <si>
    <t>MONTE CARLO</t>
  </si>
  <si>
    <t>NEKON</t>
  </si>
  <si>
    <t>INVERTEK</t>
  </si>
  <si>
    <t>YOGA BAR</t>
  </si>
  <si>
    <t>MlL-48-P-39</t>
  </si>
  <si>
    <t>BENADRYL</t>
  </si>
  <si>
    <t>LEEFORD</t>
  </si>
  <si>
    <t>OREAL</t>
  </si>
  <si>
    <t>MORANO</t>
  </si>
  <si>
    <t>STEALDEAL</t>
  </si>
  <si>
    <t>LAYS</t>
  </si>
  <si>
    <t>Orika</t>
  </si>
  <si>
    <t>Cuddles</t>
  </si>
  <si>
    <t>Ivas</t>
  </si>
  <si>
    <t>Boldfit Bag</t>
  </si>
  <si>
    <t>yellowget</t>
  </si>
  <si>
    <t>Aceturtle</t>
  </si>
  <si>
    <t>Rebook</t>
  </si>
  <si>
    <t>Ocean</t>
  </si>
  <si>
    <t>Unisto</t>
  </si>
  <si>
    <t>Autopowerz</t>
  </si>
  <si>
    <t>Hoolibrands</t>
  </si>
  <si>
    <t>Cif</t>
  </si>
  <si>
    <t>Beco</t>
  </si>
  <si>
    <t>Multani</t>
  </si>
  <si>
    <t>Mll-44-P11</t>
  </si>
  <si>
    <t>Electroniccraft</t>
  </si>
  <si>
    <t>Gizmore</t>
  </si>
  <si>
    <t>Gki International</t>
  </si>
  <si>
    <t>Sikkim Alkem</t>
  </si>
  <si>
    <t>ZcareForma</t>
  </si>
  <si>
    <t>Lifecare</t>
  </si>
  <si>
    <t>Webbytoyes</t>
  </si>
  <si>
    <t>Atomic Godraj</t>
  </si>
  <si>
    <t>Shopbysapi</t>
  </si>
  <si>
    <t>mll-44 p12</t>
  </si>
  <si>
    <t>Potato chips</t>
  </si>
  <si>
    <t>Deodorant</t>
  </si>
  <si>
    <t>Mll-44 p12</t>
  </si>
  <si>
    <t>Naika industri</t>
  </si>
  <si>
    <t>TNC</t>
  </si>
  <si>
    <t>Aniker Entrpri</t>
  </si>
  <si>
    <t>Kotty</t>
  </si>
  <si>
    <t>Aksa Clothing</t>
  </si>
  <si>
    <t>Grant Total</t>
  </si>
  <si>
    <t>docket No</t>
  </si>
  <si>
    <t>RCA</t>
  </si>
  <si>
    <t>Destination</t>
  </si>
  <si>
    <t>Age</t>
  </si>
  <si>
    <t>Docket not received at BNL</t>
  </si>
  <si>
    <t>MH_HYP</t>
  </si>
  <si>
    <t>&gt;20 days</t>
  </si>
  <si>
    <t>MH_ULB</t>
  </si>
  <si>
    <t>Ops Miss</t>
  </si>
  <si>
    <t>CL_NOI</t>
  </si>
  <si>
    <t>FC Rejected - Primary Packaging issue ( RTO Initiation Pending )</t>
  </si>
  <si>
    <t>11 - 20 days</t>
  </si>
  <si>
    <t>E-way expired Received From Source</t>
  </si>
  <si>
    <t>MH_CSK</t>
  </si>
  <si>
    <t>FC_LKO</t>
  </si>
  <si>
    <t>FC Rejected - Short From Source</t>
  </si>
  <si>
    <t>MH_LUD</t>
  </si>
  <si>
    <t>FC_BHI</t>
  </si>
  <si>
    <t>CL_MND</t>
  </si>
  <si>
    <t>Prateek's Breach Data_GM Call</t>
  </si>
  <si>
    <t>System Status</t>
  </si>
  <si>
    <t>SMH / DMH</t>
  </si>
  <si>
    <t>Ageing</t>
  </si>
  <si>
    <t>Connected</t>
  </si>
  <si>
    <t>In transit</t>
  </si>
  <si>
    <t>MH_BNL</t>
  </si>
  <si>
    <t>3P_JLX_SOP</t>
  </si>
  <si>
    <t>SMH</t>
  </si>
  <si>
    <t>Count of docket No</t>
  </si>
  <si>
    <t>Reached hub</t>
  </si>
  <si>
    <t>DMH</t>
  </si>
  <si>
    <t>Unloaded with exceptions</t>
  </si>
  <si>
    <t>Short From Source</t>
  </si>
  <si>
    <t>Docket cancelled from loading sheet</t>
  </si>
  <si>
    <t>Drop at scan completed</t>
  </si>
  <si>
    <t>Short From Source (ABD)</t>
  </si>
  <si>
    <t>PH_RAJ</t>
  </si>
  <si>
    <t>Loaded with exceptions</t>
  </si>
  <si>
    <t>Vehicle Placement Issue</t>
  </si>
  <si>
    <t>Loaded via streaming</t>
  </si>
  <si>
    <t>PH_PKL</t>
  </si>
  <si>
    <t>MH_JAI</t>
  </si>
  <si>
    <t>Connected / Tech Error</t>
  </si>
  <si>
    <t>MH_ABD</t>
  </si>
  <si>
    <t>Loading sheet generated</t>
  </si>
  <si>
    <t>Out for delivery</t>
  </si>
  <si>
    <t>Connection not available</t>
  </si>
  <si>
    <t>Delay Connected due Placement Failure / Spillover</t>
  </si>
  <si>
    <t>Vehicle Not Placed as per Cut Off</t>
  </si>
  <si>
    <t>Delay Connected due to Placement Failure / Spillover</t>
  </si>
  <si>
    <t>Partially unloaded at hub</t>
  </si>
  <si>
    <t>Remarks</t>
  </si>
  <si>
    <t>Spillover / Placement Failure</t>
  </si>
  <si>
    <t>Closed / Ticket Raised</t>
  </si>
  <si>
    <t>PKL- Shall connect to LUD / Discussed with Thakur</t>
  </si>
  <si>
    <t>Box Misplaced / Will closed by tomorrow EOD</t>
  </si>
  <si>
    <t>BHI / 1 vehicle received ystdy</t>
  </si>
  <si>
    <t>Escalated to ABD</t>
  </si>
  <si>
    <t>&gt;72hrs</t>
  </si>
  <si>
    <t>Box Misplaced</t>
  </si>
  <si>
    <t>48-72hrs</t>
  </si>
  <si>
    <t>No delay, received yesterday,
Will connect today</t>
  </si>
  <si>
    <t>MH_NGP</t>
  </si>
  <si>
    <t>12-24hrs</t>
  </si>
  <si>
    <t>MH_IDO</t>
  </si>
  <si>
    <t>MH_SAI</t>
  </si>
  <si>
    <t>PH_SKN</t>
  </si>
  <si>
    <t>Received post Cut-Off</t>
  </si>
  <si>
    <t>3P_JLX_NLM</t>
  </si>
  <si>
    <t>Vehicle Placement Failure</t>
  </si>
  <si>
    <t>Drop at scan completed with exceptions</t>
  </si>
  <si>
    <t>Vehicle Placement Failure( Jai )</t>
  </si>
  <si>
    <t>Short From Source (BLR)</t>
  </si>
  <si>
    <t>Ops Miss / GSTIN Issue</t>
  </si>
  <si>
    <t>short received from source</t>
  </si>
  <si>
    <t>Vehicle Placement failure</t>
  </si>
  <si>
    <t>Lable issue</t>
  </si>
  <si>
    <t>Hold By central</t>
  </si>
  <si>
    <t>Label interchange issue</t>
  </si>
  <si>
    <t>Vehicle placement failure</t>
  </si>
  <si>
    <t>3P_ALR_JAI</t>
  </si>
  <si>
    <t>Hold by Central team</t>
  </si>
  <si>
    <t>Delay Connected due to placement failure</t>
  </si>
  <si>
    <t>CL_PPT</t>
  </si>
  <si>
    <t>Count of docketNo</t>
  </si>
  <si>
    <t>Hold by central team</t>
  </si>
  <si>
    <t>FC rejected,
 they claim short, we dispatched complete,
 CCTV footage being shared</t>
  </si>
  <si>
    <t>E-way bill expired received from LUD,
 Awaited from LUD Team</t>
  </si>
  <si>
    <t>CL_SOP</t>
  </si>
  <si>
    <t xml:space="preserve">JAI &amp; LUD </t>
  </si>
  <si>
    <t>Hold Due to IR Issue</t>
  </si>
  <si>
    <t>Spillover</t>
  </si>
  <si>
    <t>Vehicle spillover issue</t>
  </si>
  <si>
    <t>CL_HSR</t>
  </si>
  <si>
    <t>CL_AGR</t>
  </si>
  <si>
    <t>E-way bill expired received from LUD,
Awaited from LUD Team</t>
  </si>
  <si>
    <t>FC rejected,
they claim short, we dispatched complete,
CCTV footage being shared</t>
  </si>
  <si>
    <t>Connected /tech issue</t>
  </si>
  <si>
    <t xml:space="preserve">SMH </t>
  </si>
  <si>
    <t>Delay connected due not showing trip</t>
  </si>
  <si>
    <t>MM</t>
  </si>
  <si>
    <t>Ops miss</t>
  </si>
  <si>
    <t>CL_MRT</t>
  </si>
  <si>
    <t>Vehicle placement failure - GGN</t>
  </si>
  <si>
    <t>Vehicle placement failure - BHI Lane</t>
  </si>
  <si>
    <t>Ops miss ( MAL &amp; HRN )</t>
  </si>
  <si>
    <t>Tech issue / Physically Connected</t>
  </si>
  <si>
    <t>Short received from Source ( ABD )</t>
  </si>
  <si>
    <t>Short received from Source</t>
  </si>
  <si>
    <t>3P_DP_STV</t>
  </si>
  <si>
    <t>Tech issue</t>
  </si>
  <si>
    <t>MH_STV</t>
  </si>
  <si>
    <t>MH_BLR</t>
  </si>
  <si>
    <t>Connected (tech issue)</t>
  </si>
  <si>
    <t>FC rejected,they claim short, we dispatched complete,CCTV footage being shared</t>
  </si>
  <si>
    <t>E-way bill expired received from Source (MH_JAI)</t>
  </si>
  <si>
    <t>Tech Issue, Physically Connected (MAL)</t>
  </si>
  <si>
    <t>Short received from Source HYP</t>
  </si>
  <si>
    <t>Short received from Source ABD</t>
  </si>
  <si>
    <t>Tech issue, Physically Connected</t>
  </si>
  <si>
    <t>Validation Done / Placement Failure</t>
  </si>
  <si>
    <t>Short Received from source CL_SOP</t>
  </si>
  <si>
    <t>Tech issue, Physically connected</t>
  </si>
  <si>
    <t>Hold due to Heavy weight (50kg)</t>
  </si>
  <si>
    <t>Docket Not Received (MH_ABD)</t>
  </si>
  <si>
    <t>Short From Source (MH_HYP)</t>
  </si>
  <si>
    <t>Short From Source (SOP)</t>
  </si>
  <si>
    <t>Will Connect In Next Available Connection</t>
  </si>
  <si>
    <t>FC
  rejected,they claim short, we dispatched complete,CCTV footage being shared</t>
  </si>
  <si>
    <t>Validation done through CCTV</t>
  </si>
  <si>
    <t>Hold due to Heavy weight (50kg)  - BHI</t>
  </si>
  <si>
    <t>Ops Miss - 1 Box (MAL)</t>
  </si>
  <si>
    <t>Tech issue, Physically connected - MAL</t>
  </si>
  <si>
    <t>Docket Not Received (MH_ABD) - LKO</t>
  </si>
  <si>
    <t>Short From Source (MH_HYP) - GGN</t>
  </si>
  <si>
    <t>Unloading sheet generated</t>
  </si>
  <si>
    <t>Docket Not Received from Source (MH_ABD)</t>
  </si>
  <si>
    <t>E-way cancel</t>
  </si>
  <si>
    <t>FC Rejected</t>
  </si>
  <si>
    <t>Connected as per Cut-Off</t>
  </si>
  <si>
    <t>Document Not Received</t>
  </si>
  <si>
    <t>Spillover (FC_BHI)</t>
  </si>
  <si>
    <t>Docket not received from MH_ABD</t>
  </si>
  <si>
    <t>Tech Issue, physically Connected</t>
  </si>
  <si>
    <t>Tech Issue</t>
  </si>
  <si>
    <t>Will Connect today</t>
  </si>
  <si>
    <t>PH_AND</t>
  </si>
  <si>
    <t>EWB Not received from ABD</t>
  </si>
  <si>
    <t>Connected as per cut-off</t>
  </si>
  <si>
    <t>Trip not created, Ticket raised</t>
  </si>
  <si>
    <t>MH_SIL</t>
  </si>
  <si>
    <t>Tech Issue, Physically box connected</t>
  </si>
  <si>
    <t>Short received from source MH_STV</t>
  </si>
  <si>
    <t>Docket not received from source MH_ABD</t>
  </si>
  <si>
    <t>FC- rejected</t>
  </si>
  <si>
    <t>Tech Issue, Physically box connected ( FC_ULB &amp; FC_MAL)</t>
  </si>
  <si>
    <t>Connected as per cut-off (FC_ULB)</t>
  </si>
  <si>
    <t>Trip not created, Ticket raised (MH_SIL)</t>
  </si>
  <si>
    <t>Ops Miss (FC_CSK)</t>
  </si>
  <si>
    <t>3P_RN_BRD</t>
  </si>
  <si>
    <t>Vehicle placement failure (FC_CSK)</t>
  </si>
  <si>
    <t>Hold due to Damge received from source (CL_CVL)</t>
  </si>
  <si>
    <t>RTO Creation pending</t>
  </si>
  <si>
    <t>Docket not receive at MLL</t>
  </si>
  <si>
    <t>Short received from source CL_CVL</t>
  </si>
  <si>
    <t>MH_PLS</t>
  </si>
  <si>
    <t>Tech issue, Physically connected (FC_ULB)</t>
  </si>
  <si>
    <t>Damge box received from source</t>
  </si>
  <si>
    <t>Short box received from source</t>
  </si>
  <si>
    <t>PH_JGN</t>
  </si>
  <si>
    <t>MH_COK</t>
  </si>
  <si>
    <t>MH_CJB</t>
  </si>
  <si>
    <t>Docket not received from source  (CL_CVL)</t>
  </si>
  <si>
    <t>Tech Issue, physically connected (FC_MAL &amp; FC_ULB)</t>
  </si>
  <si>
    <t>Damage received from source (CL_CVL)</t>
  </si>
  <si>
    <t>Vehicle placement issue (GGN)</t>
  </si>
  <si>
    <t>Connected as per cut-off(FC_MED)</t>
  </si>
  <si>
    <t>Vehicle placement issue</t>
  </si>
  <si>
    <t>Docket not received from source (CL_CVL)</t>
  </si>
  <si>
    <t>C/N label Issue</t>
  </si>
  <si>
    <t>EWB Expired (CL_NOI)</t>
  </si>
  <si>
    <t>Vehicle placement failure (FC_GGN)</t>
  </si>
  <si>
    <t>Continuous Unavailability of Vehicle</t>
  </si>
  <si>
    <t>Docket Not received from source(CL_CVL)</t>
  </si>
  <si>
    <t>Tech Issue, Physically connected (FC_MAL)</t>
  </si>
  <si>
    <t>EWB Expired</t>
  </si>
  <si>
    <t>Docket Not received from source</t>
  </si>
  <si>
    <t>Tech Issue, Physically connected</t>
  </si>
  <si>
    <t>LR Not Received</t>
  </si>
  <si>
    <t>Yesterday apptmyz issue due to not showing pendency</t>
  </si>
  <si>
    <t>Tech issue, Physically connected (FC_MAL &amp; FC_ULB)</t>
  </si>
  <si>
    <t>Docket Not received from source CL_CVL (FC_HRN)</t>
  </si>
  <si>
    <t>Continuous Unavailability of Vehicle (FC_GGN)</t>
  </si>
  <si>
    <t>FC Rejected (FC_GGN)</t>
  </si>
  <si>
    <t>E-way not received from source MH_ULB</t>
  </si>
  <si>
    <t>Yesterday apptmyz issue, due to not showing pendency (FC_MED)</t>
  </si>
  <si>
    <t>Received Box Count</t>
  </si>
  <si>
    <t>Attained %age</t>
  </si>
  <si>
    <t>MH_BNL (ekart)</t>
  </si>
  <si>
    <t>MH_PNQ</t>
  </si>
  <si>
    <t>PH_GHS</t>
  </si>
  <si>
    <t>Dispatched Box Count</t>
  </si>
  <si>
    <t>FC_CSK/BLR</t>
  </si>
  <si>
    <t>FC_MED/HYP</t>
  </si>
  <si>
    <t>FC_IDO</t>
  </si>
  <si>
    <t>CL_AMC</t>
  </si>
  <si>
    <t>MH_HRD</t>
  </si>
  <si>
    <t>MH_CUT</t>
  </si>
  <si>
    <t>MH_BNL (BA)</t>
  </si>
  <si>
    <t>PPT</t>
  </si>
  <si>
    <t>DOCKET</t>
  </si>
  <si>
    <t>statusCode</t>
  </si>
  <si>
    <t>pickupHubCode</t>
  </si>
  <si>
    <t>currentHubCode</t>
  </si>
  <si>
    <t>destinationHubCode</t>
  </si>
  <si>
    <t>totalNoOfBoxes</t>
  </si>
  <si>
    <t>currentBoxCount</t>
  </si>
  <si>
    <t>pickupBoxCount</t>
  </si>
  <si>
    <t>timeOfLastStatusUpdate</t>
  </si>
  <si>
    <t>Days</t>
  </si>
  <si>
    <t>Vehicle placement</t>
  </si>
  <si>
    <t>############</t>
  </si>
  <si>
    <t>7 - 15 days</t>
  </si>
  <si>
    <t>RTO Created pending</t>
  </si>
  <si>
    <t>CL_HRD</t>
  </si>
  <si>
    <t>&gt; 15 Days</t>
  </si>
  <si>
    <t>Docket Not Received</t>
  </si>
  <si>
    <t>Need to search</t>
  </si>
  <si>
    <t>PH_BDB</t>
  </si>
  <si>
    <t>Partial Delivered / 1 box available</t>
  </si>
  <si>
    <t>Physical Confirmation Required</t>
  </si>
  <si>
    <t>Wrong C/N pasted on the box-5663553</t>
  </si>
  <si>
    <t>Connect 05 boxes</t>
  </si>
  <si>
    <t>7 Boxes Delivered</t>
  </si>
  <si>
    <t>Connected on new docket</t>
  </si>
  <si>
    <t>7001139985 Docket delivered on new docket</t>
  </si>
  <si>
    <t>Wrong address mentioned in the label - 5895546</t>
  </si>
  <si>
    <t>Wrong label pasted on the box 3360573</t>
  </si>
  <si>
    <t>all box connected as per cctv footage</t>
  </si>
  <si>
    <t>Rejected by FC ( short Box connected)</t>
  </si>
  <si>
    <t>Not Received from source</t>
  </si>
  <si>
    <t>Docket unscanned</t>
  </si>
  <si>
    <t>Box received at VLPL</t>
  </si>
  <si>
    <t>DRS unloaded</t>
  </si>
  <si>
    <t>Reached delivery hub</t>
  </si>
  <si>
    <t>already connected old docket no 7000684206 and abd rto generated</t>
  </si>
  <si>
    <t>PL team arrange vehicle</t>
  </si>
  <si>
    <t>1 box Short Received</t>
  </si>
  <si>
    <t>docketNo</t>
  </si>
  <si>
    <t>timeOfLastStatusUpdate2</t>
  </si>
  <si>
    <t>Days Ageing</t>
  </si>
  <si>
    <t>Not Received</t>
  </si>
  <si>
    <t>28-03-2026 01:22</t>
  </si>
  <si>
    <t>18-03-2026 00:23</t>
  </si>
  <si>
    <t>7001612461 Docket delivere on new docket</t>
  </si>
  <si>
    <t xml:space="preserve">Data Not Push </t>
  </si>
  <si>
    <t>PH_HRN</t>
  </si>
  <si>
    <t xml:space="preserve">PH_RAJ
</t>
  </si>
  <si>
    <t>JGN</t>
  </si>
  <si>
    <t>NGP</t>
  </si>
  <si>
    <t>CJB</t>
  </si>
  <si>
    <t>EX CLIENT</t>
  </si>
  <si>
    <t>PH_RTC</t>
  </si>
  <si>
    <t>ABD</t>
  </si>
  <si>
    <t>3P_MPCL_BNL</t>
  </si>
  <si>
    <t>PH_IDO</t>
  </si>
  <si>
    <t>3P_MPCL_JAI</t>
  </si>
  <si>
    <t>3P_GRF_NSK</t>
  </si>
  <si>
    <t>OB Total</t>
  </si>
  <si>
    <t>FC HRN</t>
  </si>
  <si>
    <t>BLR</t>
  </si>
  <si>
    <t>FC ABD</t>
  </si>
  <si>
    <t>HYP</t>
  </si>
  <si>
    <t>IDO</t>
  </si>
  <si>
    <t>3P_MM_BHOP</t>
  </si>
  <si>
    <t>CL_PUR</t>
  </si>
  <si>
    <t>3P_ZS_VAPI</t>
  </si>
  <si>
    <t>Sn</t>
  </si>
  <si>
    <t>GGN</t>
  </si>
  <si>
    <t>Mal</t>
  </si>
  <si>
    <t>HRN</t>
  </si>
  <si>
    <t>ULB FC</t>
  </si>
  <si>
    <t>BHI</t>
  </si>
  <si>
    <t>Total Pallets</t>
  </si>
  <si>
    <t>MED</t>
  </si>
  <si>
    <t>PH</t>
  </si>
  <si>
    <t>ULB MH</t>
  </si>
  <si>
    <t>JAIPUR</t>
  </si>
  <si>
    <t>SIL</t>
  </si>
  <si>
    <t>PLS</t>
  </si>
  <si>
    <t>BBI</t>
  </si>
  <si>
    <t>Box Projection
as per Central design</t>
  </si>
  <si>
    <t>P'0' &amp; P'1'</t>
  </si>
  <si>
    <t>GGN_IB_Capacity</t>
  </si>
  <si>
    <t>BNL_Dispatch_Qty</t>
  </si>
  <si>
    <t>BNL_Dispatch_Boxes</t>
  </si>
  <si>
    <t>BNL Dispatch Qty v/s
GGN IB Capacity</t>
  </si>
  <si>
    <t>BNL Dispatch Qty v/s
P'0' and P'1'Qty</t>
  </si>
  <si>
    <t>Projected P'0' &amp; P'1' Qty v/s
GGN IB Capacity</t>
  </si>
  <si>
    <t>No Load available on the Floor</t>
  </si>
  <si>
    <t>Less load on floor</t>
  </si>
  <si>
    <t>Vehicle avalability issue due to unloading issue at GGN</t>
  </si>
  <si>
    <t xml:space="preserve">Date </t>
  </si>
  <si>
    <t>DOCKET NO</t>
  </si>
  <si>
    <t>Qty Bucket</t>
  </si>
  <si>
    <t>Single box</t>
  </si>
  <si>
    <t>2-5 Box</t>
  </si>
  <si>
    <t>More than 10 box</t>
  </si>
  <si>
    <t>5-10 Box</t>
  </si>
  <si>
    <t xml:space="preserve">5-10 Box </t>
  </si>
  <si>
    <t>Short box received</t>
  </si>
  <si>
    <t>5-10 box</t>
  </si>
  <si>
    <t>Single Box</t>
  </si>
  <si>
    <t>6-10 Box</t>
  </si>
  <si>
    <t>More than 10 Box</t>
  </si>
  <si>
    <t>5-8 Box</t>
  </si>
  <si>
    <t>6-8 Box</t>
  </si>
  <si>
    <t xml:space="preserve">Single box </t>
  </si>
  <si>
    <t>6-10 box</t>
  </si>
  <si>
    <t>13/6/2026</t>
  </si>
  <si>
    <t>15/6/2026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</si>
</sst>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9" formatCode="d&quot;-&quot;mmm&quot;-&quot;yyyy"/>
    <numFmt numFmtId="170" formatCode="0.0%"/>
    <numFmt numFmtId="172" formatCode="d\-mmm"/>
    <numFmt numFmtId="173" formatCode="m\-d\-yyyy\ h:mm"/>
    <numFmt numFmtId="174" formatCode="mm\-dd\-yyyy\ h:mm"/>
    <numFmt numFmtId="175" formatCode="mm\-dd\-yyyy"/>
    <numFmt numFmtId="176" formatCode="mmmm\-dd"/>
    <numFmt numFmtId="177" formatCode="mmmm\ dd"/>
    <numFmt numFmtId="178" formatCode="dd\ mmmm"/>
    <numFmt numFmtId="179" formatCode="mmmm\-d"/>
    <numFmt numFmtId="180" formatCode="mmmm\ d"/>
    <numFmt numFmtId="181" formatCode="mmm\-dd"/>
    <numFmt numFmtId="182" formatCode="mmm\-d"/>
    <numFmt numFmtId="183" formatCode="dd\-mmm"/>
    <numFmt numFmtId="184" formatCode="dd\-mmmm"/>
  </numFmts>
  <fonts count="47">
    <font>
      <sz val="10"/>
      <color rgb="FF000000"/>
      <name val="Arial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Liberation Serif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&quot;Aptos Narrow&quot;"/>
    </font>
    <font>
      <sz val="11"/>
      <color rgb="FF000000"/>
      <name val="&quot;Nunito Sans&quot;"/>
    </font>
    <font>
      <b/>
      <sz val="10"/>
      <color rgb="FF000000"/>
      <name val="Calibri"/>
      <family val="2"/>
    </font>
    <font>
      <b/>
      <sz val="11"/>
      <color theme="1"/>
      <name val="Arial"/>
      <family val="2"/>
      <scheme val="minor"/>
    </font>
    <font>
      <b/>
      <sz val="10"/>
      <color rgb="FF000000"/>
      <name val="&quot;Aptos Narrow&quot;"/>
    </font>
    <font>
      <sz val="10"/>
      <color rgb="FF000000"/>
      <name val="&quot;Aptos Narrow&quot;"/>
    </font>
    <font>
      <b/>
      <sz val="10"/>
      <color theme="1"/>
      <name val="Arial"/>
      <family val="2"/>
      <scheme val="minor"/>
    </font>
    <font>
      <sz val="9"/>
      <color rgb="FF000000"/>
      <name val="Calibri"/>
      <family val="2"/>
    </font>
    <font>
      <sz val="9"/>
      <color rgb="FF000000"/>
      <name val="&quot;Aptos Narrow&quot;"/>
    </font>
    <font>
      <sz val="9"/>
      <color rgb="FF000000"/>
      <name val="Arial"/>
      <family val="2"/>
    </font>
    <font>
      <sz val="9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FFFF"/>
      <name val="Arial"/>
      <family val="2"/>
    </font>
    <font>
      <b/>
      <sz val="11"/>
      <color rgb="FFFFFFFF"/>
      <name val="&quot;Aptos Narrow&quot;"/>
    </font>
    <font>
      <sz val="10"/>
      <color rgb="FF222222"/>
      <name val="Arial"/>
      <family val="2"/>
    </font>
    <font>
      <b/>
      <sz val="10"/>
      <color theme="1"/>
      <name val="Liberation Serif"/>
    </font>
    <font>
      <sz val="10"/>
      <color rgb="FFFF0000"/>
      <name val="Liberation Serif"/>
    </font>
    <font>
      <sz val="10"/>
      <color rgb="FF000000"/>
      <name val="Arial"/>
      <family val="2"/>
      <scheme val="minor"/>
    </font>
    <font>
      <b/>
      <sz val="11"/>
      <color theme="1"/>
      <name val="Cambria"/>
      <family val="1"/>
    </font>
    <font>
      <sz val="11"/>
      <color theme="1"/>
      <name val="Aptos Narrow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AE9F8"/>
        <bgColor rgb="FFDAE9F8"/>
      </patternFill>
    </fill>
    <fill>
      <patternFill patternType="solid">
        <fgColor rgb="FFDCE6F1"/>
        <bgColor rgb="FFDCE6F1"/>
      </patternFill>
    </fill>
    <fill>
      <patternFill patternType="solid">
        <fgColor rgb="FFD9D2E9"/>
        <bgColor rgb="FFD9D2E9"/>
      </patternFill>
    </fill>
    <fill>
      <patternFill patternType="solid">
        <fgColor rgb="FFF7C7AC"/>
        <bgColor rgb="FFF7C7AC"/>
      </patternFill>
    </fill>
    <fill>
      <patternFill patternType="solid">
        <fgColor rgb="FFD9E1F4"/>
        <bgColor rgb="FFD9E1F4"/>
      </patternFill>
    </fill>
    <fill>
      <patternFill patternType="solid">
        <fgColor rgb="FFCAEDFB"/>
        <bgColor rgb="FFCAEDFB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156082"/>
        <bgColor rgb="FF156082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BEFF1"/>
        <bgColor rgb="FFEBEFF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44B3E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91AADF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9" fontId="8" fillId="7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170" fontId="4" fillId="5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7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/>
    <xf numFmtId="172" fontId="15" fillId="5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15" fillId="10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72" fontId="7" fillId="5" borderId="1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/>
    <xf numFmtId="0" fontId="15" fillId="8" borderId="1" xfId="0" applyFont="1" applyFill="1" applyBorder="1" applyAlignment="1">
      <alignment horizontal="center"/>
    </xf>
    <xf numFmtId="0" fontId="17" fillId="8" borderId="1" xfId="0" applyFont="1" applyFill="1" applyBorder="1"/>
    <xf numFmtId="0" fontId="17" fillId="8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 wrapText="1"/>
    </xf>
    <xf numFmtId="0" fontId="18" fillId="13" borderId="8" xfId="0" applyFont="1" applyFill="1" applyBorder="1"/>
    <xf numFmtId="0" fontId="2" fillId="13" borderId="8" xfId="0" applyFont="1" applyFill="1" applyBorder="1"/>
    <xf numFmtId="0" fontId="1" fillId="11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1" fillId="13" borderId="1" xfId="0" applyFont="1" applyFill="1" applyBorder="1" applyAlignment="1">
      <alignment horizontal="center"/>
    </xf>
    <xf numFmtId="173" fontId="1" fillId="0" borderId="0" xfId="0" applyNumberFormat="1" applyFont="1"/>
    <xf numFmtId="0" fontId="19" fillId="11" borderId="1" xfId="0" applyFont="1" applyFill="1" applyBorder="1" applyAlignment="1">
      <alignment horizontal="center"/>
    </xf>
    <xf numFmtId="0" fontId="19" fillId="11" borderId="0" xfId="0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173" fontId="20" fillId="11" borderId="0" xfId="0" applyNumberFormat="1" applyFont="1" applyFill="1" applyAlignment="1">
      <alignment horizontal="center"/>
    </xf>
    <xf numFmtId="173" fontId="20" fillId="0" borderId="0" xfId="0" applyNumberFormat="1" applyFont="1" applyAlignment="1">
      <alignment horizontal="center"/>
    </xf>
    <xf numFmtId="173" fontId="21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0" fontId="21" fillId="0" borderId="0" xfId="0" applyFont="1"/>
    <xf numFmtId="0" fontId="2" fillId="13" borderId="1" xfId="0" applyFont="1" applyFill="1" applyBorder="1" applyAlignment="1">
      <alignment horizontal="center"/>
    </xf>
    <xf numFmtId="173" fontId="2" fillId="13" borderId="1" xfId="0" applyNumberFormat="1" applyFont="1" applyFill="1" applyBorder="1" applyAlignment="1">
      <alignment horizontal="center"/>
    </xf>
    <xf numFmtId="173" fontId="20" fillId="0" borderId="1" xfId="0" applyNumberFormat="1" applyFont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23" fillId="11" borderId="7" xfId="0" applyFont="1" applyFill="1" applyBorder="1" applyAlignment="1">
      <alignment horizontal="center"/>
    </xf>
    <xf numFmtId="0" fontId="23" fillId="11" borderId="9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173" fontId="13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74" fontId="21" fillId="11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75" fontId="21" fillId="11" borderId="1" xfId="0" applyNumberFormat="1" applyFont="1" applyFill="1" applyBorder="1" applyAlignment="1">
      <alignment horizontal="center"/>
    </xf>
    <xf numFmtId="175" fontId="21" fillId="11" borderId="0" xfId="0" applyNumberFormat="1" applyFont="1" applyFill="1" applyAlignment="1">
      <alignment horizontal="center"/>
    </xf>
    <xf numFmtId="173" fontId="1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6" fillId="11" borderId="0" xfId="0" applyFont="1" applyFill="1"/>
    <xf numFmtId="173" fontId="1" fillId="11" borderId="0" xfId="0" applyNumberFormat="1" applyFont="1" applyFill="1"/>
    <xf numFmtId="0" fontId="2" fillId="11" borderId="7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4" fillId="11" borderId="0" xfId="0" applyFont="1" applyFill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11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6" fillId="11" borderId="0" xfId="0" applyFont="1" applyFill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0" fontId="1" fillId="0" borderId="1" xfId="0" applyFont="1" applyBorder="1"/>
    <xf numFmtId="176" fontId="1" fillId="0" borderId="1" xfId="0" applyNumberFormat="1" applyFont="1" applyBorder="1"/>
    <xf numFmtId="0" fontId="5" fillId="0" borderId="0" xfId="0" applyFont="1"/>
    <xf numFmtId="0" fontId="28" fillId="13" borderId="1" xfId="0" applyFont="1" applyFill="1" applyBorder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0" fontId="30" fillId="14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17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0" fillId="11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179" fontId="23" fillId="0" borderId="1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179" fontId="33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17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9" fillId="17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179" fontId="36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17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9" fillId="20" borderId="0" xfId="0" applyFont="1" applyFill="1" applyAlignment="1">
      <alignment horizontal="center"/>
    </xf>
    <xf numFmtId="0" fontId="19" fillId="20" borderId="12" xfId="0" applyFont="1" applyFill="1" applyBorder="1" applyAlignment="1">
      <alignment horizontal="center"/>
    </xf>
    <xf numFmtId="0" fontId="19" fillId="20" borderId="1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/>
    </xf>
    <xf numFmtId="0" fontId="4" fillId="0" borderId="0" xfId="0" applyFont="1"/>
    <xf numFmtId="0" fontId="23" fillId="0" borderId="1" xfId="0" applyFont="1" applyBorder="1" applyAlignment="1">
      <alignment horizontal="right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left"/>
    </xf>
    <xf numFmtId="0" fontId="4" fillId="2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9" fillId="25" borderId="13" xfId="0" applyFont="1" applyFill="1" applyBorder="1" applyAlignment="1">
      <alignment horizontal="center"/>
    </xf>
    <xf numFmtId="0" fontId="40" fillId="25" borderId="14" xfId="0" applyFont="1" applyFill="1" applyBorder="1" applyAlignment="1">
      <alignment horizontal="center"/>
    </xf>
    <xf numFmtId="0" fontId="40" fillId="25" borderId="15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41" fillId="11" borderId="14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2" fillId="11" borderId="0" xfId="0" applyFont="1" applyFill="1"/>
    <xf numFmtId="0" fontId="40" fillId="11" borderId="0" xfId="0" applyFont="1" applyFill="1"/>
    <xf numFmtId="0" fontId="40" fillId="11" borderId="14" xfId="0" applyFont="1" applyFill="1" applyBorder="1"/>
    <xf numFmtId="0" fontId="40" fillId="25" borderId="13" xfId="0" applyFont="1" applyFill="1" applyBorder="1"/>
    <xf numFmtId="0" fontId="40" fillId="25" borderId="14" xfId="0" applyFont="1" applyFill="1" applyBorder="1"/>
    <xf numFmtId="0" fontId="40" fillId="25" borderId="15" xfId="0" applyFont="1" applyFill="1" applyBorder="1"/>
    <xf numFmtId="0" fontId="1" fillId="13" borderId="13" xfId="0" applyFont="1" applyFill="1" applyBorder="1" applyAlignment="1">
      <alignment horizontal="right"/>
    </xf>
    <xf numFmtId="0" fontId="1" fillId="13" borderId="14" xfId="0" applyFont="1" applyFill="1" applyBorder="1"/>
    <xf numFmtId="0" fontId="1" fillId="13" borderId="14" xfId="0" applyFont="1" applyFill="1" applyBorder="1" applyAlignment="1">
      <alignment horizontal="right"/>
    </xf>
    <xf numFmtId="174" fontId="1" fillId="13" borderId="14" xfId="0" applyNumberFormat="1" applyFont="1" applyFill="1" applyBorder="1" applyAlignment="1">
      <alignment horizontal="right"/>
    </xf>
    <xf numFmtId="0" fontId="1" fillId="13" borderId="15" xfId="0" applyFont="1" applyFill="1" applyBorder="1"/>
    <xf numFmtId="0" fontId="1" fillId="0" borderId="13" xfId="0" applyFont="1" applyBorder="1" applyAlignment="1">
      <alignment horizontal="right"/>
    </xf>
    <xf numFmtId="0" fontId="1" fillId="0" borderId="14" xfId="0" applyFont="1" applyBorder="1"/>
    <xf numFmtId="0" fontId="1" fillId="0" borderId="14" xfId="0" applyFont="1" applyBorder="1" applyAlignment="1">
      <alignment horizontal="right"/>
    </xf>
    <xf numFmtId="174" fontId="1" fillId="0" borderId="14" xfId="0" applyNumberFormat="1" applyFont="1" applyBorder="1" applyAlignment="1">
      <alignment horizontal="right"/>
    </xf>
    <xf numFmtId="0" fontId="1" fillId="0" borderId="15" xfId="0" applyFont="1" applyBorder="1"/>
    <xf numFmtId="0" fontId="41" fillId="11" borderId="0" xfId="0" applyFont="1" applyFill="1"/>
    <xf numFmtId="0" fontId="5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183" fontId="4" fillId="0" borderId="0" xfId="0" applyNumberFormat="1" applyFont="1"/>
    <xf numFmtId="0" fontId="5" fillId="3" borderId="1" xfId="0" applyFont="1" applyFill="1" applyBorder="1" applyAlignment="1">
      <alignment horizontal="center"/>
    </xf>
    <xf numFmtId="0" fontId="4" fillId="24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42" fillId="13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20" fillId="26" borderId="1" xfId="0" applyFont="1" applyFill="1" applyBorder="1" applyAlignment="1">
      <alignment horizontal="center"/>
    </xf>
    <xf numFmtId="0" fontId="20" fillId="13" borderId="1" xfId="0" applyFont="1" applyFill="1" applyBorder="1" applyAlignment="1">
      <alignment horizontal="center"/>
    </xf>
    <xf numFmtId="0" fontId="20" fillId="27" borderId="1" xfId="0" applyFont="1" applyFill="1" applyBorder="1" applyAlignment="1">
      <alignment horizontal="center"/>
    </xf>
    <xf numFmtId="172" fontId="14" fillId="0" borderId="1" xfId="0" applyNumberFormat="1" applyFont="1" applyBorder="1" applyAlignment="1">
      <alignment horizontal="center"/>
    </xf>
    <xf numFmtId="10" fontId="43" fillId="0" borderId="1" xfId="0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184" fontId="14" fillId="0" borderId="1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3" borderId="1" xfId="0" applyFont="1" applyFill="1" applyBorder="1" applyAlignment="1">
      <alignment horizontal="center" wrapText="1"/>
    </xf>
    <xf numFmtId="14" fontId="13" fillId="0" borderId="1" xfId="0" applyNumberFormat="1" applyFont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3" fillId="28" borderId="1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6" fillId="0" borderId="1" xfId="0" applyFont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10" fillId="6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/>
    </xf>
    <xf numFmtId="173" fontId="20" fillId="0" borderId="2" xfId="0" applyNumberFormat="1" applyFont="1" applyBorder="1" applyAlignment="1">
      <alignment horizontal="center"/>
    </xf>
    <xf numFmtId="0" fontId="18" fillId="1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77" fontId="29" fillId="14" borderId="2" xfId="0" applyNumberFormat="1" applyFont="1" applyFill="1" applyBorder="1" applyAlignment="1">
      <alignment horizontal="center"/>
    </xf>
    <xf numFmtId="180" fontId="32" fillId="15" borderId="2" xfId="0" applyNumberFormat="1" applyFont="1" applyFill="1" applyBorder="1" applyAlignment="1">
      <alignment horizontal="center"/>
    </xf>
    <xf numFmtId="180" fontId="29" fillId="14" borderId="2" xfId="0" applyNumberFormat="1" applyFont="1" applyFill="1" applyBorder="1" applyAlignment="1">
      <alignment horizontal="center"/>
    </xf>
    <xf numFmtId="179" fontId="18" fillId="16" borderId="2" xfId="0" applyNumberFormat="1" applyFont="1" applyFill="1" applyBorder="1" applyAlignment="1">
      <alignment horizontal="center"/>
    </xf>
    <xf numFmtId="181" fontId="2" fillId="13" borderId="2" xfId="0" applyNumberFormat="1" applyFont="1" applyFill="1" applyBorder="1" applyAlignment="1">
      <alignment horizontal="center"/>
    </xf>
    <xf numFmtId="181" fontId="18" fillId="13" borderId="2" xfId="0" applyNumberFormat="1" applyFont="1" applyFill="1" applyBorder="1" applyAlignment="1">
      <alignment horizontal="center"/>
    </xf>
    <xf numFmtId="182" fontId="2" fillId="21" borderId="2" xfId="0" applyNumberFormat="1" applyFont="1" applyFill="1" applyBorder="1" applyAlignment="1">
      <alignment horizontal="center"/>
    </xf>
    <xf numFmtId="182" fontId="2" fillId="13" borderId="2" xfId="0" applyNumberFormat="1" applyFont="1" applyFill="1" applyBorder="1" applyAlignment="1">
      <alignment horizontal="center"/>
    </xf>
    <xf numFmtId="179" fontId="12" fillId="22" borderId="2" xfId="0" applyNumberFormat="1" applyFont="1" applyFill="1" applyBorder="1" applyAlignment="1">
      <alignment horizontal="center"/>
    </xf>
    <xf numFmtId="0" fontId="18" fillId="19" borderId="0" xfId="0" applyFont="1" applyFill="1" applyAlignment="1">
      <alignment horizontal="center"/>
    </xf>
    <xf numFmtId="0" fontId="0" fillId="0" borderId="0" xfId="0"/>
    <xf numFmtId="0" fontId="3" fillId="0" borderId="11" xfId="0" applyFont="1" applyBorder="1"/>
    <xf numFmtId="179" fontId="4" fillId="7" borderId="2" xfId="0" applyNumberFormat="1" applyFont="1" applyFill="1" applyBorder="1" applyAlignment="1">
      <alignment horizontal="center"/>
    </xf>
    <xf numFmtId="179" fontId="2" fillId="16" borderId="2" xfId="0" applyNumberFormat="1" applyFont="1" applyFill="1" applyBorder="1" applyAlignment="1">
      <alignment horizontal="center"/>
    </xf>
    <xf numFmtId="0" fontId="4" fillId="24" borderId="5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entral RCA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GGN grid view -style" pivot="0" count="2" xr9:uid="{00000000-0011-0000-FFFF-FFFF01000000}">
      <tableStyleElement type="firstRowStripe" dxfId="3"/>
      <tableStyleElement type="secondRowStripe" dxfId="2"/>
    </tableStyle>
    <tableStyle name="GGN grid view -style 2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152400</xdr:colOff>
      <xdr:row>10</xdr:row>
      <xdr:rowOff>50800</xdr:rowOff>
    </xdr:from>
    <xdr:to>
      <xdr:col>2</xdr:col>
      <xdr:colOff>152400</xdr:colOff>
      <xdr:row>15</xdr:row>
      <xdr:rowOff>120650</xdr:rowOff>
    </xdr:to>
    <xdr:sp macro="" textlink="">
      <xdr:nvSpPr>
        <xdr:cNvPr id="2346" name="Text Box 298" hidden="1">
          <a:extLst>
            <a:ext uri="{FF2B5EF4-FFF2-40B4-BE49-F238E27FC236}">
              <a16:creationId xmlns:a16="http://schemas.microsoft.com/office/drawing/2014/main" id="{69311EBF-BACC-AF6F-FDD4-6F6D8B761119}"/>
            </a:ext>
          </a:extLst>
        </xdr:cNvPr>
        <xdr:cNvSpPr txBox="1">
          <a:spLocks noChangeArrowheads="1"/>
        </xdr:cNvSpPr>
      </xdr:nvSpPr>
      <xdr:spPr bwMode="auto">
        <a:xfrm>
          <a:off x="4451350" y="552450"/>
          <a:ext cx="0" cy="863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152400</xdr:colOff>
      <xdr:row>13</xdr:row>
      <xdr:rowOff>0</xdr:rowOff>
    </xdr:from>
    <xdr:to>
      <xdr:col>2</xdr:col>
      <xdr:colOff>152400</xdr:colOff>
      <xdr:row>18</xdr:row>
      <xdr:rowOff>292100</xdr:rowOff>
    </xdr:to>
    <xdr:sp macro="" textlink="">
      <xdr:nvSpPr>
        <xdr:cNvPr id="2319" name="Text Box 271" hidden="1">
          <a:extLst>
            <a:ext uri="{FF2B5EF4-FFF2-40B4-BE49-F238E27FC236}">
              <a16:creationId xmlns:a16="http://schemas.microsoft.com/office/drawing/2014/main" id="{DBEEFBB2-AAF7-6E20-0086-1F5A83C593AE}"/>
            </a:ext>
          </a:extLst>
        </xdr:cNvPr>
        <xdr:cNvSpPr txBox="1">
          <a:spLocks noChangeArrowheads="1"/>
        </xdr:cNvSpPr>
      </xdr:nvSpPr>
      <xdr:spPr bwMode="auto">
        <a:xfrm>
          <a:off x="4451350" y="977900"/>
          <a:ext cx="0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152400</xdr:colOff>
      <xdr:row>10</xdr:row>
      <xdr:rowOff>50800</xdr:rowOff>
    </xdr:from>
    <xdr:to>
      <xdr:col>2</xdr:col>
      <xdr:colOff>152400</xdr:colOff>
      <xdr:row>14</xdr:row>
      <xdr:rowOff>114300</xdr:rowOff>
    </xdr:to>
    <xdr:sp macro="" textlink="">
      <xdr:nvSpPr>
        <xdr:cNvPr id="2292" name="Text Box 244" hidden="1">
          <a:extLst>
            <a:ext uri="{FF2B5EF4-FFF2-40B4-BE49-F238E27FC236}">
              <a16:creationId xmlns:a16="http://schemas.microsoft.com/office/drawing/2014/main" id="{C2E4E5C4-3A0A-B0CC-6E0F-610ED3629C3E}"/>
            </a:ext>
          </a:extLst>
        </xdr:cNvPr>
        <xdr:cNvSpPr txBox="1">
          <a:spLocks noChangeArrowheads="1"/>
        </xdr:cNvSpPr>
      </xdr:nvSpPr>
      <xdr:spPr bwMode="auto">
        <a:xfrm>
          <a:off x="4451350" y="552450"/>
          <a:ext cx="0" cy="698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152400</xdr:colOff>
      <xdr:row>10</xdr:row>
      <xdr:rowOff>50800</xdr:rowOff>
    </xdr:from>
    <xdr:to>
      <xdr:col>2</xdr:col>
      <xdr:colOff>152400</xdr:colOff>
      <xdr:row>11</xdr:row>
      <xdr:rowOff>95250</xdr:rowOff>
    </xdr:to>
    <xdr:sp macro="" textlink="">
      <xdr:nvSpPr>
        <xdr:cNvPr id="2281" name="Text Box 233" hidden="1">
          <a:extLst>
            <a:ext uri="{FF2B5EF4-FFF2-40B4-BE49-F238E27FC236}">
              <a16:creationId xmlns:a16="http://schemas.microsoft.com/office/drawing/2014/main" id="{AF7E6C8B-C4A5-E83F-63AF-5FF940AA5C36}"/>
            </a:ext>
          </a:extLst>
        </xdr:cNvPr>
        <xdr:cNvSpPr txBox="1">
          <a:spLocks noChangeArrowheads="1"/>
        </xdr:cNvSpPr>
      </xdr:nvSpPr>
      <xdr:spPr bwMode="auto">
        <a:xfrm>
          <a:off x="4451350" y="552450"/>
          <a:ext cx="0" cy="203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152400</xdr:colOff>
      <xdr:row>996</xdr:row>
      <xdr:rowOff>152400</xdr:rowOff>
    </xdr:from>
    <xdr:to>
      <xdr:col>2</xdr:col>
      <xdr:colOff>152400</xdr:colOff>
      <xdr:row>996</xdr:row>
      <xdr:rowOff>152400</xdr:rowOff>
    </xdr:to>
    <xdr:sp macro="" textlink="">
      <xdr:nvSpPr>
        <xdr:cNvPr id="2195" name="Text Box 147" hidden="1">
          <a:extLst>
            <a:ext uri="{FF2B5EF4-FFF2-40B4-BE49-F238E27FC236}">
              <a16:creationId xmlns:a16="http://schemas.microsoft.com/office/drawing/2014/main" id="{334A5D7E-3877-ECE1-6D7C-6FFEFDFF9D60}"/>
            </a:ext>
          </a:extLst>
        </xdr:cNvPr>
        <xdr:cNvSpPr txBox="1">
          <a:spLocks noChangeArrowheads="1"/>
        </xdr:cNvSpPr>
      </xdr:nvSpPr>
      <xdr:spPr bwMode="auto">
        <a:xfrm>
          <a:off x="4451350" y="5092700"/>
          <a:ext cx="0" cy="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152400</xdr:colOff>
      <xdr:row>14</xdr:row>
      <xdr:rowOff>6350</xdr:rowOff>
    </xdr:from>
    <xdr:to>
      <xdr:col>2</xdr:col>
      <xdr:colOff>152400</xdr:colOff>
      <xdr:row>25</xdr:row>
      <xdr:rowOff>95250</xdr:rowOff>
    </xdr:to>
    <xdr:sp macro="" textlink="">
      <xdr:nvSpPr>
        <xdr:cNvPr id="2139" name="Text Box 91" hidden="1">
          <a:extLst>
            <a:ext uri="{FF2B5EF4-FFF2-40B4-BE49-F238E27FC236}">
              <a16:creationId xmlns:a16="http://schemas.microsoft.com/office/drawing/2014/main" id="{7FFDB511-116D-246A-780C-B2D47A54B9F0}"/>
            </a:ext>
          </a:extLst>
        </xdr:cNvPr>
        <xdr:cNvSpPr txBox="1">
          <a:spLocks noChangeArrowheads="1"/>
        </xdr:cNvSpPr>
      </xdr:nvSpPr>
      <xdr:spPr bwMode="auto">
        <a:xfrm>
          <a:off x="4451350" y="1143000"/>
          <a:ext cx="0" cy="1733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152400</xdr:colOff>
      <xdr:row>14</xdr:row>
      <xdr:rowOff>6350</xdr:rowOff>
    </xdr:from>
    <xdr:to>
      <xdr:col>2</xdr:col>
      <xdr:colOff>152400</xdr:colOff>
      <xdr:row>19</xdr:row>
      <xdr:rowOff>139700</xdr:rowOff>
    </xdr:to>
    <xdr:sp macro="" textlink="">
      <xdr:nvSpPr>
        <xdr:cNvPr id="2090" name="Text Box 42" hidden="1">
          <a:extLst>
            <a:ext uri="{FF2B5EF4-FFF2-40B4-BE49-F238E27FC236}">
              <a16:creationId xmlns:a16="http://schemas.microsoft.com/office/drawing/2014/main" id="{BABB836E-86EB-3855-05DD-28B33FC1FC69}"/>
            </a:ext>
          </a:extLst>
        </xdr:cNvPr>
        <xdr:cNvSpPr txBox="1">
          <a:spLocks noChangeArrowheads="1"/>
        </xdr:cNvSpPr>
      </xdr:nvSpPr>
      <xdr:spPr bwMode="auto">
        <a:xfrm>
          <a:off x="4451350" y="1143000"/>
          <a:ext cx="0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rtibha" id="{FF9DD1BF-BFDA-494A-A39A-6297F7AF404A}" userId="" providerId="google-sheets"/>
  <person displayName="Abhishek Soni" id="{ECC0F3C9-2FD7-488D-8215-EF3D32AE96D4}" userId="" providerId="google-sheets"/>
  <person displayName="Swadeep Singh" id="{2C980D7B-206E-4A65-A55F-135A1AF3366C}" userId="" providerId="google-sheets"/>
  <person displayName="Gaurav Chandla" id="{A4FD675C-0C07-4873-92DA-5BF9F590057C}" userId="" providerId="google-sheets"/>
  <person displayName="Arun Kumar Verma" id="{C58998F4-7735-4F02-A569-85EB7E47C09F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CA_Central_Records" displayName="RCA_Central_Records" ref="A1:G15">
  <tableColumns count="7">
    <tableColumn id="1" xr3:uid="{00000000-0010-0000-0000-000001000000}" name="docket No"/>
    <tableColumn id="2" xr3:uid="{00000000-0010-0000-0000-000002000000}" name="RCA"/>
    <tableColumn id="3" xr3:uid="{00000000-0010-0000-0000-000003000000}" name="Source"/>
    <tableColumn id="4" xr3:uid="{00000000-0010-0000-0000-000004000000}" name="Destination"/>
    <tableColumn id="5" xr3:uid="{00000000-0010-0000-0000-000005000000}" name="Box Count"/>
    <tableColumn id="6" xr3:uid="{00000000-0010-0000-0000-000006000000}" name="Age"/>
    <tableColumn id="7" xr3:uid="{00000000-0010-0000-0000-000007000000}" name="Date"/>
  </tableColumns>
  <tableStyleInfo name="Central RC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B2:D68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GGN grid view 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76:D76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GGN grid view 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6-02T04:05:49.00" personId="{FF9DD1BF-BFDA-494A-A39A-6297F7AF404A}" id="{D5F63F03-A19A-4F56-8BE1-08BA4F1398C0}">
    <text>7002650705 - FC_MED
7002704244- FC_PLS</text>
  </threadedComment>
  <threadedComment ref="E10" dT="2026-06-04T05:01:47.00" personId="{FF9DD1BF-BFDA-494A-A39A-6297F7AF404A}" id="{0BEA7F2F-7B12-4535-A1F8-C295C3834B4A}">
    <text>7002674778-MAL</text>
  </threadedComment>
  <threadedComment ref="M10" dT="2026-06-12T03:29:25.00" personId="{FF9DD1BF-BFDA-494A-A39A-6297F7AF404A}" id="{9B6A5E1E-25A6-4941-89FC-AC9C01A8EEB1}">
    <text>7002640661- GGN -close</text>
  </threadedComment>
  <threadedComment ref="C11" dT="2026-06-02T02:30:40.00" personId="{FF9DD1BF-BFDA-494A-A39A-6297F7AF404A}" id="{C59EFE92-FE74-4ED3-90FD-3CD78DA30A03}">
    <text>7 Pending
2 Under Process
2 placed 
1 Hold -10 boxes pending for unloading</text>
  </threadedComment>
  <threadedComment ref="D11" dT="2026-06-03T03:45:52.00" personId="{FF9DD1BF-BFDA-494A-A39A-6297F7AF404A}" id="{0A4D5B40-4370-4815-A4ED-F28BF107E689}">
    <text>1 - Under Process
2 - Placed
6 - Pending</text>
  </threadedComment>
  <threadedComment ref="E11" dT="2026-06-04T04:00:08.00" personId="{FF9DD1BF-BFDA-494A-A39A-6297F7AF404A}" id="{F42D4553-FB34-401A-8647-9AE84FD93454}">
    <text>1 Placed
2 Under Process
4 pending</text>
  </threadedComment>
  <threadedComment ref="F11" dT="2026-06-05T03:23:38.00" personId="{FF9DD1BF-BFDA-494A-A39A-6297F7AF404A}" id="{3CEECED9-200F-4C4E-A79F-4593F400FE79}">
    <text>3Under process
5 Pending</text>
  </threadedComment>
  <threadedComment ref="J11" dT="2026-06-09T03:49:37.00" personId="{FF9DD1BF-BFDA-494A-A39A-6297F7AF404A}" id="{D4D7651F-8B8A-4F51-A28B-A716DD8548E6}">
    <text>2 - PENDING
3 - Under process</text>
  </threadedComment>
  <threadedComment ref="K11" dT="2026-06-10T04:02:16.00" personId="{FF9DD1BF-BFDA-494A-A39A-6297F7AF404A}" id="{1A2DDF98-E6E3-4D3D-9C45-BD9AAF97065E}">
    <text>2 Under-Process
2 pending</text>
  </threadedComment>
  <threadedComment ref="L11" dT="2026-06-11T02:55:02.00" personId="{FF9DD1BF-BFDA-494A-A39A-6297F7AF404A}" id="{633C2ADC-4737-412A-8531-86DEF462D7D7}">
    <text>2 Under process
1 pending</text>
  </threadedComment>
  <threadedComment ref="M11" dT="2026-06-12T02:46:58.00" personId="{FF9DD1BF-BFDA-494A-A39A-6297F7AF404A}" id="{4DB18782-5427-4FFA-B4AC-E46140BCB7B1}">
    <text>2 Under process
2 Pending</text>
  </threadedComment>
  <threadedComment ref="C19" dT="2026-06-02T02:44:12.00" personId="{FF9DD1BF-BFDA-494A-A39A-6297F7AF404A}" id="{542C55D1-2A89-4F33-84C8-499111584A03}">
    <text>DSP	HR55AT7359
CVL	DL1LAN0420
MND	DL1MB3281
CVL	DL1LAN0442
CVL	DL1MA9131</text>
  </threadedComment>
  <threadedComment ref="D19" dT="2026-06-03T03:59:57.00" personId="{FF9DD1BF-BFDA-494A-A39A-6297F7AF404A}" id="{55B6BD97-8BE3-46E8-8550-56B9ED03C6F9}">
    <text>NOI	HR55AT6261</text>
  </threadedComment>
  <threadedComment ref="F19" dT="2026-06-05T03:21:39.00" personId="{FF9DD1BF-BFDA-494A-A39A-6297F7AF404A}" id="{86C9117B-1EE0-4277-BF30-8D525F0C5E39}">
    <text>NOI	DL1MB3377
NOI	HR55AT6261</text>
  </threadedComment>
  <threadedComment ref="G19" dT="2026-06-06T05:53:25.00" personId="{ECC0F3C9-2FD7-488D-8215-EF3D32AE96D4}" id="{11F61A61-8799-4530-A543-AEE99FCB95D4}">
    <text>NOI DL1MA4105</text>
  </threadedComment>
  <threadedComment ref="H19" dT="2026-06-07T02:57:52.00" personId="{ECC0F3C9-2FD7-488D-8215-EF3D32AE96D4}" id="{1CFBE739-5DAD-490B-851D-BE9CA9AF9667}">
    <text>CVL- DL1MA0331, DL1LAN0442, DL1LAN0420</text>
  </threadedComment>
  <threadedComment ref="L19" dT="2026-06-11T02:55:56.00" personId="{FF9DD1BF-BFDA-494A-A39A-6297F7AF404A}" id="{D940687A-A48C-40B0-B11D-2FFFD281A2DF}">
    <text>NOI	DL1MB3377</text>
  </threadedComment>
  <threadedComment ref="M19" dT="2026-06-12T02:48:38.00" personId="{FF9DD1BF-BFDA-494A-A39A-6297F7AF404A}" id="{4845B67D-32C4-4E52-8D64-96BC4B28F4E5}">
    <text>CVL	DL1LAN0442
NOI	DL1MB3377</text>
  </threadedComment>
  <threadedComment ref="N19" dT="2026-06-13T05:49:04.00" personId="{ECC0F3C9-2FD7-488D-8215-EF3D32AE96D4}" id="{CCDAD33E-6B23-4CE9-B550-E21654EF4305}">
    <text>NOI- HR55AT6261
NOI- HR55AK2619
CVL- DL01MB6142</text>
  </threadedComment>
  <threadedComment ref="O19" dT="2026-06-14T07:05:40.00" personId="{FF9DD1BF-BFDA-494A-A39A-6297F7AF404A}" id="{3E7C4CD4-9B3E-4215-A591-EADC20CB1D86}">
    <text>CVL	DL1LAN0442</text>
  </threadedComment>
  <threadedComment ref="C28" dT="2026-06-02T05:05:29.00" personId="{FF9DD1BF-BFDA-494A-A39A-6297F7AF404A}" id="{BDE76B56-BBE9-454B-A81A-FF9B62268576}">
    <text>3 Short received from source- MH_HYP/MH_ABD
1 MAL- Need to search
1 ULB - Tech issue</text>
  </threadedComment>
  <threadedComment ref="D28" dT="2026-06-03T05:04:35.00" personId="{FF9DD1BF-BFDA-494A-A39A-6297F7AF404A}" id="{0D76F94A-0455-4FA7-8C4B-6C582560C02B}">
    <text>MED &amp; PLS connected</text>
  </threadedComment>
  <threadedComment ref="F28" dT="2026-06-05T05:16:39.00" personId="{FF9DD1BF-BFDA-494A-A39A-6297F7AF404A}" id="{AE211A3B-E1DB-4181-90D6-F66418B83F50}">
    <text>29 -BHI
2 -tech issue
2 - connected as per cut-off</text>
  </threadedComment>
  <threadedComment ref="I28" dT="2026-06-08T05:04:50.00" personId="{FF9DD1BF-BFDA-494A-A39A-6297F7AF404A}" id="{2215CDEA-3D1F-4AD4-8AB7-2DA2979FB78A}">
    <text>140-ULB -tech issue
9- connected as per cut-off
2 - Ops miss</text>
  </threadedComment>
  <threadedComment ref="M28" dT="2026-06-12T05:26:02.00" personId="{FF9DD1BF-BFDA-494A-A39A-6297F7AF404A}" id="{EF2DBCFC-88CA-4858-AC00-804BAFEF605E}">
    <text>GGN</text>
  </threadedComment>
  <threadedComment ref="M29" dT="2026-06-12T05:26:29.00" personId="{FF9DD1BF-BFDA-494A-A39A-6297F7AF404A}" id="{F74FDC0E-05EA-4BB9-B128-68B80F922A2B}">
    <text>2 MAL
1 RTO creation Pending</text>
  </threadedComment>
  <threadedComment ref="C30" dT="2026-06-02T05:04:05.00" personId="{FF9DD1BF-BFDA-494A-A39A-6297F7AF404A}" id="{E1CAE4D0-E530-4CAD-9C17-1086491EEEAA}">
    <text>2 -Tech issue-MAL</text>
  </threadedComment>
  <threadedComment ref="D30" dT="2026-06-03T05:04:12.00" personId="{FF9DD1BF-BFDA-494A-A39A-6297F7AF404A}" id="{A0CC809E-1D68-4E53-98C9-DBC329229B50}">
    <text>2 LKO short received 
2 - MAL- tech issue
1 - Need to search</text>
  </threadedComment>
  <threadedComment ref="E30" dT="2026-06-04T05:29:25.00" personId="{FF9DD1BF-BFDA-494A-A39A-6297F7AF404A}" id="{52683834-226D-4724-B6BF-C1187C664AB7}">
    <text>MAL -1</text>
  </threadedComment>
  <threadedComment ref="F30" dT="2026-06-05T05:16:54.00" personId="{FF9DD1BF-BFDA-494A-A39A-6297F7AF404A}" id="{CF2291C1-7CDA-4A23-A871-AFD312F8CB51}">
    <text>1 Document issue</text>
  </threadedComment>
  <threadedComment ref="H30" dT="2026-06-07T05:14:00.00" personId="{ECC0F3C9-2FD7-488D-8215-EF3D32AE96D4}" id="{510D67C5-E580-488E-940F-45DFC012562A}">
    <text>EWB not received from source
FC rejected</text>
  </threadedComment>
  <threadedComment ref="J30" dT="2026-06-09T05:08:18.00" personId="{FF9DD1BF-BFDA-494A-A39A-6297F7AF404A}" id="{22F287DE-7BE9-4833-8D8B-551361F5611F}">
    <text>145 - Tech issue
2 Placement failure</text>
  </threadedComment>
  <threadedComment ref="M30" dT="2026-06-12T03:14:57.00" personId="{FF9DD1BF-BFDA-494A-A39A-6297F7AF404A}" id="{4967BCD3-289E-4AA4-BDEF-13E1359F3154}">
    <text>&gt;5 hrs. delay loading vehicle 
2 ULB 
1 GGN
1 BHI 
1 MAL</text>
  </threadedComment>
  <threadedComment ref="C32" dT="2026-06-02T02:41:28.00" personId="{FF9DD1BF-BFDA-494A-A39A-6297F7AF404A}" id="{A36F5478-F8AD-4F91-A4C8-1B194E6647E8}">
    <text>2 Tech issue</text>
  </threadedComment>
  <threadedComment ref="D32" dT="2026-06-03T03:58:38.00" personId="{FF9DD1BF-BFDA-494A-A39A-6297F7AF404A}" id="{0C92E1EC-402E-41C8-8A90-7566B6142017}">
    <text>1 Tech issue
3 Short received from source
1  Ops-miss</text>
  </threadedComment>
  <threadedComment ref="E32" dT="2026-06-04T04:55:14.00" personId="{FF9DD1BF-BFDA-494A-A39A-6297F7AF404A}" id="{DB1FF6A6-C981-4AD2-A5C7-2F626C2A26CA}">
    <text>3 Not received
1 Heavy weight
2 Connected</text>
  </threadedComment>
  <threadedComment ref="F32" dT="2026-06-05T05:12:22.00" personId="{FF9DD1BF-BFDA-494A-A39A-6297F7AF404A}" id="{67CBC77A-8848-4A0C-A7B5-ED346C4CEC5B}">
    <text>3 Ops-miss
3 connected as per cut-off
1 Documents not received</text>
  </threadedComment>
  <threadedComment ref="G32" dT="2026-06-06T07:25:07.00" personId="{ECC0F3C9-2FD7-488D-8215-EF3D32AE96D4}" id="{9A8EBA85-950B-4297-82AC-C81F6820FEAE}">
    <text>1-Connected
2-Hold due to Heavy weight (50kg) - BHI
3-Docket Not Received (MH_ABD) - LKO</text>
  </threadedComment>
  <threadedComment ref="H32" dT="2026-06-07T05:07:19.00" personId="{ECC0F3C9-2FD7-488D-8215-EF3D32AE96D4}" id="{4590CD81-E752-4C7C-B330-D625F0FDF23D}">
    <text>Will Connect today (Ops miss)
Connected
Connected
Connected
EWB Not received from ABD
Docket Not Received (MH_ABD)</text>
  </threadedComment>
  <threadedComment ref="J32" dT="2026-06-09T05:00:00.00" personId="{FF9DD1BF-BFDA-494A-A39A-6297F7AF404A}" id="{12E75EBB-80CE-4F2E-BB38-01D5F1D777AA}">
    <text>1 Ops miss
11 Tech issue
4 Connected</text>
  </threadedComment>
  <threadedComment ref="K32" dT="2026-06-10T03:50:17.00" personId="{FF9DD1BF-BFDA-494A-A39A-6297F7AF404A}" id="{46164E8B-1A9A-44DA-A15B-34BEE199EA69}">
    <text>7 vehicle placement failure
1 tech issue
1 Short received from Source
1 Damage received from source
3 Connected</text>
  </threadedComment>
  <threadedComment ref="M32" dT="2026-06-12T03:36:14.00" personId="{FF9DD1BF-BFDA-494A-A39A-6297F7AF404A}" id="{621F50E2-AEDB-4776-A09D-C40472F52AA9}">
    <text>2 Connected,
4 Docket not received from Source
1 Tech issue</text>
  </threadedComment>
  <threadedComment ref="O32" dT="2026-06-15T02:20:34.00" personId="{FF9DD1BF-BFDA-494A-A39A-6297F7AF404A}" id="{2E1C1EC2-67AC-4FD5-B281-2C38092997EB}">
    <text>tech issue</text>
  </threadedComment>
  <threadedComment ref="D33" dT="2026-06-03T03:57:05.00" personId="{FF9DD1BF-BFDA-494A-A39A-6297F7AF404A}" id="{7CC4C7EA-77F0-44C2-AF63-27700DCA1FA2}">
    <text>2 tech issue</text>
  </threadedComment>
  <threadedComment ref="E33" dT="2026-06-04T04:56:30.00" personId="{FF9DD1BF-BFDA-494A-A39A-6297F7AF404A}" id="{520B1886-B0C1-40A4-B002-184E0D918C13}">
    <text>2 tech issue
1 Ops-miss
2 Short received from source</text>
  </threadedComment>
  <threadedComment ref="F33" dT="2026-06-05T05:13:11.00" personId="{FF9DD1BF-BFDA-494A-A39A-6297F7AF404A}" id="{D07102AC-6154-4660-90D5-FBF228BC6E5D}">
    <text>1 -Ops miss
3 Docket not receeived</text>
  </threadedComment>
  <threadedComment ref="G33" dT="2026-06-06T07:27:04.00" personId="{ECC0F3C9-2FD7-488D-8215-EF3D32AE96D4}" id="{82ADC7BD-620B-49C5-B2A1-3F1C1E80C583}">
    <text>1-Ops Miss - 1 Box (MAL)
2-Tech issue, Physically connected - MAL
2-Short From Source (MH_HYP) - GGN</text>
  </threadedComment>
  <threadedComment ref="H33" dT="2026-06-07T05:13:15.00" personId="{ECC0F3C9-2FD7-488D-8215-EF3D32AE96D4}" id="{25A11F79-0268-4DAD-A9F2-77D102E02509}">
    <text>Tech Issue, physically Connected
Connected
Docket Not Received (MH_ABD)
Tech Issue, physically Connected
Spillover
Docket Not Received (MH_ABD)</text>
  </threadedComment>
  <threadedComment ref="J33" dT="2026-06-09T04:58:43.00" personId="{FF9DD1BF-BFDA-494A-A39A-6297F7AF404A}" id="{3CF48184-C570-4A38-BF15-4E6BE7E1D80C}">
    <text>1 trip not created
1 tech issue
3 Docket not received from Source</text>
  </threadedComment>
  <threadedComment ref="K33" dT="2026-06-10T03:53:59.00" personId="{FF9DD1BF-BFDA-494A-A39A-6297F7AF404A}" id="{17BA146D-E633-44DC-81AB-3C4940B9B90C}">
    <text>12 tech issue
1 Vehicle placement failure
1 Connected
2 Docket not received</text>
  </threadedComment>
  <threadedComment ref="L33" dT="2026-06-11T02:57:11.00" personId="{FF9DD1BF-BFDA-494A-A39A-6297F7AF404A}" id="{D770B7F3-810C-416A-9B7F-130FD3E35537}">
    <text>1 Damage received
1 Tech issue
1 Short received from source</text>
  </threadedComment>
  <threadedComment ref="M33" dT="2026-06-12T03:35:27.00" personId="{FF9DD1BF-BFDA-494A-A39A-6297F7AF404A}" id="{8830DD7A-2E1E-4CAC-AC5D-1157ACDCAB44}">
    <text>1 Damage received,
1 tech issue</text>
  </threadedComment>
  <threadedComment ref="O33" dT="2026-06-15T02:20:56.00" personId="{FF9DD1BF-BFDA-494A-A39A-6297F7AF404A}" id="{95299B02-AD2D-44DF-978B-53CEF934DB25}">
    <text>1 Docket not received from source
1 tech issue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6-03-06T11:47:14.00" personId="{C58998F4-7735-4F02-A569-85EB7E47C09F}" id="{B63548E8-BCC9-41CD-B529-95E1E1630E92}">
    <text>Status :- Delivered / Partial Delivered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158" dT="2026-06-03T05:16:35.00" personId="{2C980D7B-206E-4A65-A55F-135A1AF3366C}" id="{2A153EF1-204D-4ED2-B0B1-0E576F373D96}">
    <text>All boxes connected / Validated through CCTV / FC rejected stating short box/ Now connect boxes available on floor</text>
  </threadedComment>
  <threadedComment ref="K1580" dT="2026-06-11T04:58:30.00" personId="{A4FD675C-0C07-4873-92DA-5BF9F590057C}" id="{6A1FF78F-0EBC-4E28-93B2-A5A2FF8B6C65}">
    <text>To discuss with Sachin R)</text>
  </threadedComment>
  <threadedComment ref="K1581" dT="2026-06-11T04:58:46.00" personId="{A4FD675C-0C07-4873-92DA-5BF9F590057C}" id="{AF4230D2-6A90-4246-9B6A-89B7CC5479AB}">
    <text>To discuss with Sachin R)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  <outlinePr summaryBelow="0" summaryRight="0"/>
  </sheetPr>
  <dimension ref="A1:FA1993"/>
  <sheetViews>
    <sheetView tabSelected="1" workbookViewId="0">
      <pane xSplit="2" topLeftCell="C1" activePane="topRight" state="frozen"/>
      <selection pane="topRight" activeCell="C1" sqref="A1:XFD1"/>
    </sheetView>
  </sheetViews>
  <sheetFormatPr defaultColWidth="12.6328125" defaultRowHeight="15.75" customHeight="1"/>
  <cols>
    <col min="1" max="1" width="23.90625" bestFit="1" customWidth="1"/>
    <col min="2" max="2" width="37.6328125" bestFit="1" customWidth="1"/>
    <col min="3" max="3" width="10" bestFit="1" customWidth="1"/>
    <col min="4" max="4" width="9.90625" bestFit="1" customWidth="1"/>
    <col min="5" max="7" width="10" bestFit="1" customWidth="1"/>
    <col min="8" max="8" width="11" bestFit="1" customWidth="1"/>
    <col min="9" max="9" width="10" bestFit="1" customWidth="1"/>
    <col min="10" max="10" width="10.54296875" bestFit="1" customWidth="1"/>
    <col min="11" max="11" width="9.90625" bestFit="1" customWidth="1"/>
    <col min="12" max="13" width="10.90625" bestFit="1" customWidth="1"/>
    <col min="14" max="14" width="11" bestFit="1" customWidth="1"/>
    <col min="15" max="16" width="10.90625" bestFit="1" customWidth="1"/>
  </cols>
  <sheetData>
    <row r="1" spans="1:16" ht="14.5">
      <c r="A1" s="4" t="s">
        <v>2</v>
      </c>
      <c r="B1" s="4" t="s">
        <v>6</v>
      </c>
      <c r="C1" s="5">
        <v>46174</v>
      </c>
      <c r="D1" s="5">
        <v>46175</v>
      </c>
      <c r="E1" s="5">
        <v>46176</v>
      </c>
      <c r="F1" s="5">
        <v>46177</v>
      </c>
      <c r="G1" s="5">
        <v>46178</v>
      </c>
      <c r="H1" s="5">
        <v>46179</v>
      </c>
      <c r="I1" s="5">
        <v>46180</v>
      </c>
      <c r="J1" s="5">
        <v>46181</v>
      </c>
      <c r="K1" s="5">
        <v>46182</v>
      </c>
      <c r="L1" s="5">
        <v>46183</v>
      </c>
      <c r="M1" s="5">
        <v>46184</v>
      </c>
      <c r="N1" s="5">
        <v>46185</v>
      </c>
      <c r="O1" s="5">
        <v>46186</v>
      </c>
      <c r="P1" s="5">
        <v>46187</v>
      </c>
    </row>
    <row r="2" spans="1:16" ht="12.5" hidden="1">
      <c r="A2" s="200" t="s">
        <v>7</v>
      </c>
      <c r="B2" s="6" t="s">
        <v>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2.5" hidden="1">
      <c r="A3" s="198"/>
      <c r="B3" s="6" t="s">
        <v>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2.5" hidden="1">
      <c r="A4" s="198"/>
      <c r="B4" s="6" t="s">
        <v>10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2.5" hidden="1">
      <c r="A5" s="198"/>
      <c r="B5" s="6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2.5" hidden="1">
      <c r="A6" s="198"/>
      <c r="B6" s="6" t="s">
        <v>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2.5" hidden="1">
      <c r="A7" s="198"/>
      <c r="B7" s="6" t="s">
        <v>13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25" hidden="1">
      <c r="A8" s="199"/>
      <c r="B8" s="6" t="s">
        <v>14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2.5">
      <c r="A9" s="201" t="s">
        <v>15</v>
      </c>
      <c r="B9" s="10" t="s">
        <v>16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  <c r="K9" s="11">
        <v>1</v>
      </c>
      <c r="L9" s="11">
        <v>1</v>
      </c>
      <c r="M9" s="11">
        <v>1</v>
      </c>
      <c r="N9" s="11">
        <v>1</v>
      </c>
      <c r="O9" s="11">
        <v>1</v>
      </c>
      <c r="P9" s="11">
        <v>1</v>
      </c>
    </row>
    <row r="10" spans="1:16" ht="12.5">
      <c r="A10" s="199"/>
      <c r="B10" s="10" t="s">
        <v>17</v>
      </c>
      <c r="C10" s="7">
        <v>2</v>
      </c>
      <c r="D10" s="7" t="s">
        <v>0</v>
      </c>
      <c r="E10" s="7">
        <v>1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9" t="s">
        <v>0</v>
      </c>
      <c r="M10" s="9">
        <v>1</v>
      </c>
      <c r="N10" s="9" t="s">
        <v>0</v>
      </c>
      <c r="O10" s="9" t="s">
        <v>0</v>
      </c>
      <c r="P10" s="9" t="s">
        <v>0</v>
      </c>
    </row>
    <row r="11" spans="1:16" ht="12.5">
      <c r="A11" s="202" t="s">
        <v>18</v>
      </c>
      <c r="B11" s="12" t="s">
        <v>19</v>
      </c>
      <c r="C11" s="7">
        <v>33</v>
      </c>
      <c r="D11" s="7">
        <v>37</v>
      </c>
      <c r="E11" s="7">
        <v>32</v>
      </c>
      <c r="F11" s="7">
        <v>33</v>
      </c>
      <c r="G11" s="7">
        <v>34</v>
      </c>
      <c r="H11" s="7">
        <v>37</v>
      </c>
      <c r="I11" s="7">
        <v>15</v>
      </c>
      <c r="J11" s="7">
        <v>40</v>
      </c>
      <c r="K11" s="7">
        <v>36</v>
      </c>
      <c r="L11" s="7">
        <v>35</v>
      </c>
      <c r="M11" s="7">
        <v>32</v>
      </c>
      <c r="N11" s="7">
        <v>42</v>
      </c>
      <c r="O11" s="7">
        <v>31</v>
      </c>
      <c r="P11" s="7">
        <v>17</v>
      </c>
    </row>
    <row r="12" spans="1:16" ht="12.5">
      <c r="A12" s="198"/>
      <c r="B12" s="12" t="s">
        <v>20</v>
      </c>
      <c r="C12" s="9">
        <v>17</v>
      </c>
      <c r="D12" s="9">
        <v>19</v>
      </c>
      <c r="E12" s="9">
        <v>18</v>
      </c>
      <c r="F12" s="7">
        <v>21</v>
      </c>
      <c r="G12" s="7">
        <v>33</v>
      </c>
      <c r="H12" s="7">
        <v>35</v>
      </c>
      <c r="I12" s="7">
        <v>10</v>
      </c>
      <c r="J12" s="7">
        <v>13</v>
      </c>
      <c r="K12" s="7">
        <v>10</v>
      </c>
      <c r="L12" s="7">
        <v>13</v>
      </c>
      <c r="M12" s="7">
        <v>12</v>
      </c>
      <c r="N12" s="7">
        <v>20</v>
      </c>
      <c r="O12" s="7">
        <v>18</v>
      </c>
      <c r="P12" s="7">
        <v>2</v>
      </c>
    </row>
    <row r="13" spans="1:16" ht="12.5">
      <c r="A13" s="198"/>
      <c r="B13" s="12" t="s">
        <v>21</v>
      </c>
      <c r="C13" s="9">
        <v>7174</v>
      </c>
      <c r="D13" s="9">
        <v>9852</v>
      </c>
      <c r="E13" s="9">
        <v>7708</v>
      </c>
      <c r="F13" s="9">
        <v>7146</v>
      </c>
      <c r="G13" s="9">
        <v>8286</v>
      </c>
      <c r="H13" s="9">
        <v>9248</v>
      </c>
      <c r="I13" s="9">
        <v>8621</v>
      </c>
      <c r="J13" s="9">
        <v>8213</v>
      </c>
      <c r="K13" s="9">
        <v>9499</v>
      </c>
      <c r="L13" s="9">
        <v>8309</v>
      </c>
      <c r="M13" s="9">
        <v>5760</v>
      </c>
      <c r="N13" s="9">
        <v>10363</v>
      </c>
      <c r="O13" s="9">
        <v>8841</v>
      </c>
      <c r="P13" s="9">
        <v>5769</v>
      </c>
    </row>
    <row r="14" spans="1:16" ht="12.5">
      <c r="A14" s="198"/>
      <c r="B14" s="12" t="s">
        <v>22</v>
      </c>
      <c r="C14" s="9" t="s">
        <v>23</v>
      </c>
      <c r="D14" s="9" t="s">
        <v>24</v>
      </c>
      <c r="E14" s="9" t="s">
        <v>25</v>
      </c>
      <c r="F14" s="9" t="s">
        <v>26</v>
      </c>
      <c r="G14" s="9" t="s">
        <v>27</v>
      </c>
      <c r="H14" s="9" t="s">
        <v>28</v>
      </c>
      <c r="I14" s="9" t="s">
        <v>29</v>
      </c>
      <c r="J14" s="9" t="s">
        <v>30</v>
      </c>
      <c r="K14" s="9" t="s">
        <v>31</v>
      </c>
      <c r="L14" s="9" t="s">
        <v>32</v>
      </c>
      <c r="M14" s="9" t="s">
        <v>33</v>
      </c>
      <c r="N14" s="9" t="s">
        <v>34</v>
      </c>
      <c r="O14" s="9" t="s">
        <v>35</v>
      </c>
      <c r="P14" s="9" t="s">
        <v>36</v>
      </c>
    </row>
    <row r="15" spans="1:16" ht="12.5">
      <c r="A15" s="198"/>
      <c r="B15" s="12" t="s">
        <v>37</v>
      </c>
      <c r="C15" s="8"/>
      <c r="D15" s="7"/>
      <c r="E15" s="7"/>
      <c r="F15" s="7"/>
      <c r="G15" s="7"/>
      <c r="H15" s="7"/>
      <c r="I15" s="7"/>
      <c r="J15" s="7"/>
      <c r="K15" s="7"/>
      <c r="L15" s="8">
        <f>1965/8309</f>
        <v>0.23649055241304609</v>
      </c>
      <c r="M15" s="7">
        <v>757</v>
      </c>
      <c r="N15" s="9">
        <v>3708</v>
      </c>
      <c r="O15" s="9">
        <v>2492</v>
      </c>
      <c r="P15" s="9">
        <v>975</v>
      </c>
    </row>
    <row r="16" spans="1:16" ht="12.5">
      <c r="A16" s="198"/>
      <c r="B16" s="12" t="s">
        <v>38</v>
      </c>
      <c r="C16" s="7"/>
      <c r="D16" s="7"/>
      <c r="E16" s="7"/>
      <c r="F16" s="7"/>
      <c r="G16" s="7"/>
      <c r="H16" s="7"/>
      <c r="I16" s="7"/>
      <c r="J16" s="7"/>
      <c r="K16" s="7"/>
      <c r="L16" s="8">
        <f>4689/8309</f>
        <v>0.56432783728487179</v>
      </c>
      <c r="M16" s="7">
        <v>3865</v>
      </c>
      <c r="N16" s="9">
        <v>5314</v>
      </c>
      <c r="O16" s="9">
        <v>3667</v>
      </c>
      <c r="P16" s="9">
        <v>2525</v>
      </c>
    </row>
    <row r="17" spans="1:16" ht="12.5">
      <c r="A17" s="198"/>
      <c r="B17" s="12" t="s">
        <v>39</v>
      </c>
      <c r="C17" s="7"/>
      <c r="D17" s="7"/>
      <c r="E17" s="7"/>
      <c r="F17" s="7"/>
      <c r="G17" s="7"/>
      <c r="H17" s="7"/>
      <c r="I17" s="7"/>
      <c r="J17" s="7"/>
      <c r="K17" s="7"/>
      <c r="L17" s="8">
        <f>1612/8309</f>
        <v>0.19400649897701289</v>
      </c>
      <c r="M17" s="7">
        <v>566</v>
      </c>
      <c r="N17" s="9">
        <v>1341</v>
      </c>
      <c r="O17" s="9">
        <v>688</v>
      </c>
      <c r="P17" s="9">
        <v>1682</v>
      </c>
    </row>
    <row r="18" spans="1:16" ht="12.5">
      <c r="A18" s="198"/>
      <c r="B18" s="12" t="s">
        <v>40</v>
      </c>
      <c r="C18" s="7"/>
      <c r="D18" s="7"/>
      <c r="E18" s="7"/>
      <c r="F18" s="7"/>
      <c r="G18" s="7"/>
      <c r="H18" s="7"/>
      <c r="I18" s="7"/>
      <c r="J18" s="7"/>
      <c r="K18" s="7"/>
      <c r="L18" s="8">
        <f>43/8309</f>
        <v>5.1751113250692021E-3</v>
      </c>
      <c r="M18" s="7">
        <v>572</v>
      </c>
      <c r="N18" s="7" t="s">
        <v>0</v>
      </c>
      <c r="O18" s="7">
        <v>1994</v>
      </c>
      <c r="P18" s="7">
        <v>587</v>
      </c>
    </row>
    <row r="19" spans="1:16" ht="25">
      <c r="A19" s="198"/>
      <c r="B19" s="12" t="s">
        <v>41</v>
      </c>
      <c r="C19" s="7">
        <v>5</v>
      </c>
      <c r="D19" s="7">
        <v>1</v>
      </c>
      <c r="E19" s="7" t="s">
        <v>0</v>
      </c>
      <c r="F19" s="7">
        <v>2</v>
      </c>
      <c r="G19" s="7">
        <v>1</v>
      </c>
      <c r="H19" s="7">
        <v>3</v>
      </c>
      <c r="I19" s="7" t="s">
        <v>0</v>
      </c>
      <c r="J19" s="7" t="s">
        <v>0</v>
      </c>
      <c r="K19" s="7" t="s">
        <v>0</v>
      </c>
      <c r="L19" s="7">
        <v>1</v>
      </c>
      <c r="M19" s="7">
        <v>2</v>
      </c>
      <c r="N19" s="7">
        <v>3</v>
      </c>
      <c r="O19" s="7">
        <v>1</v>
      </c>
      <c r="P19" s="7" t="s">
        <v>0</v>
      </c>
    </row>
    <row r="20" spans="1:16" ht="12.5">
      <c r="A20" s="199"/>
      <c r="B20" s="12" t="s">
        <v>42</v>
      </c>
      <c r="C20" s="8">
        <f t="shared" ref="C20:I20" si="0">C13/6844</f>
        <v>1.0482174167153711</v>
      </c>
      <c r="D20" s="8">
        <f t="shared" si="0"/>
        <v>1.4395090590298072</v>
      </c>
      <c r="E20" s="8">
        <f t="shared" si="0"/>
        <v>1.1262419637638807</v>
      </c>
      <c r="F20" s="8">
        <f t="shared" si="0"/>
        <v>1.0441262419637638</v>
      </c>
      <c r="G20" s="8">
        <f t="shared" si="0"/>
        <v>1.2106954997077732</v>
      </c>
      <c r="H20" s="8">
        <f t="shared" si="0"/>
        <v>1.3512565751022794</v>
      </c>
      <c r="I20" s="8">
        <f t="shared" si="0"/>
        <v>1.2596434833430743</v>
      </c>
      <c r="J20" s="8">
        <f t="shared" ref="J20:P20" si="1">J13/8000</f>
        <v>1.0266249999999999</v>
      </c>
      <c r="K20" s="8">
        <f t="shared" si="1"/>
        <v>1.1873750000000001</v>
      </c>
      <c r="L20" s="8">
        <f t="shared" si="1"/>
        <v>1.0386249999999999</v>
      </c>
      <c r="M20" s="8">
        <f t="shared" si="1"/>
        <v>0.72</v>
      </c>
      <c r="N20" s="8">
        <f t="shared" si="1"/>
        <v>1.2953749999999999</v>
      </c>
      <c r="O20" s="8">
        <f t="shared" si="1"/>
        <v>1.1051249999999999</v>
      </c>
      <c r="P20" s="8">
        <f t="shared" si="1"/>
        <v>0.72112500000000002</v>
      </c>
    </row>
    <row r="21" spans="1:16" ht="14">
      <c r="A21" s="203" t="s">
        <v>43</v>
      </c>
      <c r="B21" s="13" t="s">
        <v>44</v>
      </c>
      <c r="C21" s="9">
        <v>2147</v>
      </c>
      <c r="D21" s="9">
        <v>2943</v>
      </c>
      <c r="E21" s="9">
        <v>2079</v>
      </c>
      <c r="F21" s="9">
        <v>2213</v>
      </c>
      <c r="G21" s="9">
        <v>4887</v>
      </c>
      <c r="H21" s="14">
        <v>3339</v>
      </c>
      <c r="I21" s="14">
        <v>2918</v>
      </c>
      <c r="J21" s="14">
        <v>2591</v>
      </c>
      <c r="K21" s="14">
        <v>3488</v>
      </c>
      <c r="L21" s="14">
        <v>1413</v>
      </c>
      <c r="M21" s="15">
        <v>1458</v>
      </c>
      <c r="N21" s="14">
        <v>4243</v>
      </c>
      <c r="O21" s="16">
        <v>3184</v>
      </c>
      <c r="P21" s="16">
        <v>2889</v>
      </c>
    </row>
    <row r="22" spans="1:16" ht="14">
      <c r="A22" s="198"/>
      <c r="B22" s="13" t="s">
        <v>45</v>
      </c>
      <c r="C22" s="9">
        <v>2729</v>
      </c>
      <c r="D22" s="9">
        <v>3127</v>
      </c>
      <c r="E22" s="9">
        <v>2283</v>
      </c>
      <c r="F22" s="9">
        <v>2255</v>
      </c>
      <c r="G22" s="9">
        <v>2479</v>
      </c>
      <c r="H22" s="14">
        <v>1796</v>
      </c>
      <c r="I22" s="14">
        <v>2662</v>
      </c>
      <c r="J22" s="14">
        <v>1691</v>
      </c>
      <c r="K22" s="14">
        <v>3063</v>
      </c>
      <c r="L22" s="14">
        <v>946</v>
      </c>
      <c r="M22" s="14">
        <v>733</v>
      </c>
      <c r="N22" s="14">
        <v>1332</v>
      </c>
      <c r="O22" s="16">
        <v>2901</v>
      </c>
      <c r="P22" s="16">
        <v>1767</v>
      </c>
    </row>
    <row r="23" spans="1:16" ht="14">
      <c r="A23" s="199"/>
      <c r="B23" s="13" t="s">
        <v>46</v>
      </c>
      <c r="C23" s="9">
        <v>2298</v>
      </c>
      <c r="D23" s="9">
        <v>3782</v>
      </c>
      <c r="E23" s="9">
        <v>3346</v>
      </c>
      <c r="F23" s="9">
        <v>2678</v>
      </c>
      <c r="G23" s="9">
        <v>920</v>
      </c>
      <c r="H23" s="14">
        <v>4113</v>
      </c>
      <c r="I23" s="14">
        <v>3041</v>
      </c>
      <c r="J23" s="14">
        <v>3931</v>
      </c>
      <c r="K23" s="14">
        <v>2948</v>
      </c>
      <c r="L23" s="14">
        <v>5950</v>
      </c>
      <c r="M23" s="14">
        <v>3569</v>
      </c>
      <c r="N23" s="14">
        <v>4734</v>
      </c>
      <c r="O23" s="16">
        <v>2756</v>
      </c>
      <c r="P23" s="16">
        <v>1113</v>
      </c>
    </row>
    <row r="24" spans="1:16" ht="12.5" hidden="1">
      <c r="A24" s="204" t="s">
        <v>47</v>
      </c>
      <c r="B24" s="17" t="s">
        <v>48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12.5" hidden="1">
      <c r="A25" s="199"/>
      <c r="B25" s="17" t="s">
        <v>49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12.5">
      <c r="A26" s="205" t="s">
        <v>50</v>
      </c>
      <c r="B26" s="18" t="s">
        <v>51</v>
      </c>
      <c r="C26" s="7">
        <v>6426</v>
      </c>
      <c r="D26" s="7">
        <v>7429</v>
      </c>
      <c r="E26" s="7">
        <v>4973</v>
      </c>
      <c r="F26" s="7">
        <v>5445</v>
      </c>
      <c r="G26" s="7">
        <v>4334</v>
      </c>
      <c r="H26" s="7">
        <v>6334</v>
      </c>
      <c r="I26" s="7">
        <v>6087</v>
      </c>
      <c r="J26" s="7">
        <v>6209</v>
      </c>
      <c r="K26" s="7">
        <v>6346</v>
      </c>
      <c r="L26" s="7">
        <v>7886</v>
      </c>
      <c r="M26" s="7">
        <v>5008</v>
      </c>
      <c r="N26" s="7">
        <v>7887</v>
      </c>
      <c r="O26" s="7">
        <v>7227</v>
      </c>
      <c r="P26" s="7">
        <v>5200</v>
      </c>
    </row>
    <row r="27" spans="1:16" ht="12.5">
      <c r="A27" s="198"/>
      <c r="B27" s="18" t="s">
        <v>52</v>
      </c>
      <c r="C27" s="9">
        <v>7</v>
      </c>
      <c r="D27" s="9">
        <v>11</v>
      </c>
      <c r="E27" s="9">
        <v>11</v>
      </c>
      <c r="F27" s="9">
        <v>37</v>
      </c>
      <c r="G27" s="9">
        <v>9</v>
      </c>
      <c r="H27" s="9">
        <v>5</v>
      </c>
      <c r="I27" s="9">
        <v>21</v>
      </c>
      <c r="J27" s="9">
        <v>29</v>
      </c>
      <c r="K27" s="9">
        <v>3</v>
      </c>
      <c r="L27" s="9">
        <v>9</v>
      </c>
      <c r="M27" s="9">
        <v>68</v>
      </c>
      <c r="N27" s="9">
        <v>28</v>
      </c>
      <c r="O27" s="9">
        <v>92</v>
      </c>
      <c r="P27" s="9">
        <v>270</v>
      </c>
    </row>
    <row r="28" spans="1:16" ht="12.5">
      <c r="A28" s="198"/>
      <c r="B28" s="18" t="s">
        <v>53</v>
      </c>
      <c r="C28" s="9">
        <v>29</v>
      </c>
      <c r="D28" s="9">
        <v>3</v>
      </c>
      <c r="E28" s="9">
        <v>62</v>
      </c>
      <c r="F28" s="9">
        <v>133</v>
      </c>
      <c r="G28" s="9">
        <v>53</v>
      </c>
      <c r="H28" s="9">
        <v>30</v>
      </c>
      <c r="I28" s="9">
        <v>151</v>
      </c>
      <c r="J28" s="9">
        <v>35</v>
      </c>
      <c r="K28" s="9" t="s">
        <v>0</v>
      </c>
      <c r="L28" s="9">
        <v>2</v>
      </c>
      <c r="M28" s="9">
        <v>537</v>
      </c>
      <c r="N28" s="9">
        <v>362</v>
      </c>
      <c r="O28" s="9">
        <v>713</v>
      </c>
      <c r="P28" s="9">
        <v>2516</v>
      </c>
    </row>
    <row r="29" spans="1:16" ht="12.5">
      <c r="A29" s="198"/>
      <c r="B29" s="18" t="s">
        <v>54</v>
      </c>
      <c r="C29" s="7">
        <v>10</v>
      </c>
      <c r="D29" s="7">
        <v>10</v>
      </c>
      <c r="E29" s="7">
        <v>14</v>
      </c>
      <c r="F29" s="7">
        <v>13</v>
      </c>
      <c r="G29" s="7">
        <v>10</v>
      </c>
      <c r="H29" s="7">
        <v>12</v>
      </c>
      <c r="I29" s="7">
        <v>11</v>
      </c>
      <c r="J29" s="7">
        <v>12</v>
      </c>
      <c r="K29" s="7">
        <v>4</v>
      </c>
      <c r="L29" s="7">
        <v>4</v>
      </c>
      <c r="M29" s="7">
        <v>3</v>
      </c>
      <c r="N29" s="7">
        <v>3</v>
      </c>
      <c r="O29" s="7">
        <v>3</v>
      </c>
      <c r="P29" s="7">
        <v>6</v>
      </c>
    </row>
    <row r="30" spans="1:16" ht="12.5">
      <c r="A30" s="198"/>
      <c r="B30" s="18" t="s">
        <v>55</v>
      </c>
      <c r="C30" s="7">
        <v>6</v>
      </c>
      <c r="D30" s="7">
        <v>28</v>
      </c>
      <c r="E30" s="7">
        <v>1</v>
      </c>
      <c r="F30" s="7">
        <v>1</v>
      </c>
      <c r="G30" s="7">
        <v>4</v>
      </c>
      <c r="H30" s="7">
        <v>6</v>
      </c>
      <c r="I30" s="7">
        <v>6</v>
      </c>
      <c r="J30" s="7">
        <v>148</v>
      </c>
      <c r="K30" s="7">
        <v>13</v>
      </c>
      <c r="L30" s="7">
        <v>10</v>
      </c>
      <c r="M30" s="7">
        <v>12</v>
      </c>
      <c r="N30" s="7">
        <v>12</v>
      </c>
      <c r="O30" s="7">
        <v>13</v>
      </c>
      <c r="P30" s="7">
        <v>11</v>
      </c>
    </row>
    <row r="31" spans="1:16" ht="12.5">
      <c r="A31" s="199"/>
      <c r="B31" s="18" t="s">
        <v>56</v>
      </c>
      <c r="C31" s="7">
        <v>5225</v>
      </c>
      <c r="D31" s="7">
        <v>8410</v>
      </c>
      <c r="E31" s="7">
        <v>9575</v>
      </c>
      <c r="F31" s="7">
        <v>6942</v>
      </c>
      <c r="G31" s="7">
        <v>8542</v>
      </c>
      <c r="H31" s="9">
        <v>8901</v>
      </c>
      <c r="I31" s="9">
        <v>7904</v>
      </c>
      <c r="J31" s="9">
        <v>8313</v>
      </c>
      <c r="K31" s="9">
        <v>8956</v>
      </c>
      <c r="L31" s="9">
        <v>7041</v>
      </c>
      <c r="M31" s="9">
        <v>8966</v>
      </c>
      <c r="N31" s="9">
        <v>8091</v>
      </c>
      <c r="O31" s="9">
        <v>9184</v>
      </c>
      <c r="P31" s="9">
        <v>7956</v>
      </c>
    </row>
    <row r="32" spans="1:16" ht="26.25" customHeight="1">
      <c r="A32" s="206" t="s">
        <v>57</v>
      </c>
      <c r="B32" s="20" t="s">
        <v>58</v>
      </c>
      <c r="C32" s="1">
        <v>2</v>
      </c>
      <c r="D32" s="1">
        <v>5</v>
      </c>
      <c r="E32" s="1">
        <v>6</v>
      </c>
      <c r="F32" s="1">
        <v>7</v>
      </c>
      <c r="G32" s="1">
        <v>6</v>
      </c>
      <c r="H32" s="1">
        <v>5</v>
      </c>
      <c r="I32" s="1" t="s">
        <v>0</v>
      </c>
      <c r="J32" s="1">
        <v>16</v>
      </c>
      <c r="K32" s="1">
        <v>13</v>
      </c>
      <c r="L32" s="1" t="s">
        <v>0</v>
      </c>
      <c r="M32" s="1">
        <v>7</v>
      </c>
      <c r="N32" s="1">
        <v>1</v>
      </c>
      <c r="O32" s="1">
        <v>1</v>
      </c>
      <c r="P32" s="1" t="s">
        <v>0</v>
      </c>
    </row>
    <row r="33" spans="1:16" ht="31.5" customHeight="1">
      <c r="A33" s="199"/>
      <c r="B33" s="20" t="s">
        <v>59</v>
      </c>
      <c r="C33" s="1" t="s">
        <v>0</v>
      </c>
      <c r="D33" s="1">
        <v>2</v>
      </c>
      <c r="E33" s="1">
        <v>5</v>
      </c>
      <c r="F33" s="1">
        <v>4</v>
      </c>
      <c r="G33" s="1">
        <v>5</v>
      </c>
      <c r="H33" s="1">
        <v>7</v>
      </c>
      <c r="I33" s="1" t="s">
        <v>0</v>
      </c>
      <c r="J33" s="1">
        <v>5</v>
      </c>
      <c r="K33" s="1">
        <v>16</v>
      </c>
      <c r="L33" s="1">
        <v>3</v>
      </c>
      <c r="M33" s="1">
        <v>2</v>
      </c>
      <c r="N33" s="1">
        <v>2</v>
      </c>
      <c r="O33" s="1">
        <v>2</v>
      </c>
      <c r="P33" s="1" t="s">
        <v>0</v>
      </c>
    </row>
    <row r="34" spans="1:16" ht="12.5" hidden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3" hidden="1">
      <c r="A35" s="21"/>
      <c r="B35" s="2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3" hidden="1">
      <c r="A36" s="21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ht="13" hidden="1">
      <c r="A37" s="26"/>
      <c r="B37" s="23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ht="13" hidden="1">
      <c r="A38" s="26"/>
      <c r="B38" s="23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spans="1:16" ht="13" hidden="1">
      <c r="A39" s="26"/>
      <c r="B39" s="23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13" hidden="1">
      <c r="A40" s="26"/>
      <c r="B40" s="23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13" hidden="1">
      <c r="A41" s="26"/>
      <c r="B41" s="23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spans="1:16" ht="13" hidden="1">
      <c r="A42" s="26"/>
      <c r="B42" s="23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ht="13" hidden="1">
      <c r="A43" s="21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12.5" hidden="1">
      <c r="A44" s="28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5" hidden="1">
      <c r="A45" s="29"/>
      <c r="B45" s="3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3" hidden="1">
      <c r="A46" s="31"/>
      <c r="B46" s="23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</row>
    <row r="47" spans="1:16" ht="13" hidden="1">
      <c r="A47" s="26"/>
      <c r="B47" s="23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ht="13" hidden="1">
      <c r="A48" s="26"/>
      <c r="B48" s="19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ht="13" hidden="1">
      <c r="A49" s="33"/>
      <c r="B49" s="19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</row>
    <row r="50" spans="1:16" ht="12.5" hidden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5" hidden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5" hidden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5" hidden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5" hidden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5" hidden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5" hidden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5" hidden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5" hidden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5" hidden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5" hidden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5" hidden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5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5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5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5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5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5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5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5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5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5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5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5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5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5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5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5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5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5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5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5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5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5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5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5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5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5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5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5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5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5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5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5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5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5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5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5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5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5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5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5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5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5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5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5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5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5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5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5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5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5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5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5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5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5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5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5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5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5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5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5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5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5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5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5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5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5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5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5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5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5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5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5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5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5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5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5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5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5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5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5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5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5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5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5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5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5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5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5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5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5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5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5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5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5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5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5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5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5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5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5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5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5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5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5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5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5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5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5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5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5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5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5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5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5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5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5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5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5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5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5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5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5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5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5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5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5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5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5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5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5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5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5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5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5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5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5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5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5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5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5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5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5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5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5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5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5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5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5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5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5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5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5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5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5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5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5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5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5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5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5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5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5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5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5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5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5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5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5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5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5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5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5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5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5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5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5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5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5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5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5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5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5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5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5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5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5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5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5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5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5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5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5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5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5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5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5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5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5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5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5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5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5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5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5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5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5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5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5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5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5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5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5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5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5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5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5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5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5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5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5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5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5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5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5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5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5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5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5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5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5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5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5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5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5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5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5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5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5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5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5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5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5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5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5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5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5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5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5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5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5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5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5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5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5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5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5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5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5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5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5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5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5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5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5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5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5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5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5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5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5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5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5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5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5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5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5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5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5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5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5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5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5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5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5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5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5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5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5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5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5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5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5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5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5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5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5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5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5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5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5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5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5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5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5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5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5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5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5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5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5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5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5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5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5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5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5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5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5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5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5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5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5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5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5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5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5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5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5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5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5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5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5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5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5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5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5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5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5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5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5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5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5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5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5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5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5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5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5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5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5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5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5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5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5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5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5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5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5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5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5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5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5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5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5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5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5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5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5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5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5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5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5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5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5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5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5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5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5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5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5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5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5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5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5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5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5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5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5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5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5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5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5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5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5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5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5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5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5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5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5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5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5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5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5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5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5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5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5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5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5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5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5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5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5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5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5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5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5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5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5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5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5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5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5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5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5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5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5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5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5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5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5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5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5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5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5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5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5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5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5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5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5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5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5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5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5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5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5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5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5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5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5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5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5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5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5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5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5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5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5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5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5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5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5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5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5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5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5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5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5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5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5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5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5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5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5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5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5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5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5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5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5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5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5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5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5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5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5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5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5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5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5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5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5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5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5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5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5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5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5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5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5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5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5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5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5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5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5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5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5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5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5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5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5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5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5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5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5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5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5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5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5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5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5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5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5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5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5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5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5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5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5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5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5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5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5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5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5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5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5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5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5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5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5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5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5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5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5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5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5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5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5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5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5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5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5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5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5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5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5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5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5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5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5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5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5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5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5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5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5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5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5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5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5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5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5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5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5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5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5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5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5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5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5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5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5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5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5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5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5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5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5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5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5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5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5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5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5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5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5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5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5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5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5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5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5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5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5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5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5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5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5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5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5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5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5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5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5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5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5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5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5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5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5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5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5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5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5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5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5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5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5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5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5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5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5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5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5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5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5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5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5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5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5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5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5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5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5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5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5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5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5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5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5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5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5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5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5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5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5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5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5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5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5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5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5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5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5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5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5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5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5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5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5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5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5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5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5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5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5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5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5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5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5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5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5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5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5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5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5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5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5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5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5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5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5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5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5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5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5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5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5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5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5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5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5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5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5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5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5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5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5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5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5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5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5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5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5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5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5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5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5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5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5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5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5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5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5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5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5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5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5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5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5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5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5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5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5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5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5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5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5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5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5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5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5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5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5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5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5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5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5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5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5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5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5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5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5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5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5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5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5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5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5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5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5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5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5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5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5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2.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2.5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2.5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2.5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2.5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2.5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2.5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2.5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2.5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2.5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2.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2.5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2.5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2.5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2.5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2.5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2.5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2.5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2.5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2.5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2.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2.5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2.5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2.5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2.5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2.5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2.5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2.5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2.5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2.5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2.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2.5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2.5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2.5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2.5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2.5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2.5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2.5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2.5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2.5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2.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2.5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2.5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2.5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2.5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2.5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2.5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2.5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2.5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2.5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2.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2.5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2.5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2.5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2.5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2.5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2.5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2.5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2.5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2.5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2.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2.5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2.5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2.5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2.5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2.5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2.5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2.5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2.5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2.5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2.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2.5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2.5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2.5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2.5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2.5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2.5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2.5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2.5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2.5">
      <c r="A994" s="35" t="s">
        <v>60</v>
      </c>
      <c r="B994" s="35" t="s">
        <v>61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 t="s">
        <v>0</v>
      </c>
      <c r="N994" s="1" t="s">
        <v>0</v>
      </c>
      <c r="O994" s="1" t="s">
        <v>0</v>
      </c>
      <c r="P994" s="1"/>
    </row>
    <row r="995" spans="1:16" ht="12.5">
      <c r="A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ht="12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ht="12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ht="12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ht="12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ht="12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ht="12.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ht="12.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ht="12.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1:16" ht="12.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 ht="12.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 ht="12.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 ht="12.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1:16" ht="12.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1:16" ht="12.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 ht="12.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1:16" ht="12.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1:16" ht="12.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 ht="12.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 ht="12.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1:16" ht="12.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 ht="12.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 ht="12.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 ht="12.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1:16" ht="12.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1:16" ht="12.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1:16" ht="12.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 ht="12.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1:16" ht="12.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1:16" ht="12.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1:16" ht="12.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1:16" ht="12.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1:16" ht="12.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1:16" ht="12.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 spans="1:16" ht="12.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 ht="12.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6" ht="12.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6" ht="12.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6" ht="12.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1:16" ht="12.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spans="1:16" ht="12.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 spans="1:16" ht="12.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1:16" ht="12.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 ht="12.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 ht="12.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16" ht="12.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 ht="12.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 ht="12.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 ht="12.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16" ht="12.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ht="12.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 ht="12.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 ht="12.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 ht="12.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 ht="12.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 ht="12.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 ht="12.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 ht="12.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 ht="12.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 ht="12.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 ht="12.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16" ht="12.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ht="12.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 ht="12.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 ht="12.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 ht="12.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1:16" ht="12.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ht="12.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 spans="1:16" ht="12.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ht="12.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 ht="12.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 ht="12.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ht="12.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ht="12.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6" ht="12.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ht="12.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 ht="12.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ht="12.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 ht="12.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 ht="12.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 ht="12.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1:16" ht="12.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 ht="12.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 ht="12.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 spans="1:16" ht="12.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1:16" ht="12.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 spans="1:16" ht="12.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 ht="12.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 spans="1:16" ht="12.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 spans="1:16" ht="12.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1:16" ht="12.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1:16" ht="12.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 spans="1:16" ht="12.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 spans="1:16" ht="12.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 spans="1:16" ht="12.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 spans="1:16" ht="12.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 spans="1:16" ht="12.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 spans="1:16" ht="12.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 spans="1:16" ht="12.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6" ht="12.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6" ht="12.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 spans="1:16" ht="12.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 spans="1:16" ht="12.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 ht="12.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 spans="1:16" ht="12.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 spans="1:16" ht="12.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</row>
    <row r="1101" spans="1:16" ht="12.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 ht="12.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  <row r="1103" spans="1:16" ht="12.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</row>
    <row r="1104" spans="1:16" ht="12.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</row>
    <row r="1105" spans="1:16" ht="12.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</row>
    <row r="1106" spans="1:16" ht="12.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</row>
    <row r="1107" spans="1:16" ht="12.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</row>
    <row r="1108" spans="1:16" ht="12.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</row>
    <row r="1109" spans="1:16" ht="12.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 ht="12.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</row>
    <row r="1111" spans="1:16" ht="12.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</row>
    <row r="1112" spans="1:16" ht="12.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 spans="1:16" ht="12.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 ht="12.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</row>
    <row r="1115" spans="1:16" ht="12.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</row>
    <row r="1116" spans="1:16" ht="12.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</row>
    <row r="1117" spans="1:16" ht="12.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</row>
    <row r="1118" spans="1:16" ht="12.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</row>
    <row r="1119" spans="1:16" ht="12.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6" ht="12.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6" ht="12.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 ht="12.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16" ht="12.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16" ht="12.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16" ht="12.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16" ht="12.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 ht="12.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 ht="12.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16" ht="12.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 ht="12.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</row>
    <row r="1131" spans="1:16" ht="12.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</row>
    <row r="1132" spans="1:16" ht="12.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</row>
    <row r="1133" spans="1:16" ht="12.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</row>
    <row r="1134" spans="1:16" ht="12.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16" ht="12.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16" ht="12.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 ht="12.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ht="12.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ht="12.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ht="12.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ht="12.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ht="12.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 ht="12.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 ht="12.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ht="12.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 ht="12.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 ht="12.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 ht="12.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</row>
    <row r="1149" spans="1:16" ht="12.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 ht="12.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</row>
    <row r="1151" spans="1:16" ht="12.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</row>
    <row r="1152" spans="1:16" ht="12.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</row>
    <row r="1153" spans="1:16" ht="12.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</row>
    <row r="1154" spans="1:16" ht="12.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</row>
    <row r="1155" spans="1:16" ht="12.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</row>
    <row r="1156" spans="1:16" ht="12.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</row>
    <row r="1157" spans="1:16" ht="12.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</row>
    <row r="1158" spans="1:16" ht="12.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</row>
    <row r="1159" spans="1:16" ht="12.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</row>
    <row r="1160" spans="1:16" ht="12.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</row>
    <row r="1161" spans="1:16" ht="12.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 ht="12.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</row>
    <row r="1163" spans="1:16" ht="12.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</row>
    <row r="1164" spans="1:16" ht="12.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</row>
    <row r="1165" spans="1:16" ht="12.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</row>
    <row r="1166" spans="1:16" ht="12.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</row>
    <row r="1167" spans="1:16" ht="12.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</row>
    <row r="1168" spans="1:16" ht="12.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</row>
    <row r="1169" spans="1:16" ht="12.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 ht="12.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</row>
    <row r="1171" spans="1:16" ht="12.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</row>
    <row r="1172" spans="1:16" ht="12.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</row>
    <row r="1173" spans="1:16" ht="12.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 ht="12.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6" ht="12.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</row>
    <row r="1176" spans="1:16" ht="12.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</row>
    <row r="1177" spans="1:16" ht="12.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 ht="12.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 ht="12.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 ht="12.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 ht="12.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 ht="12.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</row>
    <row r="1183" spans="1:16" ht="12.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</row>
    <row r="1184" spans="1:16" ht="12.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 ht="12.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</row>
    <row r="1186" spans="1:16" ht="12.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 ht="12.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 ht="12.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</row>
    <row r="1189" spans="1:16" ht="12.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 ht="12.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 ht="12.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 ht="12.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 ht="12.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 ht="12.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 ht="12.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 spans="1:16" ht="12.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 ht="12.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ht="12.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ht="12.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ht="12.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ht="12.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 ht="12.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ht="12.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ht="12.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 ht="12.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ht="12.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ht="12.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 ht="12.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ht="12.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ht="12.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ht="12.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ht="12.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ht="12.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ht="12.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 ht="12.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ht="12.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ht="12.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ht="12.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 ht="12.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ht="12.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 ht="12.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 ht="12.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ht="12.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 ht="12.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 ht="12.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6" ht="12.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</row>
    <row r="1227" spans="1:16" ht="12.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6" ht="12.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</row>
    <row r="1229" spans="1:16" ht="12.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</row>
    <row r="1230" spans="1:16" ht="12.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</row>
    <row r="1231" spans="1:16" ht="12.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</row>
    <row r="1232" spans="1:16" ht="12.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</row>
    <row r="1233" spans="1:16" ht="12.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</row>
    <row r="1234" spans="1:16" ht="12.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</row>
    <row r="1235" spans="1:16" ht="12.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</row>
    <row r="1236" spans="1:16" ht="12.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</row>
    <row r="1237" spans="1:16" ht="12.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</row>
    <row r="1238" spans="1:16" ht="12.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</row>
    <row r="1239" spans="1:16" ht="12.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</row>
    <row r="1240" spans="1:16" ht="12.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</row>
    <row r="1241" spans="1:16" ht="12.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</row>
    <row r="1242" spans="1:16" ht="12.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</row>
    <row r="1243" spans="1:16" ht="12.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</row>
    <row r="1244" spans="1:16" ht="12.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</row>
    <row r="1245" spans="1:16" ht="12.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</row>
    <row r="1246" spans="1:16" ht="12.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</row>
    <row r="1247" spans="1:16" ht="12.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</row>
    <row r="1248" spans="1:16" ht="12.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</row>
    <row r="1249" spans="1:16" ht="12.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</row>
    <row r="1250" spans="1:16" ht="12.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6" ht="12.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</row>
    <row r="1252" spans="1:16" ht="12.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</row>
    <row r="1253" spans="1:16" ht="12.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 ht="12.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6" ht="12.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</row>
    <row r="1256" spans="1:16" ht="12.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 spans="1:16" ht="12.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</row>
    <row r="1258" spans="1:16" ht="12.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</row>
    <row r="1259" spans="1:16" ht="12.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</row>
    <row r="1260" spans="1:16" ht="12.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</row>
    <row r="1261" spans="1:16" ht="12.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 ht="12.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</row>
    <row r="1263" spans="1:16" ht="12.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</row>
    <row r="1264" spans="1:16" ht="12.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</row>
    <row r="1265" spans="1:16" ht="12.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</row>
    <row r="1266" spans="1:16" ht="12.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 ht="12.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</row>
    <row r="1268" spans="1:16" ht="12.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</row>
    <row r="1269" spans="1:16" ht="12.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 ht="12.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</row>
    <row r="1271" spans="1:16" ht="12.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 ht="12.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 ht="12.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16" ht="12.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</row>
    <row r="1275" spans="1:16" ht="12.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6" ht="12.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6" ht="12.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 ht="12.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 ht="12.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 ht="12.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 ht="12.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 ht="12.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 ht="12.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 ht="12.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 ht="12.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 ht="12.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</row>
    <row r="1287" spans="1:16" ht="12.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 ht="12.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 ht="12.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 ht="12.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 ht="12.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 ht="12.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 ht="12.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 ht="12.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 ht="12.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</row>
    <row r="1296" spans="1:16" ht="12.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</row>
    <row r="1297" spans="1:16" ht="12.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 ht="12.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</row>
    <row r="1299" spans="1:16" ht="12.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</row>
    <row r="1300" spans="1:16" ht="12.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</row>
    <row r="1301" spans="1:16" ht="12.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</row>
    <row r="1302" spans="1:16" ht="12.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6" ht="12.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6" ht="12.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6" ht="12.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</row>
    <row r="1306" spans="1:16" ht="12.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</row>
    <row r="1307" spans="1:16" ht="12.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</row>
    <row r="1308" spans="1:16" ht="12.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</row>
    <row r="1309" spans="1:16" ht="12.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</row>
    <row r="1310" spans="1:16" ht="12.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</row>
    <row r="1311" spans="1:16" ht="12.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</row>
    <row r="1312" spans="1:16" ht="12.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</row>
    <row r="1313" spans="1:16" ht="12.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</row>
    <row r="1314" spans="1:16" ht="12.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</row>
    <row r="1315" spans="1:16" ht="12.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</row>
    <row r="1316" spans="1:16" ht="12.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</row>
    <row r="1317" spans="1:16" ht="12.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</row>
    <row r="1318" spans="1:16" ht="12.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</row>
    <row r="1319" spans="1:16" ht="12.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</row>
    <row r="1320" spans="1:16" ht="12.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</row>
    <row r="1321" spans="1:16" ht="12.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</row>
    <row r="1322" spans="1:16" ht="12.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</row>
    <row r="1323" spans="1:16" ht="12.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</row>
    <row r="1324" spans="1:16" ht="12.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</row>
    <row r="1325" spans="1:16" ht="12.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 ht="12.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</row>
    <row r="1327" spans="1:16" ht="12.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</row>
    <row r="1328" spans="1:16" ht="12.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</row>
    <row r="1329" spans="1:16" ht="12.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</row>
    <row r="1330" spans="1:16" ht="12.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</row>
    <row r="1331" spans="1:16" ht="12.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</row>
    <row r="1332" spans="1:16" ht="12.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 spans="1:16" ht="12.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6" ht="12.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6" ht="12.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6" ht="12.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</row>
    <row r="1337" spans="1:16" ht="12.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 ht="12.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</row>
    <row r="1339" spans="1:16" ht="12.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</row>
    <row r="1340" spans="1:16" ht="12.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</row>
    <row r="1341" spans="1:16" ht="12.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 ht="12.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</row>
    <row r="1343" spans="1:16" ht="12.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 ht="12.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</row>
    <row r="1345" spans="1:16" ht="12.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  <row r="1346" spans="1:16" ht="12.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</row>
    <row r="1347" spans="1:16" ht="12.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</row>
    <row r="1348" spans="1:16" ht="12.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</row>
    <row r="1349" spans="1:16" ht="12.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</row>
    <row r="1350" spans="1:16" ht="12.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</row>
    <row r="1351" spans="1:16" ht="12.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</row>
    <row r="1352" spans="1:16" ht="12.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</row>
    <row r="1353" spans="1:16" ht="12.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 ht="12.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</row>
    <row r="1355" spans="1:16" ht="12.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</row>
    <row r="1356" spans="1:16" ht="12.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</row>
    <row r="1357" spans="1:16" ht="12.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 ht="12.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</row>
    <row r="1359" spans="1:16" ht="12.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</row>
    <row r="1360" spans="1:16" ht="12.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6" ht="12.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 ht="12.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</row>
    <row r="1363" spans="1:16" ht="12.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6" ht="12.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</row>
    <row r="1365" spans="1:16" ht="12.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 ht="12.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</row>
    <row r="1367" spans="1:16" ht="12.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</row>
    <row r="1368" spans="1:16" ht="12.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</row>
    <row r="1369" spans="1:16" ht="12.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</row>
    <row r="1370" spans="1:16" ht="12.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</row>
    <row r="1371" spans="1:16" ht="12.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</row>
    <row r="1372" spans="1:16" ht="12.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</row>
    <row r="1373" spans="1:16" ht="12.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</row>
    <row r="1374" spans="1:16" ht="12.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</row>
    <row r="1375" spans="1:16" ht="12.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</row>
    <row r="1376" spans="1:16" ht="12.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</row>
    <row r="1377" spans="1:16" ht="12.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</row>
    <row r="1378" spans="1:16" ht="12.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</row>
    <row r="1379" spans="1:16" ht="12.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</row>
    <row r="1380" spans="1:16" ht="12.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</row>
    <row r="1381" spans="1:16" ht="12.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</row>
    <row r="1382" spans="1:16" ht="12.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</row>
    <row r="1383" spans="1:16" ht="12.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</row>
    <row r="1384" spans="1:16" ht="12.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</row>
    <row r="1385" spans="1:16" ht="12.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</row>
    <row r="1386" spans="1:16" ht="12.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</row>
    <row r="1387" spans="1:16" ht="12.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</row>
    <row r="1388" spans="1:16" ht="12.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6" ht="12.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6" ht="12.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</row>
    <row r="1391" spans="1:16" ht="12.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</row>
    <row r="1392" spans="1:16" ht="12.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</row>
    <row r="1393" spans="1:16" ht="12.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</row>
    <row r="1394" spans="1:16" ht="12.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</row>
    <row r="1395" spans="1:16" ht="12.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</row>
    <row r="1396" spans="1:16" ht="12.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</row>
    <row r="1397" spans="1:16" ht="12.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</row>
    <row r="1398" spans="1:16" ht="12.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</row>
    <row r="1399" spans="1:16" ht="12.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</row>
    <row r="1400" spans="1:16" ht="12.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 ht="12.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 ht="12.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</row>
    <row r="1403" spans="1:16" ht="12.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</row>
    <row r="1404" spans="1:16" ht="12.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 spans="1:16" ht="12.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 ht="12.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</row>
    <row r="1407" spans="1:16" ht="12.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</row>
    <row r="1408" spans="1:16" ht="12.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</row>
    <row r="1409" spans="1:16" ht="12.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 spans="1:16" ht="12.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</row>
    <row r="1411" spans="1:16" ht="12.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</row>
    <row r="1412" spans="1:16" ht="12.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</row>
    <row r="1413" spans="1:16" ht="12.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</row>
    <row r="1414" spans="1:16" ht="12.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</row>
    <row r="1415" spans="1:16" ht="12.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6" ht="12.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6" ht="12.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</row>
    <row r="1418" spans="1:16" ht="12.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</row>
    <row r="1419" spans="1:16" ht="12.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</row>
    <row r="1420" spans="1:16" ht="12.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</row>
    <row r="1421" spans="1:16" ht="12.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</row>
    <row r="1422" spans="1:16" ht="12.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</row>
    <row r="1423" spans="1:16" ht="12.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</row>
    <row r="1424" spans="1:16" ht="12.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</row>
    <row r="1425" spans="1:16" ht="12.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</row>
    <row r="1426" spans="1:16" ht="12.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</row>
    <row r="1427" spans="1:16" ht="12.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</row>
    <row r="1428" spans="1:16" ht="12.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</row>
    <row r="1429" spans="1:16" ht="12.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</row>
    <row r="1430" spans="1:16" ht="12.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</row>
    <row r="1431" spans="1:16" ht="12.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</row>
    <row r="1432" spans="1:16" ht="12.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</row>
    <row r="1433" spans="1:16" ht="12.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 ht="12.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</row>
    <row r="1435" spans="1:16" ht="12.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</row>
    <row r="1436" spans="1:16" ht="12.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</row>
    <row r="1437" spans="1:16" ht="12.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</row>
    <row r="1438" spans="1:16" ht="12.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</row>
    <row r="1439" spans="1:16" ht="12.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</row>
    <row r="1440" spans="1:16" ht="12.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</row>
    <row r="1441" spans="1:16" ht="12.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 ht="12.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6" ht="12.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6" ht="12.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6" ht="12.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 ht="12.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</row>
    <row r="1447" spans="1:16" ht="12.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</row>
    <row r="1448" spans="1:16" ht="12.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ht="12.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 ht="12.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</row>
    <row r="1451" spans="1:16" ht="12.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</row>
    <row r="1452" spans="1:16" ht="12.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</row>
    <row r="1453" spans="1:16" ht="12.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</row>
    <row r="1454" spans="1:16" ht="12.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</row>
    <row r="1455" spans="1:16" ht="12.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</row>
    <row r="1456" spans="1:16" ht="12.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</row>
    <row r="1457" spans="1:16" ht="12.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</row>
    <row r="1458" spans="1:16" ht="12.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</row>
    <row r="1459" spans="1:16" ht="12.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</row>
    <row r="1460" spans="1:16" ht="12.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</row>
    <row r="1461" spans="1:16" ht="12.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</row>
    <row r="1462" spans="1:16" ht="12.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</row>
    <row r="1463" spans="1:16" ht="12.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</row>
    <row r="1464" spans="1:16" ht="12.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</row>
    <row r="1465" spans="1:16" ht="12.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</row>
    <row r="1466" spans="1:16" ht="12.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</row>
    <row r="1467" spans="1:16" ht="12.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</row>
    <row r="1468" spans="1:16" ht="12.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</row>
    <row r="1469" spans="1:16" ht="12.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</row>
    <row r="1470" spans="1:16" ht="12.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</row>
    <row r="1471" spans="1:16" ht="12.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</row>
    <row r="1472" spans="1:16" ht="12.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6" ht="12.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6" ht="12.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</row>
    <row r="1475" spans="1:16" ht="12.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</row>
    <row r="1476" spans="1:16" ht="12.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</row>
    <row r="1477" spans="1:16" ht="12.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</row>
    <row r="1478" spans="1:16" ht="12.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</row>
    <row r="1479" spans="1:16" ht="12.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</row>
    <row r="1480" spans="1:16" ht="12.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</row>
    <row r="1481" spans="1:16" ht="12.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</row>
    <row r="1482" spans="1:16" ht="12.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</row>
    <row r="1483" spans="1:16" ht="12.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</row>
    <row r="1484" spans="1:16" ht="12.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</row>
    <row r="1485" spans="1:16" ht="12.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</row>
    <row r="1486" spans="1:16" ht="12.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</row>
    <row r="1487" spans="1:16" ht="12.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</row>
    <row r="1488" spans="1:16" ht="12.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</row>
    <row r="1489" spans="1:16" ht="12.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</row>
    <row r="1490" spans="1:16" ht="12.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</row>
    <row r="1491" spans="1:16" ht="12.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</row>
    <row r="1492" spans="1:16" ht="12.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</row>
    <row r="1493" spans="1:16" ht="12.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</row>
    <row r="1494" spans="1:16" ht="12.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</row>
    <row r="1495" spans="1:16" ht="12.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</row>
    <row r="1496" spans="1:16" ht="12.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</row>
    <row r="1497" spans="1:16" ht="12.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</row>
    <row r="1498" spans="1:16" ht="12.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</row>
    <row r="1499" spans="1:16" ht="12.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</row>
    <row r="1500" spans="1:16" ht="12.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</row>
    <row r="1501" spans="1:16" ht="12.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6" ht="12.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</row>
    <row r="1503" spans="1:16" ht="12.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</row>
    <row r="1504" spans="1:16" ht="12.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</row>
    <row r="1505" spans="1:16" ht="12.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 ht="12.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</row>
    <row r="1507" spans="1:16" ht="12.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</row>
    <row r="1508" spans="1:16" ht="12.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</row>
    <row r="1509" spans="1:16" ht="12.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</row>
    <row r="1510" spans="1:16" ht="12.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</row>
    <row r="1511" spans="1:16" ht="12.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</row>
    <row r="1512" spans="1:16" ht="12.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</row>
    <row r="1513" spans="1:16" ht="12.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</row>
    <row r="1514" spans="1:16" ht="12.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</row>
    <row r="1515" spans="1:16" ht="12.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</row>
    <row r="1516" spans="1:16" ht="12.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</row>
    <row r="1517" spans="1:16" ht="12.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 ht="12.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</row>
    <row r="1519" spans="1:16" ht="12.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</row>
    <row r="1520" spans="1:16" ht="12.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</row>
    <row r="1521" spans="1:16" ht="12.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</row>
    <row r="1522" spans="1:16" ht="12.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</row>
    <row r="1523" spans="1:16" ht="12.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</row>
    <row r="1524" spans="1:16" ht="12.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</row>
    <row r="1525" spans="1:16" ht="12.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</row>
    <row r="1526" spans="1:16" ht="12.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</row>
    <row r="1527" spans="1:16" ht="12.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 ht="12.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 ht="12.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</row>
    <row r="1530" spans="1:16" ht="12.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</row>
    <row r="1531" spans="1:16" ht="12.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</row>
    <row r="1532" spans="1:16" ht="12.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 ht="12.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</row>
    <row r="1534" spans="1:16" ht="12.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</row>
    <row r="1535" spans="1:16" ht="12.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</row>
    <row r="1536" spans="1:16" ht="12.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 ht="12.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</row>
    <row r="1538" spans="1:16" ht="12.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</row>
    <row r="1539" spans="1:16" ht="12.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</row>
    <row r="1540" spans="1:16" ht="12.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</row>
    <row r="1541" spans="1:16" ht="12.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</row>
    <row r="1542" spans="1:16" ht="12.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</row>
    <row r="1543" spans="1:16" ht="12.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</row>
    <row r="1544" spans="1:16" ht="12.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</row>
    <row r="1545" spans="1:16" ht="12.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</row>
    <row r="1546" spans="1:16" ht="12.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</row>
    <row r="1547" spans="1:16" ht="12.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</row>
    <row r="1548" spans="1:16" ht="12.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</row>
    <row r="1549" spans="1:16" ht="12.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</row>
    <row r="1550" spans="1:16" ht="12.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</row>
    <row r="1551" spans="1:16" ht="12.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</row>
    <row r="1552" spans="1:16" ht="12.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</row>
    <row r="1553" spans="1:16" ht="12.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</row>
    <row r="1554" spans="1:16" ht="12.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</row>
    <row r="1555" spans="1:16" ht="12.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</row>
    <row r="1556" spans="1:16" ht="12.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</row>
    <row r="1557" spans="1:16" ht="12.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</row>
    <row r="1558" spans="1:16" ht="12.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</row>
    <row r="1559" spans="1:16" ht="12.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</row>
    <row r="1560" spans="1:16" ht="12.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</row>
    <row r="1561" spans="1:16" ht="12.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</row>
    <row r="1562" spans="1:16" ht="12.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</row>
    <row r="1563" spans="1:16" ht="12.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</row>
    <row r="1564" spans="1:16" ht="12.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</row>
    <row r="1565" spans="1:16" ht="12.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</row>
    <row r="1566" spans="1:16" ht="12.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</row>
    <row r="1567" spans="1:16" ht="12.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</row>
    <row r="1568" spans="1:16" ht="12.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</row>
    <row r="1569" spans="1:16" ht="12.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</row>
    <row r="1570" spans="1:16" ht="12.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</row>
    <row r="1571" spans="1:16" ht="12.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</row>
    <row r="1572" spans="1:16" ht="12.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</row>
    <row r="1573" spans="1:16" ht="12.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</row>
    <row r="1574" spans="1:16" ht="12.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</row>
    <row r="1575" spans="1:16" ht="12.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</row>
    <row r="1576" spans="1:16" ht="12.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</row>
    <row r="1577" spans="1:16" ht="12.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</row>
    <row r="1578" spans="1:16" ht="12.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</row>
    <row r="1579" spans="1:16" ht="12.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</row>
    <row r="1580" spans="1:16" ht="12.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</row>
    <row r="1581" spans="1:16" ht="12.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</row>
    <row r="1582" spans="1:16" ht="12.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</row>
    <row r="1583" spans="1:16" ht="12.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</row>
    <row r="1584" spans="1:16" ht="12.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</row>
    <row r="1585" spans="1:16" ht="12.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</row>
    <row r="1586" spans="1:16" ht="12.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</row>
    <row r="1587" spans="1:16" ht="12.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</row>
    <row r="1588" spans="1:16" ht="12.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</row>
    <row r="1589" spans="1:16" ht="12.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</row>
    <row r="1590" spans="1:16" ht="12.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</row>
    <row r="1591" spans="1:16" ht="12.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</row>
    <row r="1592" spans="1:16" ht="12.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</row>
    <row r="1593" spans="1:16" ht="12.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 ht="12.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</row>
    <row r="1595" spans="1:16" ht="12.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</row>
    <row r="1596" spans="1:16" ht="12.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</row>
    <row r="1597" spans="1:16" ht="12.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</row>
    <row r="1598" spans="1:16" ht="12.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</row>
    <row r="1599" spans="1:16" ht="12.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</row>
    <row r="1600" spans="1:16" ht="12.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</row>
    <row r="1601" spans="1:16" ht="12.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</row>
    <row r="1602" spans="1:16" ht="12.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</row>
    <row r="1603" spans="1:16" ht="12.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</row>
    <row r="1604" spans="1:16" ht="12.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</row>
    <row r="1605" spans="1:16" ht="12.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 ht="12.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ht="12.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</row>
    <row r="1608" spans="1:16" ht="12.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</row>
    <row r="1609" spans="1:16" ht="12.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</row>
    <row r="1610" spans="1:16" ht="12.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</row>
    <row r="1611" spans="1:16" ht="12.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</row>
    <row r="1612" spans="1:16" ht="12.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</row>
    <row r="1613" spans="1:16" ht="12.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</row>
    <row r="1614" spans="1:16" ht="12.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</row>
    <row r="1615" spans="1:16" ht="12.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</row>
    <row r="1616" spans="1:16" ht="12.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</row>
    <row r="1617" spans="1:16" ht="12.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</row>
    <row r="1618" spans="1:16" ht="12.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</row>
    <row r="1619" spans="1:16" ht="12.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</row>
    <row r="1620" spans="1:16" ht="12.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</row>
    <row r="1621" spans="1:16" ht="12.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</row>
    <row r="1622" spans="1:16" ht="12.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</row>
    <row r="1623" spans="1:16" ht="12.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</row>
    <row r="1624" spans="1:16" ht="12.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</row>
    <row r="1625" spans="1:16" ht="12.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</row>
    <row r="1626" spans="1:16" ht="12.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</row>
    <row r="1627" spans="1:16" ht="12.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</row>
    <row r="1628" spans="1:16" ht="12.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</row>
    <row r="1629" spans="1:16" ht="12.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</row>
    <row r="1630" spans="1:16" ht="12.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</row>
    <row r="1631" spans="1:16" ht="12.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</row>
    <row r="1632" spans="1:16" ht="12.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</row>
    <row r="1633" spans="1:16" ht="12.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</row>
    <row r="1634" spans="1:16" ht="12.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</row>
    <row r="1635" spans="1:16" ht="12.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</row>
    <row r="1636" spans="1:16" ht="12.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</row>
    <row r="1637" spans="1:16" ht="12.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</row>
    <row r="1638" spans="1:16" ht="12.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</row>
    <row r="1639" spans="1:16" ht="12.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</row>
    <row r="1640" spans="1:16" ht="12.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</row>
    <row r="1641" spans="1:16" ht="12.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</row>
    <row r="1642" spans="1:16" ht="12.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</row>
    <row r="1643" spans="1:16" ht="12.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</row>
    <row r="1644" spans="1:16" ht="12.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</row>
    <row r="1645" spans="1:16" ht="12.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</row>
    <row r="1646" spans="1:16" ht="12.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</row>
    <row r="1647" spans="1:16" ht="12.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</row>
    <row r="1648" spans="1:16" ht="12.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</row>
    <row r="1649" spans="1:16" ht="12.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</row>
    <row r="1650" spans="1:16" ht="12.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</row>
    <row r="1651" spans="1:16" ht="12.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</row>
    <row r="1652" spans="1:16" ht="12.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</row>
    <row r="1653" spans="1:16" ht="12.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</row>
    <row r="1654" spans="1:16" ht="12.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</row>
    <row r="1655" spans="1:16" ht="12.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</row>
    <row r="1656" spans="1:16" ht="12.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</row>
    <row r="1657" spans="1:16" ht="12.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</row>
    <row r="1658" spans="1:16" ht="12.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</row>
    <row r="1659" spans="1:16" ht="12.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</row>
    <row r="1660" spans="1:16" ht="12.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</row>
    <row r="1661" spans="1:16" ht="12.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16" ht="12.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</row>
    <row r="1663" spans="1:16" ht="12.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</row>
    <row r="1664" spans="1:16" ht="12.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</row>
    <row r="1665" spans="1:16" ht="12.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 ht="12.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</row>
    <row r="1667" spans="1:16" ht="12.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</row>
    <row r="1668" spans="1:16" ht="12.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</row>
    <row r="1669" spans="1:16" ht="12.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ht="12.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 ht="12.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</row>
    <row r="1672" spans="1:16" ht="12.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</row>
    <row r="1673" spans="1:16" ht="12.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 ht="12.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</row>
    <row r="1675" spans="1:16" ht="12.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 ht="12.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</row>
    <row r="1677" spans="1:16" ht="12.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 ht="12.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 ht="12.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</row>
    <row r="1680" spans="1:16" ht="12.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</row>
    <row r="1681" spans="1:16" ht="12.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 ht="12.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</row>
    <row r="1683" spans="1:16" ht="12.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</row>
    <row r="1684" spans="1:16" ht="12.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</row>
    <row r="1685" spans="1:16" ht="12.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</row>
    <row r="1686" spans="1:16" ht="12.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</row>
    <row r="1687" spans="1:16" ht="12.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</row>
    <row r="1688" spans="1:16" ht="12.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</row>
    <row r="1689" spans="1:16" ht="12.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</row>
    <row r="1690" spans="1:16" ht="12.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</row>
    <row r="1691" spans="1:16" ht="12.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</row>
    <row r="1692" spans="1:16" ht="12.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</row>
    <row r="1693" spans="1:16" ht="12.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</row>
    <row r="1694" spans="1:16" ht="12.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</row>
    <row r="1695" spans="1:16" ht="12.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</row>
    <row r="1696" spans="1:16" ht="12.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</row>
    <row r="1697" spans="1:16" ht="12.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</row>
    <row r="1698" spans="1:16" ht="12.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</row>
    <row r="1699" spans="1:16" ht="12.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</row>
    <row r="1700" spans="1:16" ht="12.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</row>
    <row r="1701" spans="1:16" ht="12.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</row>
    <row r="1702" spans="1:16" ht="12.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</row>
    <row r="1703" spans="1:16" ht="12.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</row>
    <row r="1704" spans="1:16" ht="12.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</row>
    <row r="1705" spans="1:16" ht="12.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</row>
    <row r="1706" spans="1:16" ht="12.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</row>
    <row r="1707" spans="1:16" ht="12.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</row>
    <row r="1708" spans="1:16" ht="12.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</row>
    <row r="1709" spans="1:16" ht="12.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</row>
    <row r="1710" spans="1:16" ht="12.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</row>
    <row r="1711" spans="1:16" ht="12.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</row>
    <row r="1712" spans="1:16" ht="12.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</row>
    <row r="1713" spans="1:16" ht="12.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</row>
    <row r="1714" spans="1:16" ht="12.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</row>
    <row r="1715" spans="1:16" ht="12.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</row>
    <row r="1716" spans="1:16" ht="12.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</row>
    <row r="1717" spans="1:16" ht="12.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</row>
    <row r="1718" spans="1:16" ht="12.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</row>
    <row r="1719" spans="1:16" ht="12.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</row>
    <row r="1720" spans="1:16" ht="12.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</row>
    <row r="1721" spans="1:16" ht="12.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</row>
    <row r="1722" spans="1:16" ht="12.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</row>
    <row r="1723" spans="1:16" ht="12.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</row>
    <row r="1724" spans="1:16" ht="12.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</row>
    <row r="1725" spans="1:16" ht="12.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</row>
    <row r="1726" spans="1:16" ht="12.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</row>
    <row r="1727" spans="1:16" ht="12.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</row>
    <row r="1728" spans="1:16" ht="12.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</row>
    <row r="1729" spans="1:16" ht="12.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 ht="12.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</row>
    <row r="1731" spans="1:16" ht="12.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</row>
    <row r="1732" spans="1:16" ht="12.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</row>
    <row r="1733" spans="1:16" ht="12.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</row>
    <row r="1734" spans="1:16" ht="12.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</row>
    <row r="1735" spans="1:16" ht="12.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</row>
    <row r="1736" spans="1:16" ht="12.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</row>
    <row r="1737" spans="1:16" ht="12.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</row>
    <row r="1738" spans="1:16" ht="12.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</row>
    <row r="1739" spans="1:16" ht="12.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</row>
    <row r="1740" spans="1:16" ht="12.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</row>
    <row r="1741" spans="1:16" ht="12.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</row>
    <row r="1742" spans="1:16" ht="12.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</row>
    <row r="1743" spans="1:16" ht="12.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</row>
    <row r="1744" spans="1:16" ht="12.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</row>
    <row r="1745" spans="1:16" ht="12.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</row>
    <row r="1746" spans="1:16" ht="12.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</row>
    <row r="1747" spans="1:16" ht="12.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</row>
    <row r="1748" spans="1:16" ht="12.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</row>
    <row r="1749" spans="1:16" ht="12.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</row>
    <row r="1750" spans="1:16" ht="12.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</row>
    <row r="1751" spans="1:16" ht="12.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</row>
    <row r="1752" spans="1:16" ht="12.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</row>
    <row r="1753" spans="1:16" ht="12.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</row>
    <row r="1754" spans="1:16" ht="12.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</row>
    <row r="1755" spans="1:16" ht="12.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</row>
    <row r="1756" spans="1:16" ht="12.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</row>
    <row r="1757" spans="1:16" ht="12.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</row>
    <row r="1758" spans="1:16" ht="12.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</row>
    <row r="1759" spans="1:16" ht="12.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</row>
    <row r="1760" spans="1:16" ht="12.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</row>
    <row r="1761" spans="1:16" ht="12.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</row>
    <row r="1762" spans="1:16" ht="12.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</row>
    <row r="1763" spans="1:16" ht="12.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</row>
    <row r="1764" spans="1:16" ht="12.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</row>
    <row r="1765" spans="1:16" ht="12.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</row>
    <row r="1766" spans="1:16" ht="12.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</row>
    <row r="1767" spans="1:16" ht="12.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</row>
    <row r="1768" spans="1:16" ht="12.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</row>
    <row r="1769" spans="1:16" ht="12.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</row>
    <row r="1770" spans="1:16" ht="12.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</row>
    <row r="1771" spans="1:16" ht="12.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</row>
    <row r="1772" spans="1:16" ht="12.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</row>
    <row r="1773" spans="1:16" ht="12.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</row>
    <row r="1774" spans="1:16" ht="12.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</row>
    <row r="1775" spans="1:16" ht="12.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</row>
    <row r="1776" spans="1:16" ht="12.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</row>
    <row r="1777" spans="1:16" ht="12.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</row>
    <row r="1778" spans="1:16" ht="12.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</row>
    <row r="1779" spans="1:16" ht="12.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</row>
    <row r="1780" spans="1:16" ht="12.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</row>
    <row r="1781" spans="1:16" ht="12.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</row>
    <row r="1782" spans="1:16" ht="12.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</row>
    <row r="1783" spans="1:16" ht="12.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</row>
    <row r="1784" spans="1:16" ht="12.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</row>
    <row r="1785" spans="1:16" ht="12.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</row>
    <row r="1786" spans="1:16" ht="12.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</row>
    <row r="1787" spans="1:16" ht="12.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</row>
    <row r="1788" spans="1:16" ht="12.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</row>
    <row r="1789" spans="1:16" ht="12.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</row>
    <row r="1790" spans="1:16" ht="12.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</row>
    <row r="1791" spans="1:16" ht="12.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</row>
    <row r="1792" spans="1:16" ht="12.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</row>
    <row r="1793" spans="1:16" ht="12.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</row>
    <row r="1794" spans="1:16" ht="12.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</row>
    <row r="1795" spans="1:16" ht="12.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</row>
    <row r="1796" spans="1:16" ht="12.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</row>
    <row r="1797" spans="1:16" ht="12.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</row>
    <row r="1798" spans="1:16" ht="12.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</row>
    <row r="1799" spans="1:16" ht="12.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</row>
    <row r="1800" spans="1:16" ht="12.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</row>
    <row r="1801" spans="1:16" ht="12.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</row>
    <row r="1802" spans="1:16" ht="12.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</row>
    <row r="1803" spans="1:16" ht="12.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</row>
    <row r="1804" spans="1:16" ht="12.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</row>
    <row r="1805" spans="1:16" ht="12.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</row>
    <row r="1806" spans="1:16" ht="12.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</row>
    <row r="1807" spans="1:16" ht="12.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</row>
    <row r="1808" spans="1:16" ht="12.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</row>
    <row r="1809" spans="1:16" ht="12.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</row>
    <row r="1810" spans="1:16" ht="12.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</row>
    <row r="1811" spans="1:16" ht="12.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</row>
    <row r="1812" spans="1:16" ht="12.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</row>
    <row r="1813" spans="1:16" ht="12.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</row>
    <row r="1814" spans="1:16" ht="12.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</row>
    <row r="1815" spans="1:16" ht="12.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</row>
    <row r="1816" spans="1:16" ht="12.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</row>
    <row r="1817" spans="1:16" ht="12.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</row>
    <row r="1818" spans="1:16" ht="12.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</row>
    <row r="1819" spans="1:16" ht="12.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</row>
    <row r="1820" spans="1:16" ht="12.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</row>
    <row r="1821" spans="1:16" ht="12.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</row>
    <row r="1822" spans="1:16" ht="12.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</row>
    <row r="1823" spans="1:16" ht="12.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</row>
    <row r="1824" spans="1:16" ht="12.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</row>
    <row r="1825" spans="1:16" ht="12.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</row>
    <row r="1826" spans="1:16" ht="12.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</row>
    <row r="1827" spans="1:16" ht="12.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</row>
    <row r="1828" spans="1:16" ht="12.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</row>
    <row r="1829" spans="1:16" ht="12.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</row>
    <row r="1830" spans="1:16" ht="12.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</row>
    <row r="1831" spans="1:16" ht="12.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</row>
    <row r="1832" spans="1:16" ht="12.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</row>
    <row r="1833" spans="1:16" ht="12.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</row>
    <row r="1834" spans="1:16" ht="12.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</row>
    <row r="1835" spans="1:16" ht="12.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</row>
    <row r="1836" spans="1:16" ht="12.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</row>
    <row r="1837" spans="1:16" ht="12.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</row>
    <row r="1838" spans="1:16" ht="12.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</row>
    <row r="1839" spans="1:16" ht="12.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</row>
    <row r="1840" spans="1:16" ht="12.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</row>
    <row r="1841" spans="1:16" ht="12.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</row>
    <row r="1842" spans="1:16" ht="12.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</row>
    <row r="1843" spans="1:16" ht="12.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</row>
    <row r="1844" spans="1:16" ht="12.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</row>
    <row r="1845" spans="1:16" ht="12.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</row>
    <row r="1846" spans="1:16" ht="12.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</row>
    <row r="1847" spans="1:16" ht="12.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</row>
    <row r="1848" spans="1:16" ht="12.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</row>
    <row r="1849" spans="1:16" ht="12.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</row>
    <row r="1850" spans="1:16" ht="12.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</row>
    <row r="1851" spans="1:16" ht="12.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</row>
    <row r="1852" spans="1:16" ht="12.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</row>
    <row r="1853" spans="1:16" ht="12.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</row>
    <row r="1854" spans="1:16" ht="12.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</row>
    <row r="1855" spans="1:16" ht="12.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</row>
    <row r="1856" spans="1:16" ht="12.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</row>
    <row r="1857" spans="1:16" ht="12.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</row>
    <row r="1858" spans="1:16" ht="12.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</row>
    <row r="1859" spans="1:16" ht="12.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</row>
    <row r="1860" spans="1:16" ht="12.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</row>
    <row r="1861" spans="1:16" ht="12.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</row>
    <row r="1862" spans="1:16" ht="12.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</row>
    <row r="1863" spans="1:16" ht="12.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</row>
    <row r="1864" spans="1:16" ht="12.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</row>
    <row r="1865" spans="1:16" ht="12.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</row>
    <row r="1866" spans="1:16" ht="12.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</row>
    <row r="1867" spans="1:16" ht="12.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</row>
    <row r="1868" spans="1:16" ht="12.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</row>
    <row r="1869" spans="1:16" ht="12.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</row>
    <row r="1870" spans="1:16" ht="12.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</row>
    <row r="1871" spans="1:16" ht="12.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</row>
    <row r="1872" spans="1:16" ht="12.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</row>
    <row r="1873" spans="1:16" ht="12.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</row>
    <row r="1874" spans="1:16" ht="12.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</row>
    <row r="1875" spans="1:16" ht="12.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</row>
    <row r="1876" spans="1:16" ht="12.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</row>
    <row r="1877" spans="1:16" ht="12.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</row>
    <row r="1878" spans="1:16" ht="12.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</row>
    <row r="1879" spans="1:16" ht="12.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</row>
    <row r="1880" spans="1:16" ht="12.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</row>
    <row r="1881" spans="1:16" ht="12.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</row>
    <row r="1882" spans="1:16" ht="12.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</row>
    <row r="1883" spans="1:16" ht="12.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</row>
    <row r="1884" spans="1:16" ht="12.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</row>
    <row r="1885" spans="1:16" ht="12.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</row>
    <row r="1886" spans="1:16" ht="12.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</row>
    <row r="1887" spans="1:16" ht="12.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</row>
    <row r="1888" spans="1:16" ht="12.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</row>
    <row r="1889" spans="1:16" ht="12.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</row>
    <row r="1890" spans="1:16" ht="12.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</row>
    <row r="1891" spans="1:16" ht="12.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</row>
    <row r="1892" spans="1:16" ht="12.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</row>
    <row r="1893" spans="1:16" ht="12.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</row>
    <row r="1894" spans="1:16" ht="12.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</row>
    <row r="1895" spans="1:16" ht="12.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</row>
    <row r="1896" spans="1:16" ht="12.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</row>
    <row r="1897" spans="1:16" ht="12.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</row>
    <row r="1898" spans="1:16" ht="12.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</row>
    <row r="1899" spans="1:16" ht="12.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</row>
    <row r="1900" spans="1:16" ht="12.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</row>
    <row r="1901" spans="1:16" ht="12.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</row>
    <row r="1902" spans="1:16" ht="12.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</row>
    <row r="1903" spans="1:16" ht="12.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</row>
    <row r="1904" spans="1:16" ht="12.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</row>
    <row r="1905" spans="1:16" ht="12.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</row>
    <row r="1906" spans="1:16" ht="12.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</row>
    <row r="1907" spans="1:16" ht="12.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</row>
    <row r="1908" spans="1:16" ht="12.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</row>
    <row r="1909" spans="1:16" ht="12.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</row>
    <row r="1910" spans="1:16" ht="12.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</row>
    <row r="1911" spans="1:16" ht="12.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</row>
    <row r="1912" spans="1:16" ht="12.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</row>
    <row r="1913" spans="1:16" ht="12.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</row>
    <row r="1914" spans="1:16" ht="12.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</row>
    <row r="1915" spans="1:16" ht="12.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</row>
    <row r="1916" spans="1:16" ht="12.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</row>
    <row r="1917" spans="1:16" ht="12.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</row>
    <row r="1918" spans="1:16" ht="12.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</row>
    <row r="1919" spans="1:16" ht="12.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</row>
    <row r="1920" spans="1:16" ht="12.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</row>
    <row r="1921" spans="1:16" ht="12.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</row>
    <row r="1922" spans="1:16" ht="12.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</row>
    <row r="1923" spans="1:16" ht="12.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</row>
    <row r="1924" spans="1:16" ht="12.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</row>
    <row r="1925" spans="1:16" ht="12.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</row>
    <row r="1926" spans="1:16" ht="12.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</row>
    <row r="1927" spans="1:16" ht="12.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</row>
    <row r="1928" spans="1:16" ht="12.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</row>
    <row r="1929" spans="1:16" ht="12.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</row>
    <row r="1930" spans="1:16" ht="12.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</row>
    <row r="1931" spans="1:16" ht="12.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</row>
    <row r="1932" spans="1:16" ht="12.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</row>
    <row r="1933" spans="1:16" ht="12.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</row>
    <row r="1934" spans="1:16" ht="12.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</row>
    <row r="1935" spans="1:16" ht="12.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</row>
    <row r="1936" spans="1:16" ht="12.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</row>
    <row r="1937" spans="1:16" ht="12.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</row>
    <row r="1938" spans="1:16" ht="12.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</row>
    <row r="1939" spans="1:16" ht="12.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</row>
    <row r="1940" spans="1:16" ht="12.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</row>
    <row r="1941" spans="1:16" ht="12.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</row>
    <row r="1942" spans="1:16" ht="12.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</row>
    <row r="1943" spans="1:16" ht="12.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</row>
    <row r="1944" spans="1:16" ht="12.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</row>
    <row r="1945" spans="1:16" ht="12.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</row>
    <row r="1946" spans="1:16" ht="12.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</row>
    <row r="1947" spans="1:16" ht="12.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</row>
    <row r="1948" spans="1:16" ht="12.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</row>
    <row r="1949" spans="1:16" ht="12.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</row>
    <row r="1950" spans="1:16" ht="12.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</row>
    <row r="1951" spans="1:16" ht="12.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</row>
    <row r="1952" spans="1:16" ht="12.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</row>
    <row r="1953" spans="1:16" ht="12.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</row>
    <row r="1954" spans="1:16" ht="12.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</row>
    <row r="1955" spans="1:16" ht="12.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</row>
    <row r="1956" spans="1:16" ht="12.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</row>
    <row r="1957" spans="1:16" ht="12.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</row>
    <row r="1958" spans="1:16" ht="12.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</row>
    <row r="1959" spans="1:16" ht="12.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</row>
    <row r="1960" spans="1:16" ht="12.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</row>
    <row r="1961" spans="1:16" ht="12.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</row>
    <row r="1962" spans="1:16" ht="12.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</row>
    <row r="1963" spans="1:16" ht="12.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</row>
    <row r="1964" spans="1:16" ht="12.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</row>
    <row r="1965" spans="1:16" ht="12.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</row>
    <row r="1966" spans="1:16" ht="12.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</row>
    <row r="1967" spans="1:16" ht="12.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</row>
    <row r="1968" spans="1:16" ht="12.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</row>
    <row r="1969" spans="1:16" ht="12.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</row>
    <row r="1970" spans="1:16" ht="12.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</row>
    <row r="1971" spans="1:16" ht="12.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</row>
    <row r="1972" spans="1:16" ht="12.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</row>
    <row r="1973" spans="1:16" ht="12.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</row>
    <row r="1974" spans="1:16" ht="12.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</row>
    <row r="1975" spans="1:16" ht="12.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</row>
    <row r="1976" spans="1:16" ht="12.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</row>
    <row r="1977" spans="1:16" ht="12.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</row>
    <row r="1978" spans="1:16" ht="12.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</row>
    <row r="1979" spans="1:16" ht="12.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</row>
    <row r="1980" spans="1:16" ht="12.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</row>
    <row r="1981" spans="1:16" ht="12.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</row>
    <row r="1982" spans="1:16" ht="12.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</row>
    <row r="1983" spans="1:16" ht="12.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</row>
    <row r="1984" spans="1:16" ht="12.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</row>
    <row r="1985" spans="1:16" ht="12.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</row>
    <row r="1986" spans="1:16" ht="12.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</row>
    <row r="1987" spans="1:16" ht="12.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</row>
    <row r="1988" spans="1:16" ht="12.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</row>
    <row r="1989" spans="1:16" ht="12.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</row>
    <row r="1990" spans="1:16" ht="12.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</row>
    <row r="1991" spans="1:16" ht="12.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</row>
    <row r="1992" spans="1:16" ht="12.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</row>
    <row r="1993" spans="1:16" ht="12.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</row>
  </sheetData>
  <mergeCells count="7">
    <mergeCell ref="A26:A31"/>
    <mergeCell ref="A32:A33"/>
    <mergeCell ref="A2:A8"/>
    <mergeCell ref="A9:A10"/>
    <mergeCell ref="A11:A20"/>
    <mergeCell ref="A21:A23"/>
    <mergeCell ref="A24:A2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X949"/>
  <sheetViews>
    <sheetView topLeftCell="N1" workbookViewId="0"/>
  </sheetViews>
  <sheetFormatPr defaultColWidth="12.6328125" defaultRowHeight="15.75" customHeight="1"/>
  <cols>
    <col min="1" max="1" width="28.08984375" hidden="1" customWidth="1"/>
    <col min="2" max="2" width="17" hidden="1" customWidth="1"/>
    <col min="3" max="3" width="4.08984375" hidden="1" customWidth="1"/>
    <col min="4" max="4" width="5.36328125" hidden="1" customWidth="1"/>
    <col min="5" max="5" width="6.36328125" hidden="1" customWidth="1"/>
    <col min="6" max="6" width="4.26953125" hidden="1" customWidth="1"/>
    <col min="7" max="8" width="5.7265625" hidden="1" customWidth="1"/>
    <col min="9" max="9" width="14.26953125" hidden="1" customWidth="1"/>
    <col min="10" max="10" width="15.7265625" hidden="1" customWidth="1"/>
    <col min="11" max="11" width="14" hidden="1" customWidth="1"/>
    <col min="12" max="12" width="10.6328125" hidden="1" customWidth="1"/>
    <col min="13" max="13" width="16.36328125" hidden="1" customWidth="1"/>
    <col min="14" max="14" width="24.90625" customWidth="1"/>
    <col min="15" max="15" width="15.08984375" customWidth="1"/>
    <col min="16" max="16" width="10" customWidth="1"/>
    <col min="17" max="17" width="9.26953125" customWidth="1"/>
    <col min="18" max="18" width="11.7265625" customWidth="1"/>
    <col min="19" max="19" width="16" customWidth="1"/>
    <col min="20" max="20" width="20.6328125" customWidth="1"/>
    <col min="21" max="22" width="11.453125" customWidth="1"/>
    <col min="23" max="23" width="18.453125" customWidth="1"/>
    <col min="24" max="36" width="11.453125" customWidth="1"/>
    <col min="37" max="37" width="27.08984375" customWidth="1"/>
    <col min="38" max="38" width="10.90625" customWidth="1"/>
  </cols>
  <sheetData>
    <row r="1" spans="1:50" ht="15.75" customHeight="1">
      <c r="A1" s="36" t="s">
        <v>62</v>
      </c>
      <c r="B1" s="37" t="s">
        <v>63</v>
      </c>
      <c r="C1" s="38"/>
      <c r="D1" s="38"/>
      <c r="E1" s="39"/>
      <c r="F1" s="39"/>
      <c r="G1" s="39"/>
      <c r="H1" s="39"/>
      <c r="I1" s="39"/>
      <c r="J1" s="39"/>
      <c r="K1" s="39"/>
      <c r="L1" s="40"/>
      <c r="M1" s="40"/>
      <c r="N1" s="41" t="s">
        <v>64</v>
      </c>
      <c r="O1" s="41" t="s">
        <v>65</v>
      </c>
      <c r="P1" s="42"/>
      <c r="Q1" s="42"/>
      <c r="R1" s="42"/>
      <c r="S1" s="42"/>
      <c r="T1" s="42"/>
      <c r="U1" s="38"/>
      <c r="V1" s="38"/>
      <c r="W1" s="38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3"/>
      <c r="AM1" s="43"/>
      <c r="AN1" s="43"/>
      <c r="AO1" s="207" t="s">
        <v>66</v>
      </c>
      <c r="AP1" s="197"/>
      <c r="AQ1" s="43"/>
      <c r="AR1" s="43"/>
      <c r="AS1" s="43"/>
      <c r="AT1" s="44"/>
      <c r="AU1" s="44"/>
      <c r="AV1" s="44"/>
      <c r="AW1" s="44"/>
      <c r="AX1" s="44"/>
    </row>
    <row r="2" spans="1:50" ht="15.75" customHeight="1">
      <c r="A2" s="45" t="s">
        <v>67</v>
      </c>
      <c r="B2" s="45">
        <v>3581</v>
      </c>
      <c r="D2" s="40"/>
      <c r="E2" s="39"/>
      <c r="F2" s="39"/>
      <c r="G2" s="39"/>
      <c r="H2" s="39"/>
      <c r="I2" s="39"/>
      <c r="J2" s="39"/>
      <c r="K2" s="39"/>
      <c r="L2" s="42"/>
      <c r="M2" s="42"/>
      <c r="N2" s="42"/>
      <c r="O2" s="42"/>
      <c r="P2" s="42"/>
      <c r="Q2" s="42"/>
      <c r="R2" s="42"/>
      <c r="S2" s="42"/>
      <c r="T2" s="42"/>
      <c r="U2" s="46"/>
      <c r="V2" s="46"/>
      <c r="W2" s="46"/>
      <c r="X2" s="47"/>
      <c r="Y2" s="47"/>
      <c r="Z2" s="47"/>
      <c r="AA2" s="208" t="s">
        <v>68</v>
      </c>
      <c r="AB2" s="196"/>
      <c r="AC2" s="196"/>
      <c r="AD2" s="42"/>
      <c r="AE2" s="42"/>
      <c r="AF2" s="42"/>
      <c r="AG2" s="42"/>
      <c r="AH2" s="42"/>
      <c r="AI2" s="42"/>
      <c r="AJ2" s="42"/>
      <c r="AK2" s="209" t="s">
        <v>69</v>
      </c>
      <c r="AL2" s="197"/>
      <c r="AM2" s="48"/>
      <c r="AN2" s="48"/>
      <c r="AO2" s="49" t="s">
        <v>70</v>
      </c>
      <c r="AP2" s="50" t="s">
        <v>71</v>
      </c>
      <c r="AQ2" s="51"/>
      <c r="AR2" s="51"/>
      <c r="AS2" s="51"/>
      <c r="AT2" s="52"/>
      <c r="AU2" s="52"/>
      <c r="AV2" s="52"/>
      <c r="AW2" s="52"/>
      <c r="AX2" s="52"/>
    </row>
    <row r="3" spans="1:50" ht="15.75" customHeight="1">
      <c r="A3" s="39" t="s">
        <v>72</v>
      </c>
      <c r="B3" s="39">
        <v>689</v>
      </c>
      <c r="C3" s="53"/>
      <c r="D3" s="53"/>
      <c r="E3" s="39"/>
      <c r="F3" s="39"/>
      <c r="G3" s="39"/>
      <c r="H3" s="39"/>
      <c r="I3" s="39"/>
      <c r="J3" s="39"/>
      <c r="K3" s="39"/>
      <c r="L3" s="53"/>
      <c r="M3" s="53"/>
      <c r="N3" s="54" t="s">
        <v>73</v>
      </c>
      <c r="O3" s="54" t="s">
        <v>74</v>
      </c>
      <c r="P3" s="55"/>
      <c r="Q3" s="55"/>
      <c r="R3" s="55"/>
      <c r="S3" s="55"/>
      <c r="T3" s="55"/>
      <c r="U3" s="46"/>
      <c r="V3" s="46"/>
      <c r="W3" s="46"/>
      <c r="X3" s="47"/>
      <c r="Y3" s="47"/>
      <c r="Z3" s="47"/>
      <c r="AA3" s="56" t="s">
        <v>70</v>
      </c>
      <c r="AB3" s="56" t="s">
        <v>75</v>
      </c>
      <c r="AC3" s="56" t="s">
        <v>71</v>
      </c>
      <c r="AD3" s="42"/>
      <c r="AE3" s="42"/>
      <c r="AF3" s="42"/>
      <c r="AG3" s="42"/>
      <c r="AH3" s="42"/>
      <c r="AI3" s="42"/>
      <c r="AJ3" s="42"/>
      <c r="AK3" s="57" t="s">
        <v>76</v>
      </c>
      <c r="AL3" s="57">
        <v>847</v>
      </c>
      <c r="AM3" s="51"/>
      <c r="AN3" s="51"/>
      <c r="AO3" s="58" t="s">
        <v>77</v>
      </c>
      <c r="AP3" s="59">
        <v>15</v>
      </c>
      <c r="AQ3" s="51"/>
      <c r="AR3" s="51"/>
      <c r="AS3" s="51"/>
      <c r="AT3" s="52"/>
      <c r="AU3" s="52"/>
      <c r="AV3" s="52"/>
      <c r="AW3" s="52"/>
      <c r="AX3" s="52"/>
    </row>
    <row r="4" spans="1:50" ht="15.75" customHeight="1">
      <c r="A4" s="39" t="s">
        <v>78</v>
      </c>
      <c r="B4" s="39">
        <v>250</v>
      </c>
      <c r="C4" s="53"/>
      <c r="D4" s="53"/>
      <c r="E4" s="39"/>
      <c r="F4" s="39"/>
      <c r="G4" s="39"/>
      <c r="H4" s="39"/>
      <c r="I4" s="39"/>
      <c r="J4" s="39"/>
      <c r="K4" s="39"/>
      <c r="L4" s="53"/>
      <c r="M4" s="53"/>
      <c r="N4" s="54" t="s">
        <v>62</v>
      </c>
      <c r="O4" s="54" t="s">
        <v>79</v>
      </c>
      <c r="P4" s="54" t="s">
        <v>80</v>
      </c>
      <c r="Q4" s="54" t="s">
        <v>81</v>
      </c>
      <c r="R4" s="54" t="s">
        <v>82</v>
      </c>
      <c r="S4" s="54" t="s">
        <v>83</v>
      </c>
      <c r="T4" s="54" t="s">
        <v>84</v>
      </c>
      <c r="U4" s="46"/>
      <c r="V4" s="60"/>
      <c r="W4" s="60"/>
      <c r="X4" s="47"/>
      <c r="Y4" s="47"/>
      <c r="Z4" s="47"/>
      <c r="AA4" s="61" t="s">
        <v>85</v>
      </c>
      <c r="AB4" s="61" t="s">
        <v>86</v>
      </c>
      <c r="AC4" s="15">
        <v>104</v>
      </c>
      <c r="AD4" s="42"/>
      <c r="AE4" s="42"/>
      <c r="AF4" s="42"/>
      <c r="AG4" s="42"/>
      <c r="AH4" s="42"/>
      <c r="AI4" s="42"/>
      <c r="AJ4" s="42"/>
      <c r="AK4" s="62" t="s">
        <v>87</v>
      </c>
      <c r="AL4" s="62">
        <v>242</v>
      </c>
      <c r="AM4" s="63"/>
      <c r="AN4" s="63"/>
      <c r="AO4" s="58" t="s">
        <v>88</v>
      </c>
      <c r="AP4" s="59">
        <v>10</v>
      </c>
      <c r="AQ4" s="51"/>
      <c r="AR4" s="51"/>
      <c r="AS4" s="51"/>
      <c r="AT4" s="52"/>
      <c r="AU4" s="52"/>
      <c r="AV4" s="52"/>
      <c r="AW4" s="52"/>
      <c r="AX4" s="52"/>
    </row>
    <row r="5" spans="1:50" ht="15.75" customHeight="1">
      <c r="A5" s="39" t="s">
        <v>89</v>
      </c>
      <c r="B5" s="39">
        <v>901</v>
      </c>
      <c r="C5" s="53"/>
      <c r="D5" s="53"/>
      <c r="E5" s="39"/>
      <c r="F5" s="39"/>
      <c r="G5" s="39"/>
      <c r="H5" s="39"/>
      <c r="I5" s="39"/>
      <c r="J5" s="39"/>
      <c r="K5" s="39"/>
      <c r="L5" s="53"/>
      <c r="M5" s="53"/>
      <c r="N5" s="16" t="s">
        <v>90</v>
      </c>
      <c r="O5" s="16">
        <v>1023</v>
      </c>
      <c r="P5" s="16">
        <v>922</v>
      </c>
      <c r="Q5" s="16">
        <v>100</v>
      </c>
      <c r="R5" s="16">
        <v>2507</v>
      </c>
      <c r="S5" s="16">
        <v>66</v>
      </c>
      <c r="T5" s="16">
        <v>4618</v>
      </c>
      <c r="U5" s="46"/>
      <c r="V5" s="60"/>
      <c r="W5" s="60"/>
      <c r="X5" s="47"/>
      <c r="Y5" s="47"/>
      <c r="Z5" s="47"/>
      <c r="AA5" s="61" t="s">
        <v>91</v>
      </c>
      <c r="AB5" s="61" t="s">
        <v>92</v>
      </c>
      <c r="AC5" s="15">
        <v>10</v>
      </c>
      <c r="AD5" s="42"/>
      <c r="AE5" s="42"/>
      <c r="AF5" s="42"/>
      <c r="AG5" s="42"/>
      <c r="AH5" s="42"/>
      <c r="AI5" s="42"/>
      <c r="AJ5" s="42"/>
      <c r="AK5" s="64" t="s">
        <v>93</v>
      </c>
      <c r="AL5" s="51">
        <f>AL3+AL4</f>
        <v>1089</v>
      </c>
      <c r="AM5" s="63"/>
      <c r="AN5" s="63"/>
      <c r="AO5" s="58" t="s">
        <v>94</v>
      </c>
      <c r="AP5" s="59">
        <v>10</v>
      </c>
      <c r="AQ5" s="65"/>
      <c r="AR5" s="65"/>
      <c r="AS5" s="65"/>
      <c r="AT5" s="66"/>
      <c r="AU5" s="66"/>
      <c r="AV5" s="66"/>
      <c r="AW5" s="66"/>
      <c r="AX5" s="66"/>
    </row>
    <row r="6" spans="1:50" ht="15.75" customHeight="1">
      <c r="A6" s="39" t="s">
        <v>95</v>
      </c>
      <c r="B6" s="39">
        <v>295</v>
      </c>
      <c r="C6" s="53"/>
      <c r="D6" s="53"/>
      <c r="E6" s="39"/>
      <c r="F6" s="39"/>
      <c r="G6" s="39"/>
      <c r="H6" s="39"/>
      <c r="I6" s="39"/>
      <c r="J6" s="39"/>
      <c r="K6" s="39"/>
      <c r="L6" s="53"/>
      <c r="M6" s="53"/>
      <c r="N6" s="16" t="s">
        <v>96</v>
      </c>
      <c r="O6" s="16">
        <v>286</v>
      </c>
      <c r="P6" s="67"/>
      <c r="Q6" s="67"/>
      <c r="R6" s="68">
        <v>3</v>
      </c>
      <c r="S6" s="67"/>
      <c r="T6" s="16">
        <v>289</v>
      </c>
      <c r="U6" s="69" t="s">
        <v>97</v>
      </c>
      <c r="V6" s="60"/>
      <c r="W6" s="60"/>
      <c r="X6" s="47"/>
      <c r="Y6" s="47"/>
      <c r="Z6" s="47"/>
      <c r="AA6" s="61" t="s">
        <v>98</v>
      </c>
      <c r="AB6" s="61" t="s">
        <v>99</v>
      </c>
      <c r="AC6" s="15">
        <v>14</v>
      </c>
      <c r="AD6" s="42"/>
      <c r="AE6" s="42"/>
      <c r="AF6" s="42"/>
      <c r="AG6" s="42"/>
      <c r="AH6" s="42"/>
      <c r="AI6" s="42"/>
      <c r="AJ6" s="42"/>
      <c r="AK6" s="65"/>
      <c r="AL6" s="63"/>
      <c r="AM6" s="63"/>
      <c r="AN6" s="63"/>
      <c r="AO6" s="58" t="s">
        <v>100</v>
      </c>
      <c r="AP6" s="59">
        <v>80</v>
      </c>
      <c r="AQ6" s="65"/>
      <c r="AR6" s="65"/>
      <c r="AS6" s="65"/>
      <c r="AT6" s="66"/>
      <c r="AU6" s="66"/>
      <c r="AV6" s="66"/>
      <c r="AW6" s="66"/>
      <c r="AX6" s="66"/>
    </row>
    <row r="7" spans="1:50" ht="15.75" customHeight="1">
      <c r="A7" s="39" t="s">
        <v>101</v>
      </c>
      <c r="B7" s="39">
        <v>354</v>
      </c>
      <c r="C7" s="53"/>
      <c r="D7" s="53"/>
      <c r="E7" s="39"/>
      <c r="F7" s="39"/>
      <c r="G7" s="39"/>
      <c r="H7" s="39"/>
      <c r="I7" s="39"/>
      <c r="J7" s="39"/>
      <c r="K7" s="39"/>
      <c r="L7" s="53"/>
      <c r="M7" s="53"/>
      <c r="N7" s="16" t="s">
        <v>102</v>
      </c>
      <c r="O7" s="16">
        <v>46</v>
      </c>
      <c r="P7" s="16">
        <v>1</v>
      </c>
      <c r="Q7" s="16">
        <v>24</v>
      </c>
      <c r="R7" s="67"/>
      <c r="S7" s="16"/>
      <c r="T7" s="16">
        <v>71</v>
      </c>
      <c r="U7" s="46"/>
      <c r="V7" s="60"/>
      <c r="W7" s="60"/>
      <c r="X7" s="47"/>
      <c r="Y7" s="47"/>
      <c r="Z7" s="47"/>
      <c r="AA7" s="61" t="s">
        <v>103</v>
      </c>
      <c r="AB7" s="61" t="s">
        <v>104</v>
      </c>
      <c r="AC7" s="15">
        <v>12</v>
      </c>
      <c r="AD7" s="42"/>
      <c r="AE7" s="42"/>
      <c r="AF7" s="42"/>
      <c r="AG7" s="42"/>
      <c r="AH7" s="42"/>
      <c r="AI7" s="42"/>
      <c r="AJ7" s="42"/>
      <c r="AK7" s="65"/>
      <c r="AL7" s="63"/>
      <c r="AM7" s="63"/>
      <c r="AN7" s="63"/>
      <c r="AO7" s="58" t="s">
        <v>105</v>
      </c>
      <c r="AP7" s="59">
        <v>72</v>
      </c>
      <c r="AQ7" s="51"/>
      <c r="AR7" s="51"/>
      <c r="AS7" s="51"/>
      <c r="AT7" s="52"/>
      <c r="AU7" s="52"/>
      <c r="AV7" s="52"/>
      <c r="AW7" s="52"/>
      <c r="AX7" s="52"/>
    </row>
    <row r="8" spans="1:50" ht="15.75" customHeight="1">
      <c r="A8" s="39" t="s">
        <v>106</v>
      </c>
      <c r="B8" s="39">
        <v>1092</v>
      </c>
      <c r="C8" s="53"/>
      <c r="D8" s="53"/>
      <c r="E8" s="39"/>
      <c r="F8" s="39"/>
      <c r="G8" s="39"/>
      <c r="H8" s="39"/>
      <c r="I8" s="39"/>
      <c r="J8" s="39"/>
      <c r="K8" s="39"/>
      <c r="L8" s="53"/>
      <c r="M8" s="53"/>
      <c r="N8" s="16" t="s">
        <v>107</v>
      </c>
      <c r="O8" s="16">
        <v>68</v>
      </c>
      <c r="P8" s="67"/>
      <c r="Q8" s="67"/>
      <c r="R8" s="67"/>
      <c r="S8" s="67"/>
      <c r="T8" s="16">
        <v>68</v>
      </c>
      <c r="U8" s="70"/>
      <c r="V8" s="71"/>
      <c r="W8" s="71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65"/>
      <c r="AL8" s="63"/>
      <c r="AM8" s="63"/>
      <c r="AN8" s="63"/>
      <c r="AO8" s="72" t="s">
        <v>84</v>
      </c>
      <c r="AP8" s="73">
        <v>187</v>
      </c>
      <c r="AQ8" s="65"/>
      <c r="AR8" s="65"/>
      <c r="AS8" s="65"/>
      <c r="AT8" s="66"/>
      <c r="AU8" s="66"/>
      <c r="AV8" s="66"/>
      <c r="AW8" s="66"/>
      <c r="AX8" s="66"/>
    </row>
    <row r="9" spans="1:50" ht="15.75" customHeight="1">
      <c r="A9" s="74" t="s">
        <v>84</v>
      </c>
      <c r="B9" s="74">
        <v>3581</v>
      </c>
      <c r="C9" s="53"/>
      <c r="D9" s="53"/>
      <c r="E9" s="39"/>
      <c r="F9" s="39"/>
      <c r="G9" s="39"/>
      <c r="H9" s="39"/>
      <c r="I9" s="39"/>
      <c r="J9" s="39"/>
      <c r="K9" s="39"/>
      <c r="L9" s="53"/>
      <c r="M9" s="53"/>
      <c r="N9" s="16" t="s">
        <v>108</v>
      </c>
      <c r="O9" s="16">
        <v>44</v>
      </c>
      <c r="P9" s="67"/>
      <c r="Q9" s="67"/>
      <c r="R9" s="67"/>
      <c r="S9" s="68">
        <v>8</v>
      </c>
      <c r="T9" s="16">
        <v>52</v>
      </c>
      <c r="U9" s="71"/>
      <c r="V9" s="71"/>
      <c r="W9" s="71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75" t="s">
        <v>109</v>
      </c>
      <c r="AL9" s="75" t="s">
        <v>110</v>
      </c>
      <c r="AM9" s="75" t="s">
        <v>111</v>
      </c>
      <c r="AN9" s="75"/>
      <c r="AO9" s="75"/>
      <c r="AP9" s="75"/>
      <c r="AQ9" s="51"/>
      <c r="AR9" s="51"/>
      <c r="AS9" s="51"/>
      <c r="AT9" s="52"/>
      <c r="AU9" s="52"/>
      <c r="AV9" s="52"/>
      <c r="AW9" s="52"/>
      <c r="AX9" s="52"/>
    </row>
    <row r="10" spans="1:50" ht="15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16" t="s">
        <v>112</v>
      </c>
      <c r="O10" s="16">
        <v>42</v>
      </c>
      <c r="P10" s="16">
        <v>2</v>
      </c>
      <c r="Q10" s="67"/>
      <c r="R10" s="16">
        <v>2</v>
      </c>
      <c r="S10" s="67"/>
      <c r="T10" s="16">
        <v>46</v>
      </c>
      <c r="U10" s="76"/>
      <c r="V10" s="76"/>
      <c r="W10" s="76"/>
      <c r="AK10" s="77" t="s">
        <v>113</v>
      </c>
      <c r="AL10" s="77" t="s">
        <v>114</v>
      </c>
      <c r="AM10" s="77">
        <v>56</v>
      </c>
      <c r="AN10" s="77"/>
      <c r="AO10" s="77"/>
      <c r="AP10" s="77"/>
      <c r="AQ10" s="51"/>
      <c r="AR10" s="51"/>
      <c r="AS10" s="51"/>
      <c r="AT10" s="52"/>
      <c r="AU10" s="52"/>
      <c r="AV10" s="52"/>
      <c r="AW10" s="52"/>
      <c r="AX10" s="52"/>
    </row>
    <row r="11" spans="1:50" ht="15.75" customHeight="1">
      <c r="A11" s="41" t="s">
        <v>64</v>
      </c>
      <c r="B11" s="41" t="s">
        <v>65</v>
      </c>
      <c r="C11" s="16"/>
      <c r="D11" s="16"/>
      <c r="E11" s="16"/>
      <c r="F11" s="16"/>
      <c r="G11" s="16"/>
      <c r="H11" s="16"/>
      <c r="I11" s="16"/>
      <c r="J11" s="16"/>
      <c r="K11" s="39"/>
      <c r="L11" s="39"/>
      <c r="M11" s="39"/>
      <c r="N11" s="16" t="s">
        <v>115</v>
      </c>
      <c r="O11" s="16">
        <v>30</v>
      </c>
      <c r="P11" s="67"/>
      <c r="Q11" s="67"/>
      <c r="R11" s="67"/>
      <c r="S11" s="67"/>
      <c r="T11" s="16">
        <v>30</v>
      </c>
      <c r="U11" s="76"/>
      <c r="V11" s="76"/>
      <c r="W11" s="76"/>
      <c r="AK11" s="77" t="s">
        <v>116</v>
      </c>
      <c r="AL11" s="77" t="s">
        <v>117</v>
      </c>
      <c r="AM11" s="77">
        <v>37</v>
      </c>
      <c r="AN11" s="77"/>
      <c r="AO11" s="77"/>
      <c r="AP11" s="77"/>
      <c r="AQ11" s="51"/>
      <c r="AR11" s="51"/>
      <c r="AS11" s="51"/>
      <c r="AT11" s="52"/>
      <c r="AU11" s="52"/>
      <c r="AV11" s="52"/>
      <c r="AW11" s="52"/>
      <c r="AX11" s="52"/>
    </row>
    <row r="12" spans="1:50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39"/>
      <c r="L12" s="39"/>
      <c r="M12" s="39"/>
      <c r="N12" s="16" t="s">
        <v>118</v>
      </c>
      <c r="O12" s="16">
        <v>14</v>
      </c>
      <c r="P12" s="67"/>
      <c r="Q12" s="67"/>
      <c r="R12" s="16">
        <v>4</v>
      </c>
      <c r="S12" s="67"/>
      <c r="T12" s="16">
        <v>18</v>
      </c>
      <c r="U12" s="76"/>
      <c r="V12" s="76"/>
      <c r="W12" s="76"/>
      <c r="AK12" s="77" t="s">
        <v>119</v>
      </c>
      <c r="AL12" s="77" t="s">
        <v>120</v>
      </c>
      <c r="AM12" s="77">
        <v>28</v>
      </c>
      <c r="AN12" s="77"/>
      <c r="AO12" s="77"/>
      <c r="AP12" s="77"/>
      <c r="AQ12" s="51"/>
      <c r="AR12" s="51"/>
      <c r="AS12" s="51"/>
      <c r="AT12" s="52"/>
      <c r="AU12" s="52"/>
      <c r="AV12" s="52"/>
      <c r="AW12" s="52"/>
      <c r="AX12" s="52"/>
    </row>
    <row r="13" spans="1:50">
      <c r="A13" s="16" t="s">
        <v>121</v>
      </c>
      <c r="B13" s="16">
        <v>1</v>
      </c>
      <c r="C13" s="16"/>
      <c r="D13" s="16"/>
      <c r="E13" s="16"/>
      <c r="F13" s="16"/>
      <c r="G13" s="16"/>
      <c r="H13" s="16"/>
      <c r="I13" s="16"/>
      <c r="J13" s="16">
        <v>1</v>
      </c>
      <c r="K13" s="39"/>
      <c r="L13" s="39"/>
      <c r="M13" s="39"/>
      <c r="N13" s="16" t="s">
        <v>122</v>
      </c>
      <c r="O13" s="16">
        <v>3</v>
      </c>
      <c r="P13" s="16"/>
      <c r="Q13" s="16"/>
      <c r="R13" s="16"/>
      <c r="S13" s="16"/>
      <c r="T13" s="16">
        <v>3</v>
      </c>
      <c r="U13" s="76"/>
      <c r="V13" s="76"/>
      <c r="W13" s="76"/>
      <c r="AK13" s="77" t="s">
        <v>123</v>
      </c>
      <c r="AL13" s="77" t="s">
        <v>124</v>
      </c>
      <c r="AM13" s="77">
        <v>5</v>
      </c>
      <c r="AN13" s="78"/>
      <c r="AO13" s="78"/>
      <c r="AP13" s="78"/>
    </row>
    <row r="14" spans="1:50" ht="15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53"/>
      <c r="M14" s="53"/>
      <c r="N14" s="54" t="s">
        <v>84</v>
      </c>
      <c r="O14" s="54">
        <v>1556</v>
      </c>
      <c r="P14" s="54">
        <v>925</v>
      </c>
      <c r="Q14" s="54">
        <v>124</v>
      </c>
      <c r="R14" s="54">
        <v>2516</v>
      </c>
      <c r="S14" s="54">
        <v>74</v>
      </c>
      <c r="T14" s="54">
        <v>5195</v>
      </c>
      <c r="U14" s="76"/>
      <c r="V14" s="76"/>
      <c r="W14" s="76"/>
      <c r="AK14" s="77" t="s">
        <v>125</v>
      </c>
      <c r="AL14" s="77" t="s">
        <v>126</v>
      </c>
      <c r="AM14" s="77">
        <v>4</v>
      </c>
      <c r="AN14" s="78"/>
      <c r="AO14" s="78"/>
      <c r="AP14" s="78"/>
    </row>
    <row r="15" spans="1:50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N15" s="79"/>
      <c r="O15" s="79"/>
      <c r="P15" s="79"/>
      <c r="Q15" s="79"/>
      <c r="R15" s="79"/>
      <c r="S15" s="79"/>
      <c r="T15" s="79"/>
      <c r="U15" s="76"/>
      <c r="V15" s="76"/>
      <c r="W15" s="76"/>
      <c r="AK15" s="77" t="s">
        <v>127</v>
      </c>
      <c r="AL15" s="77" t="s">
        <v>128</v>
      </c>
      <c r="AM15" s="77">
        <v>3</v>
      </c>
      <c r="AN15" s="78"/>
      <c r="AO15" s="78"/>
      <c r="AP15" s="78"/>
    </row>
    <row r="16" spans="1:50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53"/>
      <c r="N16" s="80"/>
      <c r="O16" s="80"/>
      <c r="P16" s="80"/>
      <c r="Q16" s="80"/>
      <c r="R16" s="80"/>
      <c r="S16" s="80"/>
      <c r="T16" s="80"/>
      <c r="U16" s="76"/>
      <c r="V16" s="76"/>
      <c r="W16" s="76"/>
      <c r="AK16" s="77" t="s">
        <v>129</v>
      </c>
      <c r="AL16" s="77" t="s">
        <v>130</v>
      </c>
      <c r="AM16" s="77">
        <v>3</v>
      </c>
      <c r="AN16" s="78"/>
      <c r="AO16" s="78"/>
      <c r="AP16" s="78"/>
    </row>
    <row r="17" spans="1:42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53"/>
      <c r="N17" s="76"/>
      <c r="O17" s="76"/>
      <c r="P17" s="76"/>
      <c r="Q17" s="76"/>
      <c r="R17" s="76"/>
      <c r="S17" s="76"/>
      <c r="T17" s="76"/>
      <c r="U17" s="76"/>
      <c r="V17" s="76"/>
      <c r="W17" s="76"/>
      <c r="AK17" s="77" t="s">
        <v>131</v>
      </c>
      <c r="AL17" s="77" t="s">
        <v>130</v>
      </c>
      <c r="AM17" s="77">
        <v>3</v>
      </c>
      <c r="AN17" s="78"/>
      <c r="AO17" s="78"/>
      <c r="AP17" s="78"/>
    </row>
    <row r="18" spans="1:42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53"/>
      <c r="N18" s="76"/>
      <c r="O18" s="76"/>
      <c r="P18" s="76"/>
      <c r="Q18" s="76"/>
      <c r="R18" s="76"/>
      <c r="S18" s="76"/>
      <c r="T18" s="76"/>
      <c r="U18" s="76"/>
      <c r="V18" s="76"/>
      <c r="W18" s="76"/>
      <c r="AK18" s="77" t="s">
        <v>132</v>
      </c>
      <c r="AL18" s="77" t="s">
        <v>133</v>
      </c>
      <c r="AM18" s="77">
        <v>3</v>
      </c>
      <c r="AN18" s="78"/>
      <c r="AO18" s="78"/>
      <c r="AP18" s="78"/>
    </row>
    <row r="19" spans="1:42" ht="14.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53"/>
      <c r="N19" s="76"/>
      <c r="O19" s="76"/>
      <c r="P19" s="76"/>
      <c r="Q19" s="76"/>
      <c r="R19" s="76"/>
      <c r="S19" s="76"/>
      <c r="T19" s="76"/>
      <c r="U19" s="76"/>
      <c r="V19" s="76"/>
      <c r="W19" s="76"/>
      <c r="AK19" s="77" t="s">
        <v>134</v>
      </c>
      <c r="AL19" s="77" t="s">
        <v>135</v>
      </c>
      <c r="AM19" s="77">
        <v>3</v>
      </c>
      <c r="AN19" s="78"/>
      <c r="AO19" s="78"/>
      <c r="AP19" s="78"/>
    </row>
    <row r="20" spans="1:42" ht="14.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53"/>
      <c r="N20" s="38"/>
      <c r="O20" s="38"/>
      <c r="P20" s="38"/>
      <c r="Q20" s="38"/>
      <c r="R20" s="38"/>
      <c r="S20" s="79"/>
      <c r="T20" s="76"/>
      <c r="U20" s="76"/>
      <c r="V20" s="76"/>
      <c r="W20" s="76"/>
      <c r="AK20" s="77" t="s">
        <v>136</v>
      </c>
      <c r="AL20" s="77" t="s">
        <v>137</v>
      </c>
      <c r="AM20" s="77">
        <v>3</v>
      </c>
      <c r="AN20" s="78"/>
      <c r="AO20" s="78"/>
      <c r="AP20" s="78"/>
    </row>
    <row r="21" spans="1:42" ht="14.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53"/>
      <c r="N21" s="80"/>
      <c r="O21" s="80"/>
      <c r="P21" s="80"/>
      <c r="Q21" s="80"/>
      <c r="R21" s="80"/>
      <c r="S21" s="80"/>
      <c r="T21" s="76"/>
      <c r="U21" s="76"/>
      <c r="V21" s="76"/>
      <c r="W21" s="76"/>
      <c r="AK21" s="77" t="s">
        <v>138</v>
      </c>
      <c r="AL21" s="77" t="s">
        <v>139</v>
      </c>
      <c r="AM21" s="77">
        <v>3</v>
      </c>
      <c r="AN21" s="78"/>
      <c r="AO21" s="78"/>
      <c r="AP21" s="78"/>
    </row>
    <row r="22" spans="1:42" ht="14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N22" s="80"/>
      <c r="O22" s="80"/>
      <c r="P22" s="80"/>
      <c r="Q22" s="80"/>
      <c r="R22" s="80"/>
      <c r="S22" s="80"/>
      <c r="T22" s="76"/>
      <c r="U22" s="76"/>
      <c r="V22" s="76"/>
      <c r="W22" s="76"/>
      <c r="AK22" s="77" t="s">
        <v>140</v>
      </c>
      <c r="AL22" s="77" t="s">
        <v>141</v>
      </c>
      <c r="AM22" s="77">
        <v>3</v>
      </c>
      <c r="AN22" s="78"/>
      <c r="AO22" s="78"/>
      <c r="AP22" s="78"/>
    </row>
    <row r="23" spans="1:42" ht="14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N23" s="79"/>
      <c r="O23" s="79"/>
      <c r="P23" s="79"/>
      <c r="Q23" s="79"/>
      <c r="R23" s="81"/>
      <c r="S23" s="79"/>
      <c r="T23" s="76"/>
      <c r="U23" s="76"/>
      <c r="V23" s="76"/>
      <c r="W23" s="76"/>
      <c r="AK23" s="77" t="s">
        <v>142</v>
      </c>
      <c r="AL23" s="77" t="s">
        <v>143</v>
      </c>
      <c r="AM23" s="77">
        <v>3</v>
      </c>
      <c r="AN23" s="78"/>
      <c r="AO23" s="78"/>
      <c r="AP23" s="78"/>
    </row>
    <row r="24" spans="1:42" ht="1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N24" s="79"/>
      <c r="O24" s="79"/>
      <c r="P24" s="79"/>
      <c r="Q24" s="79"/>
      <c r="R24" s="79"/>
      <c r="S24" s="79"/>
      <c r="T24" s="76"/>
      <c r="U24" s="76"/>
      <c r="V24" s="76"/>
      <c r="W24" s="76"/>
      <c r="AK24" s="77" t="s">
        <v>144</v>
      </c>
      <c r="AL24" s="77" t="s">
        <v>145</v>
      </c>
      <c r="AM24" s="77">
        <v>3</v>
      </c>
      <c r="AN24" s="78"/>
      <c r="AO24" s="78"/>
      <c r="AP24" s="78"/>
    </row>
    <row r="25" spans="1:42" ht="14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N25" s="80"/>
      <c r="O25" s="80"/>
      <c r="P25" s="80"/>
      <c r="Q25" s="80"/>
      <c r="R25" s="80"/>
      <c r="S25" s="80"/>
      <c r="T25" s="76"/>
      <c r="U25" s="76"/>
      <c r="V25" s="76"/>
      <c r="W25" s="76"/>
      <c r="AK25" s="77" t="s">
        <v>146</v>
      </c>
      <c r="AL25" s="77" t="s">
        <v>147</v>
      </c>
      <c r="AM25" s="77">
        <v>3</v>
      </c>
      <c r="AN25" s="78"/>
      <c r="AO25" s="78"/>
      <c r="AP25" s="78"/>
    </row>
    <row r="26" spans="1:42" ht="14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N26" s="76"/>
      <c r="O26" s="76"/>
      <c r="P26" s="76"/>
      <c r="Q26" s="76"/>
      <c r="R26" s="76"/>
      <c r="AK26" s="77" t="s">
        <v>148</v>
      </c>
      <c r="AL26" s="77" t="s">
        <v>149</v>
      </c>
      <c r="AM26" s="77">
        <v>3</v>
      </c>
      <c r="AN26" s="78"/>
      <c r="AO26" s="78"/>
      <c r="AP26" s="78"/>
    </row>
    <row r="27" spans="1:42" ht="14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N27" s="76"/>
      <c r="O27" s="76"/>
      <c r="P27" s="76"/>
      <c r="Q27" s="76"/>
      <c r="AK27" s="77" t="s">
        <v>150</v>
      </c>
      <c r="AL27" s="77" t="s">
        <v>151</v>
      </c>
      <c r="AM27" s="77">
        <v>2</v>
      </c>
      <c r="AN27" s="78"/>
      <c r="AO27" s="78"/>
      <c r="AP27" s="78"/>
    </row>
    <row r="28" spans="1:42" ht="14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N28" s="76"/>
      <c r="O28" s="76"/>
      <c r="P28" s="76"/>
      <c r="Q28" s="76"/>
      <c r="AK28" s="77" t="s">
        <v>152</v>
      </c>
      <c r="AL28" s="77" t="s">
        <v>151</v>
      </c>
      <c r="AM28" s="77">
        <v>2</v>
      </c>
      <c r="AN28" s="78"/>
      <c r="AO28" s="78"/>
      <c r="AP28" s="78"/>
    </row>
    <row r="29" spans="1:42" ht="14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N29" s="76"/>
      <c r="O29" s="76"/>
      <c r="P29" s="76"/>
      <c r="Q29" s="76"/>
      <c r="AK29" s="77" t="s">
        <v>153</v>
      </c>
      <c r="AL29" s="77" t="s">
        <v>130</v>
      </c>
      <c r="AM29" s="77">
        <v>2</v>
      </c>
      <c r="AN29" s="78"/>
      <c r="AO29" s="78"/>
      <c r="AP29" s="78"/>
    </row>
    <row r="30" spans="1:42" ht="14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N30" s="76"/>
      <c r="O30" s="76"/>
      <c r="P30" s="76"/>
      <c r="Q30" s="76"/>
      <c r="AK30" s="77" t="s">
        <v>154</v>
      </c>
      <c r="AL30" s="77" t="s">
        <v>130</v>
      </c>
      <c r="AM30" s="77">
        <v>2</v>
      </c>
      <c r="AN30" s="78"/>
      <c r="AO30" s="78"/>
      <c r="AP30" s="78"/>
    </row>
    <row r="31" spans="1:42" ht="14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N31" s="76"/>
      <c r="O31" s="76"/>
      <c r="P31" s="76"/>
      <c r="Q31" s="76"/>
      <c r="AK31" s="77" t="s">
        <v>155</v>
      </c>
      <c r="AL31" s="77" t="s">
        <v>156</v>
      </c>
      <c r="AM31" s="77">
        <v>2</v>
      </c>
      <c r="AN31" s="78"/>
      <c r="AO31" s="78"/>
      <c r="AP31" s="78"/>
    </row>
    <row r="32" spans="1:42" ht="14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N32" s="76"/>
      <c r="O32" s="76"/>
      <c r="P32" s="76"/>
      <c r="Q32" s="76"/>
      <c r="AK32" s="77" t="s">
        <v>157</v>
      </c>
      <c r="AL32" s="77" t="s">
        <v>135</v>
      </c>
      <c r="AM32" s="77">
        <v>2</v>
      </c>
      <c r="AN32" s="78"/>
      <c r="AO32" s="78"/>
      <c r="AP32" s="78"/>
    </row>
    <row r="33" spans="1:42" ht="14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N33" s="76"/>
      <c r="O33" s="76"/>
      <c r="P33" s="76"/>
      <c r="Q33" s="76"/>
      <c r="AK33" s="77" t="s">
        <v>158</v>
      </c>
      <c r="AL33" s="77" t="s">
        <v>135</v>
      </c>
      <c r="AM33" s="77">
        <v>2</v>
      </c>
      <c r="AN33" s="78"/>
      <c r="AO33" s="78"/>
      <c r="AP33" s="78"/>
    </row>
    <row r="34" spans="1:42" ht="1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N34" s="76"/>
      <c r="O34" s="76"/>
      <c r="P34" s="76"/>
      <c r="Q34" s="76"/>
      <c r="AK34" s="77" t="s">
        <v>159</v>
      </c>
      <c r="AL34" s="77" t="s">
        <v>137</v>
      </c>
      <c r="AM34" s="77">
        <v>2</v>
      </c>
      <c r="AN34" s="78"/>
      <c r="AO34" s="78"/>
      <c r="AP34" s="78"/>
    </row>
    <row r="35" spans="1:42" ht="14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N35" s="76"/>
      <c r="O35" s="76"/>
      <c r="P35" s="76"/>
      <c r="Q35" s="76"/>
      <c r="AK35" s="77" t="s">
        <v>160</v>
      </c>
      <c r="AL35" s="77" t="s">
        <v>139</v>
      </c>
      <c r="AM35" s="77">
        <v>2</v>
      </c>
      <c r="AN35" s="78"/>
      <c r="AO35" s="78"/>
      <c r="AP35" s="78"/>
    </row>
    <row r="36" spans="1:42" ht="14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N36" s="76"/>
      <c r="O36" s="76"/>
      <c r="P36" s="76"/>
      <c r="Q36" s="76"/>
      <c r="AK36" s="77" t="s">
        <v>161</v>
      </c>
      <c r="AL36" s="77" t="s">
        <v>139</v>
      </c>
      <c r="AM36" s="77">
        <v>2</v>
      </c>
      <c r="AN36" s="78"/>
      <c r="AO36" s="78"/>
      <c r="AP36" s="78"/>
    </row>
    <row r="37" spans="1:42" ht="14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N37" s="76"/>
      <c r="O37" s="76"/>
      <c r="P37" s="76"/>
      <c r="Q37" s="76"/>
      <c r="AK37" s="77" t="s">
        <v>159</v>
      </c>
      <c r="AL37" s="77" t="s">
        <v>162</v>
      </c>
      <c r="AM37" s="77">
        <v>2</v>
      </c>
      <c r="AN37" s="78"/>
      <c r="AO37" s="78"/>
      <c r="AP37" s="78"/>
    </row>
    <row r="38" spans="1:42" ht="14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N38" s="76"/>
      <c r="O38" s="76"/>
      <c r="P38" s="76"/>
      <c r="Q38" s="76"/>
      <c r="AK38" s="77" t="s">
        <v>163</v>
      </c>
      <c r="AL38" s="77" t="s">
        <v>164</v>
      </c>
      <c r="AM38" s="77">
        <v>2</v>
      </c>
      <c r="AN38" s="78"/>
      <c r="AO38" s="78"/>
      <c r="AP38" s="78"/>
    </row>
    <row r="39" spans="1:42" ht="14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N39" s="76"/>
      <c r="O39" s="76"/>
      <c r="P39" s="76"/>
      <c r="Q39" s="76"/>
      <c r="AK39" s="77" t="s">
        <v>165</v>
      </c>
      <c r="AL39" s="77" t="s">
        <v>166</v>
      </c>
      <c r="AM39" s="77">
        <v>2</v>
      </c>
      <c r="AN39" s="78"/>
      <c r="AO39" s="78"/>
      <c r="AP39" s="78"/>
    </row>
    <row r="40" spans="1:42" ht="14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N40" s="76"/>
      <c r="O40" s="76"/>
      <c r="P40" s="76"/>
      <c r="Q40" s="76"/>
      <c r="AK40" s="77" t="s">
        <v>167</v>
      </c>
      <c r="AL40" s="77" t="s">
        <v>168</v>
      </c>
      <c r="AM40" s="77">
        <v>2</v>
      </c>
      <c r="AN40" s="78"/>
      <c r="AO40" s="78"/>
      <c r="AP40" s="78"/>
    </row>
    <row r="41" spans="1:42" ht="14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N41" s="76"/>
      <c r="O41" s="76"/>
      <c r="P41" s="76"/>
      <c r="Q41" s="76"/>
      <c r="AK41" s="77" t="s">
        <v>169</v>
      </c>
      <c r="AL41" s="77" t="s">
        <v>168</v>
      </c>
      <c r="AM41" s="77">
        <v>2</v>
      </c>
      <c r="AN41" s="78"/>
      <c r="AO41" s="78"/>
      <c r="AP41" s="78"/>
    </row>
    <row r="42" spans="1:42" ht="14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N42" s="76"/>
      <c r="O42" s="76"/>
      <c r="P42" s="76"/>
      <c r="Q42" s="76"/>
      <c r="AK42" s="77" t="s">
        <v>170</v>
      </c>
      <c r="AL42" s="77" t="s">
        <v>171</v>
      </c>
      <c r="AM42" s="77">
        <v>2</v>
      </c>
      <c r="AN42" s="78"/>
      <c r="AO42" s="78"/>
      <c r="AP42" s="78"/>
    </row>
    <row r="43" spans="1:42" ht="14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N43" s="76"/>
      <c r="O43" s="76"/>
      <c r="P43" s="76"/>
      <c r="Q43" s="76"/>
      <c r="AK43" s="77" t="s">
        <v>172</v>
      </c>
      <c r="AL43" s="77" t="s">
        <v>171</v>
      </c>
      <c r="AM43" s="77">
        <v>2</v>
      </c>
      <c r="AN43" s="78"/>
      <c r="AO43" s="78"/>
      <c r="AP43" s="78"/>
    </row>
    <row r="44" spans="1:42" ht="1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N44" s="76"/>
      <c r="O44" s="76"/>
      <c r="P44" s="76"/>
      <c r="Q44" s="76"/>
      <c r="AK44" s="77" t="s">
        <v>173</v>
      </c>
      <c r="AL44" s="77" t="s">
        <v>171</v>
      </c>
      <c r="AM44" s="77">
        <v>2</v>
      </c>
      <c r="AN44" s="78"/>
      <c r="AO44" s="78"/>
      <c r="AP44" s="78"/>
    </row>
    <row r="45" spans="1:42" ht="14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N45" s="76"/>
      <c r="O45" s="76"/>
      <c r="P45" s="76"/>
      <c r="Q45" s="76"/>
      <c r="AK45" s="77" t="s">
        <v>174</v>
      </c>
      <c r="AL45" s="77" t="s">
        <v>171</v>
      </c>
      <c r="AM45" s="77">
        <v>2</v>
      </c>
      <c r="AN45" s="78"/>
      <c r="AO45" s="78"/>
      <c r="AP45" s="78"/>
    </row>
    <row r="46" spans="1:42" ht="14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N46" s="76"/>
      <c r="O46" s="76"/>
      <c r="P46" s="76"/>
      <c r="Q46" s="76"/>
      <c r="AK46" s="77" t="s">
        <v>175</v>
      </c>
      <c r="AL46" s="77" t="s">
        <v>176</v>
      </c>
      <c r="AM46" s="77">
        <v>2</v>
      </c>
      <c r="AN46" s="78"/>
      <c r="AO46" s="78"/>
      <c r="AP46" s="78"/>
    </row>
    <row r="47" spans="1:42" ht="14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N47" s="76"/>
      <c r="O47" s="76"/>
      <c r="P47" s="76"/>
      <c r="Q47" s="76"/>
      <c r="AK47" s="77" t="s">
        <v>177</v>
      </c>
      <c r="AL47" s="77" t="s">
        <v>178</v>
      </c>
      <c r="AM47" s="77">
        <v>2</v>
      </c>
      <c r="AN47" s="78"/>
      <c r="AO47" s="78"/>
      <c r="AP47" s="78"/>
    </row>
    <row r="48" spans="1:42" ht="14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N48" s="76"/>
      <c r="O48" s="76"/>
      <c r="P48" s="76"/>
      <c r="Q48" s="76"/>
      <c r="AK48" s="77" t="s">
        <v>179</v>
      </c>
      <c r="AL48" s="77" t="s">
        <v>180</v>
      </c>
      <c r="AM48" s="77">
        <v>2</v>
      </c>
      <c r="AN48" s="78"/>
      <c r="AO48" s="78"/>
      <c r="AP48" s="78"/>
    </row>
    <row r="49" spans="1:42" ht="14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N49" s="76"/>
      <c r="O49" s="76"/>
      <c r="P49" s="76"/>
      <c r="Q49" s="76"/>
      <c r="AK49" s="77" t="s">
        <v>181</v>
      </c>
      <c r="AL49" s="77" t="s">
        <v>143</v>
      </c>
      <c r="AM49" s="77">
        <v>2</v>
      </c>
      <c r="AN49" s="78"/>
      <c r="AO49" s="78"/>
      <c r="AP49" s="78"/>
    </row>
    <row r="50" spans="1:42" ht="14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N50" s="76"/>
      <c r="O50" s="76"/>
      <c r="P50" s="76"/>
      <c r="Q50" s="76"/>
      <c r="AK50" s="77" t="s">
        <v>182</v>
      </c>
      <c r="AL50" s="77" t="s">
        <v>143</v>
      </c>
      <c r="AM50" s="77">
        <v>2</v>
      </c>
      <c r="AN50" s="78"/>
      <c r="AO50" s="78"/>
      <c r="AP50" s="78"/>
    </row>
    <row r="51" spans="1:42" ht="14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N51" s="76"/>
      <c r="O51" s="76"/>
      <c r="P51" s="76"/>
      <c r="Q51" s="76"/>
      <c r="AK51" s="77" t="s">
        <v>183</v>
      </c>
      <c r="AL51" s="77" t="s">
        <v>143</v>
      </c>
      <c r="AM51" s="77">
        <v>2</v>
      </c>
      <c r="AN51" s="78"/>
      <c r="AO51" s="78"/>
      <c r="AP51" s="78"/>
    </row>
    <row r="52" spans="1:42" ht="14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N52" s="76"/>
      <c r="O52" s="76"/>
      <c r="P52" s="76"/>
      <c r="Q52" s="76"/>
      <c r="AK52" s="77" t="s">
        <v>184</v>
      </c>
      <c r="AL52" s="77" t="s">
        <v>185</v>
      </c>
      <c r="AM52" s="77">
        <v>2</v>
      </c>
      <c r="AN52" s="78"/>
      <c r="AO52" s="78"/>
      <c r="AP52" s="78"/>
    </row>
    <row r="53" spans="1:42" ht="14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N53" s="76"/>
      <c r="O53" s="76"/>
      <c r="P53" s="76"/>
      <c r="Q53" s="76"/>
      <c r="AK53" s="77" t="s">
        <v>186</v>
      </c>
      <c r="AL53" s="77" t="s">
        <v>185</v>
      </c>
      <c r="AM53" s="77">
        <v>2</v>
      </c>
      <c r="AN53" s="78"/>
      <c r="AO53" s="78"/>
      <c r="AP53" s="78"/>
    </row>
    <row r="54" spans="1:42" ht="1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N54" s="76"/>
      <c r="O54" s="76"/>
      <c r="P54" s="76"/>
      <c r="Q54" s="76"/>
      <c r="AK54" s="77" t="s">
        <v>187</v>
      </c>
      <c r="AL54" s="77" t="s">
        <v>185</v>
      </c>
      <c r="AM54" s="77">
        <v>2</v>
      </c>
      <c r="AN54" s="78"/>
      <c r="AO54" s="78"/>
      <c r="AP54" s="78"/>
    </row>
    <row r="55" spans="1:42" ht="14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N55" s="76"/>
      <c r="O55" s="76"/>
      <c r="P55" s="76"/>
      <c r="Q55" s="76"/>
      <c r="AK55" s="77" t="s">
        <v>188</v>
      </c>
      <c r="AL55" s="77" t="s">
        <v>185</v>
      </c>
      <c r="AM55" s="77">
        <v>2</v>
      </c>
      <c r="AN55" s="78"/>
      <c r="AO55" s="78"/>
      <c r="AP55" s="78"/>
    </row>
    <row r="56" spans="1:42" ht="14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N56" s="76"/>
      <c r="O56" s="76"/>
      <c r="P56" s="76"/>
      <c r="Q56" s="76"/>
      <c r="AK56" s="77" t="s">
        <v>189</v>
      </c>
      <c r="AL56" s="77" t="s">
        <v>145</v>
      </c>
      <c r="AM56" s="77">
        <v>2</v>
      </c>
      <c r="AN56" s="78"/>
      <c r="AO56" s="78"/>
      <c r="AP56" s="78"/>
    </row>
    <row r="57" spans="1:42" ht="14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N57" s="76"/>
      <c r="O57" s="76"/>
      <c r="P57" s="76"/>
      <c r="Q57" s="76"/>
      <c r="AK57" s="77" t="s">
        <v>190</v>
      </c>
      <c r="AL57" s="77" t="s">
        <v>145</v>
      </c>
      <c r="AM57" s="77">
        <v>2</v>
      </c>
      <c r="AN57" s="78"/>
      <c r="AO57" s="78"/>
      <c r="AP57" s="78"/>
    </row>
    <row r="58" spans="1:42" ht="14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N58" s="76"/>
      <c r="O58" s="76"/>
      <c r="P58" s="76"/>
      <c r="Q58" s="76"/>
      <c r="AK58" s="77" t="s">
        <v>191</v>
      </c>
      <c r="AL58" s="77" t="s">
        <v>192</v>
      </c>
      <c r="AM58" s="77">
        <v>2</v>
      </c>
      <c r="AN58" s="78"/>
      <c r="AO58" s="78"/>
      <c r="AP58" s="78"/>
    </row>
    <row r="59" spans="1:42" ht="14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N59" s="76"/>
      <c r="O59" s="76"/>
      <c r="P59" s="76"/>
      <c r="Q59" s="76"/>
      <c r="AK59" s="77" t="s">
        <v>193</v>
      </c>
      <c r="AL59" s="77" t="s">
        <v>194</v>
      </c>
      <c r="AM59" s="77">
        <v>2</v>
      </c>
      <c r="AN59" s="78"/>
      <c r="AO59" s="78"/>
      <c r="AP59" s="78"/>
    </row>
    <row r="60" spans="1:42" ht="14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N60" s="76"/>
      <c r="O60" s="76"/>
      <c r="P60" s="76"/>
      <c r="Q60" s="76"/>
      <c r="AK60" s="77" t="s">
        <v>184</v>
      </c>
      <c r="AL60" s="77" t="s">
        <v>195</v>
      </c>
      <c r="AM60" s="77">
        <v>2</v>
      </c>
      <c r="AN60" s="78"/>
      <c r="AO60" s="78"/>
      <c r="AP60" s="78"/>
    </row>
    <row r="61" spans="1:42" ht="14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N61" s="76"/>
      <c r="O61" s="76"/>
      <c r="P61" s="76"/>
      <c r="Q61" s="76"/>
      <c r="AK61" s="77" t="s">
        <v>196</v>
      </c>
      <c r="AL61" s="77" t="s">
        <v>197</v>
      </c>
      <c r="AM61" s="77">
        <v>2</v>
      </c>
      <c r="AN61" s="78"/>
      <c r="AO61" s="78"/>
      <c r="AP61" s="78"/>
    </row>
    <row r="62" spans="1:42" ht="14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N62" s="76"/>
      <c r="O62" s="76"/>
      <c r="P62" s="76"/>
      <c r="Q62" s="76"/>
      <c r="AK62" s="77" t="s">
        <v>198</v>
      </c>
      <c r="AL62" s="77" t="s">
        <v>128</v>
      </c>
      <c r="AM62" s="77">
        <v>1</v>
      </c>
      <c r="AN62" s="78"/>
      <c r="AO62" s="78"/>
      <c r="AP62" s="78"/>
    </row>
    <row r="63" spans="1:42" ht="14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N63" s="76"/>
      <c r="O63" s="76"/>
      <c r="P63" s="76"/>
      <c r="Q63" s="76"/>
      <c r="AK63" s="77" t="s">
        <v>199</v>
      </c>
      <c r="AL63" s="77" t="s">
        <v>128</v>
      </c>
      <c r="AM63" s="77">
        <v>1</v>
      </c>
      <c r="AN63" s="78"/>
      <c r="AO63" s="78"/>
      <c r="AP63" s="78"/>
    </row>
    <row r="64" spans="1:42" ht="1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N64" s="76"/>
      <c r="O64" s="76"/>
      <c r="P64" s="76"/>
      <c r="Q64" s="76"/>
      <c r="AK64" s="77" t="s">
        <v>200</v>
      </c>
      <c r="AL64" s="77" t="s">
        <v>128</v>
      </c>
      <c r="AM64" s="77">
        <v>1</v>
      </c>
      <c r="AN64" s="78"/>
      <c r="AO64" s="78"/>
      <c r="AP64" s="78"/>
    </row>
    <row r="65" spans="1:42" ht="14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N65" s="76"/>
      <c r="O65" s="76"/>
      <c r="P65" s="76"/>
      <c r="Q65" s="76"/>
      <c r="AK65" s="77" t="s">
        <v>177</v>
      </c>
      <c r="AL65" s="77" t="s">
        <v>128</v>
      </c>
      <c r="AM65" s="77">
        <v>1</v>
      </c>
      <c r="AN65" s="78"/>
      <c r="AO65" s="78"/>
      <c r="AP65" s="78"/>
    </row>
    <row r="66" spans="1:42" ht="14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N66" s="76"/>
      <c r="O66" s="76"/>
      <c r="P66" s="76"/>
      <c r="Q66" s="76"/>
      <c r="AK66" s="77" t="s">
        <v>201</v>
      </c>
      <c r="AL66" s="77" t="s">
        <v>128</v>
      </c>
      <c r="AM66" s="77">
        <v>1</v>
      </c>
      <c r="AN66" s="78"/>
      <c r="AO66" s="78"/>
      <c r="AP66" s="78"/>
    </row>
    <row r="67" spans="1:42" ht="1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N67" s="76"/>
      <c r="O67" s="76"/>
      <c r="P67" s="76"/>
      <c r="Q67" s="76"/>
      <c r="AK67" s="77" t="s">
        <v>202</v>
      </c>
      <c r="AL67" s="77" t="s">
        <v>128</v>
      </c>
      <c r="AM67" s="77">
        <v>1</v>
      </c>
      <c r="AN67" s="78"/>
      <c r="AO67" s="78"/>
      <c r="AP67" s="78"/>
    </row>
    <row r="68" spans="1:42" ht="14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N68" s="76"/>
      <c r="O68" s="76"/>
      <c r="P68" s="76"/>
      <c r="Q68" s="76"/>
      <c r="AK68" s="77" t="s">
        <v>203</v>
      </c>
      <c r="AL68" s="77" t="s">
        <v>128</v>
      </c>
      <c r="AM68" s="77">
        <v>1</v>
      </c>
      <c r="AN68" s="78"/>
      <c r="AO68" s="78"/>
      <c r="AP68" s="78"/>
    </row>
    <row r="69" spans="1:42" ht="1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N69" s="76"/>
      <c r="O69" s="76"/>
      <c r="P69" s="76"/>
      <c r="Q69" s="76"/>
      <c r="AK69" s="77" t="s">
        <v>204</v>
      </c>
      <c r="AL69" s="77" t="s">
        <v>128</v>
      </c>
      <c r="AM69" s="77">
        <v>1</v>
      </c>
      <c r="AN69" s="78"/>
      <c r="AO69" s="78"/>
      <c r="AP69" s="78"/>
    </row>
    <row r="70" spans="1:42" ht="14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N70" s="76"/>
      <c r="O70" s="76"/>
      <c r="P70" s="76"/>
      <c r="Q70" s="76"/>
      <c r="AK70" s="77" t="s">
        <v>205</v>
      </c>
      <c r="AL70" s="77" t="s">
        <v>128</v>
      </c>
      <c r="AM70" s="77">
        <v>1</v>
      </c>
      <c r="AN70" s="78"/>
      <c r="AO70" s="78"/>
      <c r="AP70" s="78"/>
    </row>
    <row r="71" spans="1:42" ht="14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N71" s="76"/>
      <c r="O71" s="76"/>
      <c r="P71" s="76"/>
      <c r="Q71" s="76"/>
      <c r="AK71" s="77" t="s">
        <v>206</v>
      </c>
      <c r="AL71" s="77" t="s">
        <v>128</v>
      </c>
      <c r="AM71" s="77">
        <v>1</v>
      </c>
      <c r="AN71" s="78"/>
      <c r="AO71" s="78"/>
      <c r="AP71" s="78"/>
    </row>
    <row r="72" spans="1:42" ht="14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N72" s="76"/>
      <c r="O72" s="76"/>
      <c r="P72" s="76"/>
      <c r="Q72" s="76"/>
      <c r="AK72" s="77" t="s">
        <v>207</v>
      </c>
      <c r="AL72" s="77" t="s">
        <v>128</v>
      </c>
      <c r="AM72" s="77">
        <v>1</v>
      </c>
      <c r="AN72" s="78"/>
      <c r="AO72" s="78"/>
      <c r="AP72" s="78"/>
    </row>
    <row r="73" spans="1:42" ht="14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N73" s="76"/>
      <c r="O73" s="76"/>
      <c r="P73" s="76"/>
      <c r="Q73" s="76"/>
      <c r="AK73" s="77" t="s">
        <v>208</v>
      </c>
      <c r="AL73" s="77" t="s">
        <v>151</v>
      </c>
      <c r="AM73" s="77">
        <v>1</v>
      </c>
      <c r="AN73" s="78"/>
      <c r="AO73" s="78"/>
      <c r="AP73" s="78"/>
    </row>
    <row r="74" spans="1:42" ht="1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N74" s="76"/>
      <c r="O74" s="76"/>
      <c r="P74" s="76"/>
      <c r="Q74" s="76"/>
      <c r="AK74" s="77" t="s">
        <v>209</v>
      </c>
      <c r="AL74" s="77" t="s">
        <v>151</v>
      </c>
      <c r="AM74" s="77">
        <v>1</v>
      </c>
      <c r="AN74" s="78"/>
      <c r="AO74" s="78"/>
      <c r="AP74" s="78"/>
    </row>
    <row r="75" spans="1:42" ht="14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N75" s="76"/>
      <c r="O75" s="76"/>
      <c r="P75" s="76"/>
      <c r="Q75" s="76"/>
      <c r="AK75" s="77" t="s">
        <v>210</v>
      </c>
      <c r="AL75" s="77" t="s">
        <v>151</v>
      </c>
      <c r="AM75" s="77">
        <v>1</v>
      </c>
      <c r="AN75" s="78"/>
      <c r="AO75" s="78"/>
      <c r="AP75" s="78"/>
    </row>
    <row r="76" spans="1:42" ht="14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N76" s="76"/>
      <c r="O76" s="76"/>
      <c r="P76" s="76"/>
      <c r="Q76" s="76"/>
      <c r="AK76" s="77" t="s">
        <v>211</v>
      </c>
      <c r="AL76" s="77" t="s">
        <v>151</v>
      </c>
      <c r="AM76" s="77">
        <v>1</v>
      </c>
      <c r="AN76" s="78"/>
      <c r="AO76" s="78"/>
      <c r="AP76" s="78"/>
    </row>
    <row r="77" spans="1:42" ht="14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N77" s="76"/>
      <c r="O77" s="76"/>
      <c r="P77" s="76"/>
      <c r="Q77" s="76"/>
      <c r="AK77" s="77" t="s">
        <v>212</v>
      </c>
      <c r="AL77" s="77" t="s">
        <v>151</v>
      </c>
      <c r="AM77" s="77">
        <v>1</v>
      </c>
      <c r="AN77" s="78"/>
      <c r="AO77" s="78"/>
      <c r="AP77" s="78"/>
    </row>
    <row r="78" spans="1:42" ht="14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N78" s="76"/>
      <c r="O78" s="76"/>
      <c r="P78" s="76"/>
      <c r="Q78" s="76"/>
      <c r="AK78" s="77" t="s">
        <v>179</v>
      </c>
      <c r="AL78" s="77" t="s">
        <v>151</v>
      </c>
      <c r="AM78" s="77">
        <v>1</v>
      </c>
      <c r="AN78" s="78"/>
      <c r="AO78" s="78"/>
      <c r="AP78" s="78"/>
    </row>
    <row r="79" spans="1:42" ht="14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N79" s="76"/>
      <c r="O79" s="76"/>
      <c r="P79" s="76"/>
      <c r="Q79" s="76"/>
      <c r="AK79" s="77" t="s">
        <v>213</v>
      </c>
      <c r="AL79" s="77" t="s">
        <v>151</v>
      </c>
      <c r="AM79" s="77">
        <v>1</v>
      </c>
      <c r="AN79" s="78"/>
      <c r="AO79" s="78"/>
      <c r="AP79" s="78"/>
    </row>
    <row r="80" spans="1:42" ht="14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N80" s="76"/>
      <c r="O80" s="76"/>
      <c r="P80" s="76"/>
      <c r="Q80" s="76"/>
      <c r="AK80" s="77" t="s">
        <v>214</v>
      </c>
      <c r="AL80" s="77" t="s">
        <v>151</v>
      </c>
      <c r="AM80" s="77">
        <v>1</v>
      </c>
      <c r="AN80" s="78"/>
      <c r="AO80" s="78"/>
      <c r="AP80" s="78"/>
    </row>
    <row r="81" spans="1:42" ht="14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N81" s="76"/>
      <c r="O81" s="76"/>
      <c r="P81" s="76"/>
      <c r="Q81" s="76"/>
      <c r="AK81" s="77" t="s">
        <v>215</v>
      </c>
      <c r="AL81" s="77" t="s">
        <v>151</v>
      </c>
      <c r="AM81" s="77">
        <v>1</v>
      </c>
      <c r="AN81" s="78"/>
      <c r="AO81" s="78"/>
      <c r="AP81" s="78"/>
    </row>
    <row r="82" spans="1:42" ht="14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N82" s="76"/>
      <c r="O82" s="76"/>
      <c r="P82" s="76"/>
      <c r="Q82" s="76"/>
      <c r="AK82" s="77" t="s">
        <v>216</v>
      </c>
      <c r="AL82" s="77" t="s">
        <v>151</v>
      </c>
      <c r="AM82" s="77">
        <v>1</v>
      </c>
      <c r="AN82" s="78"/>
      <c r="AO82" s="78"/>
      <c r="AP82" s="78"/>
    </row>
    <row r="83" spans="1:42" ht="14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N83" s="76"/>
      <c r="O83" s="76"/>
      <c r="P83" s="76"/>
      <c r="Q83" s="76"/>
      <c r="AK83" s="77" t="s">
        <v>163</v>
      </c>
      <c r="AL83" s="77" t="s">
        <v>151</v>
      </c>
      <c r="AM83" s="77">
        <v>1</v>
      </c>
      <c r="AN83" s="78"/>
      <c r="AO83" s="78"/>
      <c r="AP83" s="78"/>
    </row>
    <row r="84" spans="1:42" ht="1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N84" s="76"/>
      <c r="O84" s="76"/>
      <c r="P84" s="76"/>
      <c r="Q84" s="76"/>
      <c r="AK84" s="77" t="s">
        <v>217</v>
      </c>
      <c r="AL84" s="77" t="s">
        <v>151</v>
      </c>
      <c r="AM84" s="77">
        <v>1</v>
      </c>
      <c r="AN84" s="78"/>
      <c r="AO84" s="78"/>
      <c r="AP84" s="78"/>
    </row>
    <row r="85" spans="1:42" ht="14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N85" s="76"/>
      <c r="O85" s="76"/>
      <c r="P85" s="76"/>
      <c r="Q85" s="76"/>
      <c r="AK85" s="77" t="s">
        <v>218</v>
      </c>
      <c r="AL85" s="77" t="s">
        <v>130</v>
      </c>
      <c r="AM85" s="77">
        <v>1</v>
      </c>
      <c r="AN85" s="78"/>
      <c r="AO85" s="78"/>
      <c r="AP85" s="78"/>
    </row>
    <row r="86" spans="1:42" ht="14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N86" s="76"/>
      <c r="O86" s="76"/>
      <c r="P86" s="76"/>
      <c r="Q86" s="76"/>
      <c r="AK86" s="82" t="s">
        <v>219</v>
      </c>
      <c r="AL86" s="77" t="s">
        <v>130</v>
      </c>
      <c r="AM86" s="77">
        <v>1</v>
      </c>
      <c r="AN86" s="78"/>
      <c r="AO86" s="78"/>
      <c r="AP86" s="78"/>
    </row>
    <row r="87" spans="1:42" ht="14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N87" s="76"/>
      <c r="O87" s="76"/>
      <c r="P87" s="76"/>
      <c r="Q87" s="76"/>
      <c r="AK87" s="82" t="s">
        <v>220</v>
      </c>
      <c r="AL87" s="77" t="s">
        <v>130</v>
      </c>
      <c r="AM87" s="77">
        <v>1</v>
      </c>
      <c r="AN87" s="78"/>
      <c r="AO87" s="78"/>
      <c r="AP87" s="78"/>
    </row>
    <row r="88" spans="1:42" ht="14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N88" s="76"/>
      <c r="O88" s="76"/>
      <c r="P88" s="76"/>
      <c r="Q88" s="76"/>
      <c r="AK88" s="77" t="s">
        <v>221</v>
      </c>
      <c r="AL88" s="77" t="s">
        <v>130</v>
      </c>
      <c r="AM88" s="77">
        <v>1</v>
      </c>
      <c r="AN88" s="78"/>
      <c r="AO88" s="78"/>
      <c r="AP88" s="78"/>
    </row>
    <row r="89" spans="1:42" ht="14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N89" s="76"/>
      <c r="O89" s="76"/>
      <c r="P89" s="76"/>
      <c r="Q89" s="76"/>
      <c r="AK89" s="77" t="s">
        <v>179</v>
      </c>
      <c r="AL89" s="77" t="s">
        <v>130</v>
      </c>
      <c r="AM89" s="77">
        <v>1</v>
      </c>
      <c r="AN89" s="78"/>
      <c r="AO89" s="78"/>
      <c r="AP89" s="78"/>
    </row>
    <row r="90" spans="1:42" ht="14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N90" s="76"/>
      <c r="O90" s="76"/>
      <c r="P90" s="76"/>
      <c r="Q90" s="76"/>
      <c r="AK90" s="77" t="s">
        <v>222</v>
      </c>
      <c r="AL90" s="77" t="s">
        <v>130</v>
      </c>
      <c r="AM90" s="77">
        <v>1</v>
      </c>
      <c r="AN90" s="78"/>
      <c r="AO90" s="78"/>
      <c r="AP90" s="78"/>
    </row>
    <row r="91" spans="1:42" ht="14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N91" s="76"/>
      <c r="O91" s="76"/>
      <c r="P91" s="76"/>
      <c r="Q91" s="76"/>
      <c r="AK91" s="77" t="s">
        <v>223</v>
      </c>
      <c r="AL91" s="77" t="s">
        <v>156</v>
      </c>
      <c r="AM91" s="77">
        <v>1</v>
      </c>
      <c r="AN91" s="78"/>
      <c r="AO91" s="78"/>
      <c r="AP91" s="78"/>
    </row>
    <row r="92" spans="1:42" ht="14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N92" s="76"/>
      <c r="O92" s="76"/>
      <c r="P92" s="76"/>
      <c r="Q92" s="76"/>
      <c r="AK92" s="77" t="s">
        <v>224</v>
      </c>
      <c r="AL92" s="77" t="s">
        <v>156</v>
      </c>
      <c r="AM92" s="77">
        <v>1</v>
      </c>
      <c r="AN92" s="78"/>
      <c r="AO92" s="78"/>
      <c r="AP92" s="78"/>
    </row>
    <row r="93" spans="1:42" ht="14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N93" s="76"/>
      <c r="O93" s="76"/>
      <c r="P93" s="76"/>
      <c r="Q93" s="76"/>
      <c r="AK93" s="77" t="s">
        <v>225</v>
      </c>
      <c r="AL93" s="77" t="s">
        <v>156</v>
      </c>
      <c r="AM93" s="77">
        <v>1</v>
      </c>
      <c r="AN93" s="78"/>
      <c r="AO93" s="78"/>
      <c r="AP93" s="78"/>
    </row>
    <row r="94" spans="1:42" ht="1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N94" s="76"/>
      <c r="O94" s="76"/>
      <c r="P94" s="76"/>
      <c r="Q94" s="76"/>
      <c r="AK94" s="77" t="s">
        <v>226</v>
      </c>
      <c r="AL94" s="77" t="s">
        <v>156</v>
      </c>
      <c r="AM94" s="77">
        <v>1</v>
      </c>
      <c r="AN94" s="78"/>
      <c r="AO94" s="78"/>
      <c r="AP94" s="78"/>
    </row>
    <row r="95" spans="1:42" ht="14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N95" s="76"/>
      <c r="O95" s="76"/>
      <c r="P95" s="76"/>
      <c r="Q95" s="76"/>
      <c r="AK95" s="77" t="s">
        <v>227</v>
      </c>
      <c r="AL95" s="77" t="s">
        <v>156</v>
      </c>
      <c r="AM95" s="77">
        <v>1</v>
      </c>
      <c r="AN95" s="78"/>
      <c r="AO95" s="78"/>
      <c r="AP95" s="78"/>
    </row>
    <row r="96" spans="1:42" ht="14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N96" s="76"/>
      <c r="O96" s="76"/>
      <c r="P96" s="76"/>
      <c r="Q96" s="76"/>
      <c r="AK96" s="77" t="s">
        <v>228</v>
      </c>
      <c r="AL96" s="77" t="s">
        <v>156</v>
      </c>
      <c r="AM96" s="77">
        <v>1</v>
      </c>
      <c r="AN96" s="78"/>
      <c r="AO96" s="78"/>
      <c r="AP96" s="78"/>
    </row>
    <row r="97" spans="1:42" ht="14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N97" s="76"/>
      <c r="O97" s="76"/>
      <c r="P97" s="76"/>
      <c r="Q97" s="76"/>
      <c r="AK97" s="77" t="s">
        <v>161</v>
      </c>
      <c r="AL97" s="77" t="s">
        <v>156</v>
      </c>
      <c r="AM97" s="77">
        <v>1</v>
      </c>
      <c r="AN97" s="78"/>
      <c r="AO97" s="78"/>
      <c r="AP97" s="78"/>
    </row>
    <row r="98" spans="1:42" ht="14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N98" s="76"/>
      <c r="O98" s="76"/>
      <c r="P98" s="76"/>
      <c r="Q98" s="76"/>
      <c r="AK98" s="77" t="s">
        <v>229</v>
      </c>
      <c r="AL98" s="77" t="s">
        <v>135</v>
      </c>
      <c r="AM98" s="77">
        <v>1</v>
      </c>
      <c r="AN98" s="78"/>
      <c r="AO98" s="78"/>
      <c r="AP98" s="78"/>
    </row>
    <row r="99" spans="1:42" ht="14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N99" s="76"/>
      <c r="O99" s="76"/>
      <c r="P99" s="76"/>
      <c r="Q99" s="76"/>
      <c r="AK99" s="77" t="s">
        <v>230</v>
      </c>
      <c r="AL99" s="77" t="s">
        <v>135</v>
      </c>
      <c r="AM99" s="77">
        <v>1</v>
      </c>
      <c r="AN99" s="78"/>
      <c r="AO99" s="78"/>
      <c r="AP99" s="78"/>
    </row>
    <row r="100" spans="1:42" ht="14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N100" s="76"/>
      <c r="O100" s="76"/>
      <c r="P100" s="76"/>
      <c r="Q100" s="76"/>
      <c r="AK100" s="77" t="s">
        <v>231</v>
      </c>
      <c r="AL100" s="77" t="s">
        <v>135</v>
      </c>
      <c r="AM100" s="77">
        <v>1</v>
      </c>
      <c r="AN100" s="78"/>
      <c r="AO100" s="78"/>
      <c r="AP100" s="78"/>
    </row>
    <row r="101" spans="1:42" ht="14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N101" s="76"/>
      <c r="O101" s="76"/>
      <c r="P101" s="76"/>
      <c r="Q101" s="76"/>
      <c r="AK101" s="77" t="s">
        <v>172</v>
      </c>
      <c r="AL101" s="77" t="s">
        <v>135</v>
      </c>
      <c r="AM101" s="77">
        <v>1</v>
      </c>
      <c r="AN101" s="78"/>
      <c r="AO101" s="78"/>
      <c r="AP101" s="78"/>
    </row>
    <row r="102" spans="1:42" ht="14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N102" s="76"/>
      <c r="O102" s="76"/>
      <c r="P102" s="76"/>
      <c r="Q102" s="76"/>
      <c r="AK102" s="77" t="s">
        <v>232</v>
      </c>
      <c r="AL102" s="77" t="s">
        <v>135</v>
      </c>
      <c r="AM102" s="77">
        <v>1</v>
      </c>
      <c r="AN102" s="78"/>
      <c r="AO102" s="78"/>
      <c r="AP102" s="78"/>
    </row>
    <row r="103" spans="1:42" ht="14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N103" s="76"/>
      <c r="O103" s="76"/>
      <c r="P103" s="76"/>
      <c r="Q103" s="76"/>
      <c r="AK103" s="77" t="s">
        <v>233</v>
      </c>
      <c r="AL103" s="77" t="s">
        <v>135</v>
      </c>
      <c r="AM103" s="77">
        <v>1</v>
      </c>
      <c r="AN103" s="78"/>
      <c r="AO103" s="78"/>
      <c r="AP103" s="78"/>
    </row>
    <row r="104" spans="1:42" ht="1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N104" s="76"/>
      <c r="O104" s="76"/>
      <c r="P104" s="76"/>
      <c r="Q104" s="76"/>
      <c r="AK104" s="77" t="s">
        <v>234</v>
      </c>
      <c r="AL104" s="77" t="s">
        <v>135</v>
      </c>
      <c r="AM104" s="77">
        <v>1</v>
      </c>
      <c r="AN104" s="78"/>
      <c r="AO104" s="78"/>
      <c r="AP104" s="78"/>
    </row>
    <row r="105" spans="1:42" ht="14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N105" s="76"/>
      <c r="O105" s="76"/>
      <c r="P105" s="76"/>
      <c r="Q105" s="76"/>
      <c r="AK105" s="77" t="s">
        <v>235</v>
      </c>
      <c r="AL105" s="77" t="s">
        <v>135</v>
      </c>
      <c r="AM105" s="77">
        <v>1</v>
      </c>
      <c r="AN105" s="78"/>
      <c r="AO105" s="78"/>
      <c r="AP105" s="78"/>
    </row>
    <row r="106" spans="1:42" ht="14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N106" s="76"/>
      <c r="O106" s="76"/>
      <c r="P106" s="76"/>
      <c r="Q106" s="76"/>
      <c r="AK106" s="77" t="s">
        <v>236</v>
      </c>
      <c r="AL106" s="77" t="s">
        <v>237</v>
      </c>
      <c r="AM106" s="77">
        <v>1</v>
      </c>
      <c r="AN106" s="78"/>
      <c r="AO106" s="78"/>
      <c r="AP106" s="78"/>
    </row>
    <row r="107" spans="1:42" ht="14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N107" s="76"/>
      <c r="O107" s="76"/>
      <c r="P107" s="76"/>
      <c r="Q107" s="76"/>
      <c r="AK107" s="77" t="s">
        <v>132</v>
      </c>
      <c r="AL107" s="77" t="s">
        <v>237</v>
      </c>
      <c r="AM107" s="77">
        <v>1</v>
      </c>
      <c r="AN107" s="78"/>
      <c r="AO107" s="78"/>
      <c r="AP107" s="78"/>
    </row>
    <row r="108" spans="1:42" ht="14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N108" s="76"/>
      <c r="O108" s="76"/>
      <c r="P108" s="76"/>
      <c r="Q108" s="76"/>
      <c r="AK108" s="77" t="s">
        <v>238</v>
      </c>
      <c r="AL108" s="77" t="s">
        <v>237</v>
      </c>
      <c r="AM108" s="77">
        <v>1</v>
      </c>
      <c r="AN108" s="78"/>
      <c r="AO108" s="78"/>
      <c r="AP108" s="78"/>
    </row>
    <row r="109" spans="1:42" ht="14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N109" s="76"/>
      <c r="O109" s="76"/>
      <c r="P109" s="76"/>
      <c r="Q109" s="76"/>
      <c r="AK109" s="77" t="s">
        <v>239</v>
      </c>
      <c r="AL109" s="77" t="s">
        <v>237</v>
      </c>
      <c r="AM109" s="77">
        <v>1</v>
      </c>
      <c r="AN109" s="78"/>
      <c r="AO109" s="78"/>
      <c r="AP109" s="78"/>
    </row>
    <row r="110" spans="1:42" ht="14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N110" s="76"/>
      <c r="O110" s="76"/>
      <c r="P110" s="76"/>
      <c r="Q110" s="76"/>
      <c r="AK110" s="77" t="s">
        <v>240</v>
      </c>
      <c r="AL110" s="77" t="s">
        <v>237</v>
      </c>
      <c r="AM110" s="77">
        <v>1</v>
      </c>
      <c r="AN110" s="78"/>
      <c r="AO110" s="78"/>
      <c r="AP110" s="78"/>
    </row>
    <row r="111" spans="1:42" ht="14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N111" s="76"/>
      <c r="O111" s="76"/>
      <c r="P111" s="76"/>
      <c r="Q111" s="76"/>
      <c r="AK111" s="77" t="s">
        <v>241</v>
      </c>
      <c r="AL111" s="77" t="s">
        <v>237</v>
      </c>
      <c r="AM111" s="77">
        <v>1</v>
      </c>
      <c r="AN111" s="78"/>
      <c r="AO111" s="78"/>
      <c r="AP111" s="78"/>
    </row>
    <row r="112" spans="1:42" ht="14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N112" s="76"/>
      <c r="O112" s="76"/>
      <c r="P112" s="76"/>
      <c r="Q112" s="76"/>
      <c r="AK112" s="77" t="s">
        <v>242</v>
      </c>
      <c r="AL112" s="77" t="s">
        <v>237</v>
      </c>
      <c r="AM112" s="77">
        <v>1</v>
      </c>
      <c r="AN112" s="78"/>
      <c r="AO112" s="78"/>
      <c r="AP112" s="78"/>
    </row>
    <row r="113" spans="1:42" ht="14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N113" s="76"/>
      <c r="O113" s="76"/>
      <c r="P113" s="76"/>
      <c r="Q113" s="76"/>
      <c r="AK113" s="77" t="s">
        <v>243</v>
      </c>
      <c r="AL113" s="77" t="s">
        <v>237</v>
      </c>
      <c r="AM113" s="77">
        <v>1</v>
      </c>
      <c r="AN113" s="78"/>
      <c r="AO113" s="78"/>
      <c r="AP113" s="78"/>
    </row>
    <row r="114" spans="1:42" ht="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N114" s="76"/>
      <c r="O114" s="76"/>
      <c r="P114" s="76"/>
      <c r="Q114" s="76"/>
      <c r="AK114" s="77" t="s">
        <v>244</v>
      </c>
      <c r="AL114" s="77" t="s">
        <v>237</v>
      </c>
      <c r="AM114" s="77">
        <v>1</v>
      </c>
      <c r="AN114" s="78"/>
      <c r="AO114" s="78"/>
      <c r="AP114" s="78"/>
    </row>
    <row r="115" spans="1:42" ht="14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N115" s="76"/>
      <c r="O115" s="76"/>
      <c r="P115" s="76"/>
      <c r="Q115" s="76"/>
      <c r="AK115" s="77" t="s">
        <v>245</v>
      </c>
      <c r="AL115" s="77" t="s">
        <v>237</v>
      </c>
      <c r="AM115" s="77">
        <v>1</v>
      </c>
      <c r="AN115" s="78"/>
      <c r="AO115" s="78"/>
      <c r="AP115" s="78"/>
    </row>
    <row r="116" spans="1:42" ht="14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N116" s="76"/>
      <c r="O116" s="76"/>
      <c r="P116" s="76"/>
      <c r="Q116" s="76"/>
      <c r="AK116" s="77" t="s">
        <v>116</v>
      </c>
      <c r="AL116" s="77" t="s">
        <v>237</v>
      </c>
      <c r="AM116" s="77">
        <v>1</v>
      </c>
      <c r="AN116" s="78"/>
      <c r="AO116" s="78"/>
      <c r="AP116" s="78"/>
    </row>
    <row r="117" spans="1:42" ht="14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N117" s="76"/>
      <c r="O117" s="76"/>
      <c r="P117" s="76"/>
      <c r="Q117" s="76"/>
      <c r="AK117" s="77" t="s">
        <v>246</v>
      </c>
      <c r="AL117" s="77" t="s">
        <v>137</v>
      </c>
      <c r="AM117" s="77">
        <v>1</v>
      </c>
      <c r="AN117" s="78"/>
      <c r="AO117" s="78"/>
      <c r="AP117" s="78"/>
    </row>
    <row r="118" spans="1:42" ht="14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N118" s="76"/>
      <c r="O118" s="76"/>
      <c r="P118" s="76"/>
      <c r="Q118" s="76"/>
      <c r="AK118" s="77" t="s">
        <v>247</v>
      </c>
      <c r="AL118" s="77" t="s">
        <v>137</v>
      </c>
      <c r="AM118" s="77">
        <v>1</v>
      </c>
      <c r="AN118" s="78"/>
      <c r="AO118" s="78"/>
      <c r="AP118" s="78"/>
    </row>
    <row r="119" spans="1:42" ht="14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N119" s="76"/>
      <c r="O119" s="76"/>
      <c r="P119" s="76"/>
      <c r="Q119" s="76"/>
      <c r="AK119" s="77" t="s">
        <v>248</v>
      </c>
      <c r="AL119" s="77" t="s">
        <v>137</v>
      </c>
      <c r="AM119" s="77">
        <v>1</v>
      </c>
      <c r="AN119" s="78"/>
      <c r="AO119" s="78"/>
      <c r="AP119" s="78"/>
    </row>
    <row r="120" spans="1:42" ht="14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N120" s="76"/>
      <c r="O120" s="76"/>
      <c r="P120" s="76"/>
      <c r="Q120" s="76"/>
      <c r="AK120" s="77" t="s">
        <v>249</v>
      </c>
      <c r="AL120" s="77" t="s">
        <v>137</v>
      </c>
      <c r="AM120" s="77">
        <v>1</v>
      </c>
      <c r="AN120" s="78"/>
      <c r="AO120" s="78"/>
      <c r="AP120" s="78"/>
    </row>
    <row r="121" spans="1:42" ht="14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N121" s="76"/>
      <c r="O121" s="76"/>
      <c r="P121" s="76"/>
      <c r="Q121" s="76"/>
      <c r="AK121" s="77" t="s">
        <v>250</v>
      </c>
      <c r="AL121" s="77" t="s">
        <v>137</v>
      </c>
      <c r="AM121" s="77">
        <v>1</v>
      </c>
      <c r="AN121" s="78"/>
      <c r="AO121" s="78"/>
      <c r="AP121" s="78"/>
    </row>
    <row r="122" spans="1:42" ht="14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N122" s="76"/>
      <c r="O122" s="76"/>
      <c r="P122" s="76"/>
      <c r="Q122" s="76"/>
      <c r="AK122" s="77" t="s">
        <v>251</v>
      </c>
      <c r="AL122" s="77" t="s">
        <v>139</v>
      </c>
      <c r="AM122" s="77">
        <v>1</v>
      </c>
      <c r="AN122" s="78"/>
      <c r="AO122" s="78"/>
      <c r="AP122" s="78"/>
    </row>
    <row r="123" spans="1:42" ht="14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N123" s="76"/>
      <c r="O123" s="76"/>
      <c r="P123" s="76"/>
      <c r="Q123" s="76"/>
      <c r="AK123" s="77" t="s">
        <v>252</v>
      </c>
      <c r="AL123" s="77" t="s">
        <v>139</v>
      </c>
      <c r="AM123" s="77">
        <v>1</v>
      </c>
      <c r="AN123" s="78"/>
      <c r="AO123" s="78"/>
      <c r="AP123" s="78"/>
    </row>
    <row r="124" spans="1:42" ht="1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N124" s="76"/>
      <c r="O124" s="76"/>
      <c r="P124" s="76"/>
      <c r="Q124" s="76"/>
      <c r="AK124" s="77" t="s">
        <v>253</v>
      </c>
      <c r="AL124" s="77" t="s">
        <v>139</v>
      </c>
      <c r="AM124" s="77">
        <v>1</v>
      </c>
      <c r="AN124" s="78"/>
      <c r="AO124" s="78"/>
      <c r="AP124" s="78"/>
    </row>
    <row r="125" spans="1:42" ht="14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N125" s="76"/>
      <c r="O125" s="76"/>
      <c r="P125" s="76"/>
      <c r="Q125" s="76"/>
      <c r="AK125" s="77" t="s">
        <v>254</v>
      </c>
      <c r="AL125" s="77" t="s">
        <v>139</v>
      </c>
      <c r="AM125" s="77">
        <v>1</v>
      </c>
      <c r="AN125" s="78"/>
      <c r="AO125" s="78"/>
      <c r="AP125" s="78"/>
    </row>
    <row r="126" spans="1:42" ht="14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N126" s="76"/>
      <c r="O126" s="76"/>
      <c r="P126" s="76"/>
      <c r="Q126" s="76"/>
      <c r="AK126" s="77" t="s">
        <v>250</v>
      </c>
      <c r="AL126" s="77" t="s">
        <v>139</v>
      </c>
      <c r="AM126" s="77">
        <v>1</v>
      </c>
      <c r="AN126" s="78"/>
      <c r="AO126" s="78"/>
      <c r="AP126" s="78"/>
    </row>
    <row r="127" spans="1:42" ht="14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N127" s="76"/>
      <c r="O127" s="76"/>
      <c r="P127" s="76"/>
      <c r="Q127" s="76"/>
      <c r="AK127" s="77" t="s">
        <v>255</v>
      </c>
      <c r="AL127" s="77" t="s">
        <v>139</v>
      </c>
      <c r="AM127" s="77">
        <v>1</v>
      </c>
      <c r="AN127" s="78"/>
      <c r="AO127" s="78"/>
      <c r="AP127" s="78"/>
    </row>
    <row r="128" spans="1:42" ht="14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N128" s="76"/>
      <c r="O128" s="76"/>
      <c r="P128" s="76"/>
      <c r="Q128" s="76"/>
      <c r="AK128" s="77" t="s">
        <v>256</v>
      </c>
      <c r="AL128" s="77" t="s">
        <v>139</v>
      </c>
      <c r="AM128" s="77">
        <v>1</v>
      </c>
      <c r="AN128" s="78"/>
      <c r="AO128" s="78"/>
      <c r="AP128" s="78"/>
    </row>
    <row r="129" spans="1:42" ht="14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N129" s="76"/>
      <c r="O129" s="76"/>
      <c r="P129" s="76"/>
      <c r="Q129" s="76"/>
      <c r="AK129" s="77" t="s">
        <v>257</v>
      </c>
      <c r="AL129" s="77" t="s">
        <v>258</v>
      </c>
      <c r="AM129" s="77">
        <v>1</v>
      </c>
      <c r="AN129" s="78"/>
      <c r="AO129" s="78"/>
      <c r="AP129" s="78"/>
    </row>
    <row r="130" spans="1:42" ht="14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N130" s="76"/>
      <c r="O130" s="76"/>
      <c r="P130" s="76"/>
      <c r="Q130" s="76"/>
      <c r="AK130" s="77" t="s">
        <v>259</v>
      </c>
      <c r="AL130" s="77" t="s">
        <v>258</v>
      </c>
      <c r="AM130" s="77">
        <v>1</v>
      </c>
      <c r="AN130" s="78"/>
      <c r="AO130" s="78"/>
      <c r="AP130" s="78"/>
    </row>
    <row r="131" spans="1:42" ht="14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N131" s="76"/>
      <c r="O131" s="76"/>
      <c r="P131" s="76"/>
      <c r="Q131" s="76"/>
      <c r="AK131" s="77" t="s">
        <v>260</v>
      </c>
      <c r="AL131" s="77" t="s">
        <v>258</v>
      </c>
      <c r="AM131" s="77">
        <v>1</v>
      </c>
      <c r="AN131" s="78"/>
      <c r="AO131" s="78"/>
      <c r="AP131" s="78"/>
    </row>
    <row r="132" spans="1:42" ht="14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N132" s="76"/>
      <c r="O132" s="76"/>
      <c r="P132" s="76"/>
      <c r="Q132" s="76"/>
      <c r="AK132" s="77" t="s">
        <v>261</v>
      </c>
      <c r="AL132" s="77" t="s">
        <v>258</v>
      </c>
      <c r="AM132" s="77">
        <v>1</v>
      </c>
      <c r="AN132" s="78"/>
      <c r="AO132" s="78"/>
      <c r="AP132" s="78"/>
    </row>
    <row r="133" spans="1:42" ht="14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N133" s="76"/>
      <c r="O133" s="76"/>
      <c r="P133" s="76"/>
      <c r="Q133" s="76"/>
      <c r="AK133" s="77" t="s">
        <v>262</v>
      </c>
      <c r="AL133" s="77" t="s">
        <v>258</v>
      </c>
      <c r="AM133" s="77">
        <v>1</v>
      </c>
      <c r="AN133" s="78"/>
      <c r="AO133" s="78"/>
      <c r="AP133" s="78"/>
    </row>
    <row r="134" spans="1:42" ht="1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N134" s="76"/>
      <c r="O134" s="76"/>
      <c r="P134" s="76"/>
      <c r="Q134" s="76"/>
      <c r="AK134" s="77" t="s">
        <v>263</v>
      </c>
      <c r="AL134" s="77" t="s">
        <v>258</v>
      </c>
      <c r="AM134" s="77">
        <v>1</v>
      </c>
      <c r="AN134" s="78"/>
      <c r="AO134" s="78"/>
      <c r="AP134" s="78"/>
    </row>
    <row r="135" spans="1:42" ht="14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N135" s="76"/>
      <c r="O135" s="76"/>
      <c r="P135" s="76"/>
      <c r="Q135" s="76"/>
      <c r="AK135" s="77" t="s">
        <v>226</v>
      </c>
      <c r="AL135" s="77" t="s">
        <v>258</v>
      </c>
      <c r="AM135" s="77">
        <v>1</v>
      </c>
      <c r="AN135" s="78"/>
      <c r="AO135" s="78"/>
      <c r="AP135" s="78"/>
    </row>
    <row r="136" spans="1:42" ht="14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N136" s="76"/>
      <c r="O136" s="76"/>
      <c r="P136" s="76"/>
      <c r="Q136" s="76"/>
      <c r="AK136" s="77" t="s">
        <v>264</v>
      </c>
      <c r="AL136" s="77" t="s">
        <v>258</v>
      </c>
      <c r="AM136" s="77">
        <v>1</v>
      </c>
      <c r="AN136" s="78"/>
      <c r="AO136" s="78"/>
      <c r="AP136" s="78"/>
    </row>
    <row r="137" spans="1:42" ht="14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N137" s="76"/>
      <c r="O137" s="76"/>
      <c r="P137" s="76"/>
      <c r="Q137" s="76"/>
      <c r="AK137" s="77" t="s">
        <v>265</v>
      </c>
      <c r="AL137" s="77" t="s">
        <v>258</v>
      </c>
      <c r="AM137" s="77">
        <v>1</v>
      </c>
      <c r="AN137" s="78"/>
      <c r="AO137" s="78"/>
      <c r="AP137" s="78"/>
    </row>
    <row r="138" spans="1:42" ht="14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N138" s="76"/>
      <c r="O138" s="76"/>
      <c r="P138" s="76"/>
      <c r="Q138" s="76"/>
      <c r="AK138" s="77" t="s">
        <v>266</v>
      </c>
      <c r="AL138" s="77" t="s">
        <v>258</v>
      </c>
      <c r="AM138" s="77">
        <v>1</v>
      </c>
      <c r="AN138" s="78"/>
      <c r="AO138" s="78"/>
      <c r="AP138" s="78"/>
    </row>
    <row r="139" spans="1:42" ht="14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N139" s="76"/>
      <c r="O139" s="76"/>
      <c r="P139" s="76"/>
      <c r="Q139" s="76"/>
      <c r="AK139" s="77" t="s">
        <v>267</v>
      </c>
      <c r="AL139" s="77" t="s">
        <v>258</v>
      </c>
      <c r="AM139" s="77">
        <v>1</v>
      </c>
      <c r="AN139" s="78"/>
      <c r="AO139" s="78"/>
      <c r="AP139" s="78"/>
    </row>
    <row r="140" spans="1:42" ht="14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N140" s="76"/>
      <c r="O140" s="76"/>
      <c r="P140" s="76"/>
      <c r="Q140" s="76"/>
      <c r="AK140" s="77" t="s">
        <v>268</v>
      </c>
      <c r="AL140" s="77" t="s">
        <v>258</v>
      </c>
      <c r="AM140" s="77">
        <v>1</v>
      </c>
      <c r="AN140" s="78"/>
      <c r="AO140" s="78"/>
      <c r="AP140" s="78"/>
    </row>
    <row r="141" spans="1:42" ht="14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N141" s="76"/>
      <c r="O141" s="76"/>
      <c r="P141" s="76"/>
      <c r="Q141" s="76"/>
      <c r="AK141" s="77" t="s">
        <v>269</v>
      </c>
      <c r="AL141" s="77" t="s">
        <v>162</v>
      </c>
      <c r="AM141" s="77">
        <v>1</v>
      </c>
      <c r="AN141" s="78"/>
      <c r="AO141" s="78"/>
      <c r="AP141" s="78"/>
    </row>
    <row r="142" spans="1:42" ht="14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N142" s="76"/>
      <c r="O142" s="76"/>
      <c r="P142" s="76"/>
      <c r="Q142" s="76"/>
      <c r="AK142" s="77" t="s">
        <v>250</v>
      </c>
      <c r="AL142" s="77" t="s">
        <v>162</v>
      </c>
      <c r="AM142" s="77">
        <v>1</v>
      </c>
      <c r="AN142" s="78"/>
      <c r="AO142" s="78"/>
      <c r="AP142" s="78"/>
    </row>
    <row r="143" spans="1:42" ht="14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N143" s="76"/>
      <c r="O143" s="76"/>
      <c r="P143" s="76"/>
      <c r="Q143" s="76"/>
      <c r="AK143" s="77" t="s">
        <v>270</v>
      </c>
      <c r="AL143" s="77" t="s">
        <v>162</v>
      </c>
      <c r="AM143" s="77">
        <v>1</v>
      </c>
      <c r="AN143" s="78"/>
      <c r="AO143" s="78"/>
      <c r="AP143" s="78"/>
    </row>
    <row r="144" spans="1:42" ht="1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N144" s="76"/>
      <c r="O144" s="76"/>
      <c r="P144" s="76"/>
      <c r="Q144" s="76"/>
      <c r="AK144" s="77" t="s">
        <v>271</v>
      </c>
      <c r="AL144" s="77" t="s">
        <v>162</v>
      </c>
      <c r="AM144" s="77">
        <v>1</v>
      </c>
      <c r="AN144" s="78"/>
      <c r="AO144" s="78"/>
      <c r="AP144" s="78"/>
    </row>
    <row r="145" spans="1:42" ht="14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N145" s="76"/>
      <c r="O145" s="76"/>
      <c r="P145" s="76"/>
      <c r="Q145" s="76"/>
      <c r="AK145" s="77" t="s">
        <v>272</v>
      </c>
      <c r="AL145" s="77" t="s">
        <v>273</v>
      </c>
      <c r="AM145" s="77">
        <v>1</v>
      </c>
      <c r="AN145" s="78"/>
      <c r="AO145" s="78"/>
      <c r="AP145" s="78"/>
    </row>
    <row r="146" spans="1:42" ht="14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N146" s="76"/>
      <c r="O146" s="76"/>
      <c r="P146" s="76"/>
      <c r="Q146" s="76"/>
      <c r="AK146" s="77" t="s">
        <v>138</v>
      </c>
      <c r="AL146" s="77" t="s">
        <v>273</v>
      </c>
      <c r="AM146" s="77">
        <v>1</v>
      </c>
      <c r="AN146" s="78"/>
      <c r="AO146" s="78"/>
      <c r="AP146" s="78"/>
    </row>
    <row r="147" spans="1:42" ht="14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N147" s="76"/>
      <c r="O147" s="76"/>
      <c r="P147" s="76"/>
      <c r="Q147" s="76"/>
      <c r="AK147" s="77" t="s">
        <v>274</v>
      </c>
      <c r="AL147" s="77" t="s">
        <v>273</v>
      </c>
      <c r="AM147" s="77">
        <v>1</v>
      </c>
      <c r="AN147" s="78"/>
      <c r="AO147" s="78"/>
      <c r="AP147" s="78"/>
    </row>
    <row r="148" spans="1:42" ht="14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N148" s="76"/>
      <c r="O148" s="76"/>
      <c r="P148" s="76"/>
      <c r="Q148" s="76"/>
      <c r="AK148" s="77" t="s">
        <v>275</v>
      </c>
      <c r="AL148" s="77" t="s">
        <v>273</v>
      </c>
      <c r="AM148" s="77">
        <v>1</v>
      </c>
      <c r="AN148" s="78"/>
      <c r="AO148" s="78"/>
      <c r="AP148" s="78"/>
    </row>
    <row r="149" spans="1:42" ht="14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N149" s="76"/>
      <c r="O149" s="76"/>
      <c r="P149" s="76"/>
      <c r="Q149" s="76"/>
      <c r="AK149" s="77" t="s">
        <v>276</v>
      </c>
      <c r="AL149" s="77" t="s">
        <v>273</v>
      </c>
      <c r="AM149" s="77">
        <v>1</v>
      </c>
      <c r="AN149" s="78"/>
      <c r="AO149" s="78"/>
      <c r="AP149" s="78"/>
    </row>
    <row r="150" spans="1:42" ht="14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N150" s="76"/>
      <c r="O150" s="76"/>
      <c r="P150" s="76"/>
      <c r="Q150" s="76"/>
      <c r="AK150" s="77" t="s">
        <v>174</v>
      </c>
      <c r="AL150" s="77" t="s">
        <v>273</v>
      </c>
      <c r="AM150" s="77">
        <v>1</v>
      </c>
      <c r="AN150" s="78"/>
      <c r="AO150" s="78"/>
      <c r="AP150" s="78"/>
    </row>
    <row r="151" spans="1:42" ht="14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N151" s="76"/>
      <c r="O151" s="76"/>
      <c r="P151" s="76"/>
      <c r="Q151" s="76"/>
      <c r="AK151" s="77" t="s">
        <v>277</v>
      </c>
      <c r="AL151" s="77" t="s">
        <v>273</v>
      </c>
      <c r="AM151" s="77">
        <v>1</v>
      </c>
      <c r="AN151" s="78"/>
      <c r="AO151" s="78"/>
      <c r="AP151" s="78"/>
    </row>
    <row r="152" spans="1:42" ht="14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N152" s="76"/>
      <c r="O152" s="76"/>
      <c r="P152" s="76"/>
      <c r="Q152" s="76"/>
      <c r="AK152" s="77" t="s">
        <v>278</v>
      </c>
      <c r="AL152" s="77" t="s">
        <v>141</v>
      </c>
      <c r="AM152" s="77">
        <v>1</v>
      </c>
      <c r="AN152" s="78"/>
      <c r="AO152" s="78"/>
      <c r="AP152" s="78"/>
    </row>
    <row r="153" spans="1:42" ht="14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N153" s="76"/>
      <c r="O153" s="76"/>
      <c r="P153" s="76"/>
      <c r="Q153" s="76"/>
      <c r="AK153" s="77" t="s">
        <v>279</v>
      </c>
      <c r="AL153" s="77" t="s">
        <v>141</v>
      </c>
      <c r="AM153" s="77">
        <v>1</v>
      </c>
      <c r="AN153" s="78"/>
      <c r="AO153" s="78"/>
      <c r="AP153" s="78"/>
    </row>
    <row r="154" spans="1:42" ht="1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N154" s="76"/>
      <c r="O154" s="76"/>
      <c r="P154" s="76"/>
      <c r="Q154" s="76"/>
      <c r="AK154" s="77" t="s">
        <v>280</v>
      </c>
      <c r="AL154" s="77" t="s">
        <v>141</v>
      </c>
      <c r="AM154" s="77">
        <v>1</v>
      </c>
      <c r="AN154" s="78"/>
      <c r="AO154" s="78"/>
      <c r="AP154" s="78"/>
    </row>
    <row r="155" spans="1:42" ht="14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N155" s="76"/>
      <c r="O155" s="76"/>
      <c r="P155" s="76"/>
      <c r="Q155" s="76"/>
      <c r="AK155" s="77" t="s">
        <v>161</v>
      </c>
      <c r="AL155" s="77" t="s">
        <v>141</v>
      </c>
      <c r="AM155" s="77">
        <v>1</v>
      </c>
      <c r="AN155" s="78"/>
      <c r="AO155" s="78"/>
      <c r="AP155" s="78"/>
    </row>
    <row r="156" spans="1:42" ht="14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N156" s="76"/>
      <c r="O156" s="76"/>
      <c r="P156" s="76"/>
      <c r="Q156" s="76"/>
      <c r="AK156" s="77" t="s">
        <v>281</v>
      </c>
      <c r="AL156" s="77" t="s">
        <v>141</v>
      </c>
      <c r="AM156" s="77">
        <v>1</v>
      </c>
      <c r="AN156" s="78"/>
      <c r="AO156" s="78"/>
      <c r="AP156" s="78"/>
    </row>
    <row r="157" spans="1:42" ht="14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N157" s="76"/>
      <c r="O157" s="76"/>
      <c r="P157" s="76"/>
      <c r="Q157" s="76"/>
      <c r="AK157" s="77" t="s">
        <v>282</v>
      </c>
      <c r="AL157" s="77" t="s">
        <v>141</v>
      </c>
      <c r="AM157" s="77">
        <v>1</v>
      </c>
      <c r="AN157" s="78"/>
      <c r="AO157" s="78"/>
      <c r="AP157" s="78"/>
    </row>
    <row r="158" spans="1:42" ht="14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N158" s="76"/>
      <c r="O158" s="76"/>
      <c r="P158" s="76"/>
      <c r="Q158" s="76"/>
      <c r="AK158" s="77" t="s">
        <v>283</v>
      </c>
      <c r="AL158" s="77" t="s">
        <v>141</v>
      </c>
      <c r="AM158" s="77">
        <v>1</v>
      </c>
      <c r="AN158" s="78"/>
      <c r="AO158" s="78"/>
      <c r="AP158" s="78"/>
    </row>
    <row r="159" spans="1:42" ht="14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N159" s="76"/>
      <c r="O159" s="76"/>
      <c r="P159" s="76"/>
      <c r="Q159" s="76"/>
      <c r="AK159" s="77" t="s">
        <v>255</v>
      </c>
      <c r="AL159" s="77" t="s">
        <v>164</v>
      </c>
      <c r="AM159" s="77">
        <v>1</v>
      </c>
      <c r="AN159" s="78"/>
      <c r="AO159" s="78"/>
      <c r="AP159" s="78"/>
    </row>
    <row r="160" spans="1:42" ht="14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N160" s="76"/>
      <c r="O160" s="76"/>
      <c r="P160" s="76"/>
      <c r="Q160" s="76"/>
      <c r="AK160" s="77" t="s">
        <v>284</v>
      </c>
      <c r="AL160" s="77" t="s">
        <v>164</v>
      </c>
      <c r="AM160" s="77">
        <v>1</v>
      </c>
      <c r="AN160" s="78"/>
      <c r="AO160" s="78"/>
      <c r="AP160" s="78"/>
    </row>
    <row r="161" spans="1:42" ht="14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N161" s="76"/>
      <c r="O161" s="76"/>
      <c r="P161" s="76"/>
      <c r="Q161" s="76"/>
      <c r="AK161" s="77" t="s">
        <v>172</v>
      </c>
      <c r="AL161" s="77" t="s">
        <v>164</v>
      </c>
      <c r="AM161" s="77">
        <v>1</v>
      </c>
      <c r="AN161" s="78"/>
      <c r="AO161" s="78"/>
      <c r="AP161" s="78"/>
    </row>
    <row r="162" spans="1:42" ht="14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N162" s="76"/>
      <c r="O162" s="76"/>
      <c r="P162" s="76"/>
      <c r="Q162" s="76"/>
      <c r="AK162" s="77" t="s">
        <v>282</v>
      </c>
      <c r="AL162" s="77" t="s">
        <v>164</v>
      </c>
      <c r="AM162" s="77">
        <v>1</v>
      </c>
      <c r="AN162" s="78"/>
      <c r="AO162" s="78"/>
      <c r="AP162" s="78"/>
    </row>
    <row r="163" spans="1:42" ht="14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N163" s="76"/>
      <c r="O163" s="76"/>
      <c r="P163" s="76"/>
      <c r="Q163" s="76"/>
      <c r="AK163" s="77" t="s">
        <v>285</v>
      </c>
      <c r="AL163" s="77" t="s">
        <v>166</v>
      </c>
      <c r="AM163" s="77">
        <v>1</v>
      </c>
      <c r="AN163" s="78"/>
      <c r="AO163" s="78"/>
      <c r="AP163" s="78"/>
    </row>
    <row r="164" spans="1:42" ht="1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N164" s="76"/>
      <c r="O164" s="76"/>
      <c r="P164" s="76"/>
      <c r="Q164" s="76"/>
      <c r="AK164" s="77" t="s">
        <v>286</v>
      </c>
      <c r="AL164" s="77" t="s">
        <v>166</v>
      </c>
      <c r="AM164" s="77">
        <v>1</v>
      </c>
      <c r="AN164" s="78"/>
      <c r="AO164" s="78"/>
      <c r="AP164" s="78"/>
    </row>
    <row r="165" spans="1:42" ht="14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N165" s="76"/>
      <c r="O165" s="76"/>
      <c r="P165" s="76"/>
      <c r="Q165" s="76"/>
      <c r="AK165" s="77" t="s">
        <v>287</v>
      </c>
      <c r="AL165" s="77" t="s">
        <v>166</v>
      </c>
      <c r="AM165" s="77">
        <v>1</v>
      </c>
      <c r="AN165" s="78"/>
      <c r="AO165" s="78"/>
      <c r="AP165" s="78"/>
    </row>
    <row r="166" spans="1:42" ht="14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N166" s="76"/>
      <c r="O166" s="76"/>
      <c r="P166" s="76"/>
      <c r="Q166" s="76"/>
      <c r="AK166" s="77" t="s">
        <v>170</v>
      </c>
      <c r="AL166" s="77" t="s">
        <v>166</v>
      </c>
      <c r="AM166" s="77">
        <v>1</v>
      </c>
      <c r="AN166" s="78"/>
      <c r="AO166" s="78"/>
      <c r="AP166" s="78"/>
    </row>
    <row r="167" spans="1:42" ht="14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N167" s="76"/>
      <c r="O167" s="76"/>
      <c r="P167" s="76"/>
      <c r="Q167" s="76"/>
      <c r="AK167" s="77" t="s">
        <v>288</v>
      </c>
      <c r="AL167" s="77" t="s">
        <v>166</v>
      </c>
      <c r="AM167" s="77">
        <v>1</v>
      </c>
      <c r="AN167" s="78"/>
      <c r="AO167" s="78"/>
      <c r="AP167" s="78"/>
    </row>
    <row r="168" spans="1:42" ht="14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N168" s="76"/>
      <c r="O168" s="76"/>
      <c r="P168" s="76"/>
      <c r="Q168" s="76"/>
      <c r="AK168" s="77" t="s">
        <v>289</v>
      </c>
      <c r="AL168" s="77" t="s">
        <v>166</v>
      </c>
      <c r="AM168" s="77">
        <v>1</v>
      </c>
      <c r="AN168" s="78"/>
      <c r="AO168" s="78"/>
      <c r="AP168" s="78"/>
    </row>
    <row r="169" spans="1:42" ht="14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N169" s="76"/>
      <c r="O169" s="76"/>
      <c r="P169" s="76"/>
      <c r="Q169" s="76"/>
      <c r="AK169" s="77" t="s">
        <v>290</v>
      </c>
      <c r="AL169" s="77" t="s">
        <v>166</v>
      </c>
      <c r="AM169" s="77">
        <v>1</v>
      </c>
      <c r="AN169" s="78"/>
      <c r="AO169" s="78"/>
      <c r="AP169" s="78"/>
    </row>
    <row r="170" spans="1:42" ht="14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N170" s="76"/>
      <c r="O170" s="76"/>
      <c r="P170" s="76"/>
      <c r="Q170" s="76"/>
      <c r="AK170" s="77" t="s">
        <v>275</v>
      </c>
      <c r="AL170" s="77" t="s">
        <v>166</v>
      </c>
      <c r="AM170" s="77">
        <v>1</v>
      </c>
      <c r="AN170" s="78"/>
      <c r="AO170" s="78"/>
      <c r="AP170" s="78"/>
    </row>
    <row r="171" spans="1:42" ht="14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N171" s="76"/>
      <c r="O171" s="76"/>
      <c r="P171" s="76"/>
      <c r="Q171" s="76"/>
      <c r="AK171" s="77" t="s">
        <v>291</v>
      </c>
      <c r="AL171" s="77" t="s">
        <v>168</v>
      </c>
      <c r="AM171" s="77">
        <v>1</v>
      </c>
      <c r="AN171" s="78"/>
      <c r="AO171" s="78"/>
      <c r="AP171" s="78"/>
    </row>
    <row r="172" spans="1:42" ht="14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N172" s="76"/>
      <c r="O172" s="76"/>
      <c r="P172" s="76"/>
      <c r="Q172" s="76"/>
      <c r="AK172" s="77" t="s">
        <v>227</v>
      </c>
      <c r="AL172" s="77" t="s">
        <v>168</v>
      </c>
      <c r="AM172" s="77">
        <v>1</v>
      </c>
      <c r="AN172" s="78"/>
      <c r="AO172" s="78"/>
      <c r="AP172" s="78"/>
    </row>
    <row r="173" spans="1:42" ht="14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N173" s="76"/>
      <c r="O173" s="76"/>
      <c r="P173" s="76"/>
      <c r="Q173" s="76"/>
      <c r="AK173" s="77" t="s">
        <v>292</v>
      </c>
      <c r="AL173" s="77" t="s">
        <v>168</v>
      </c>
      <c r="AM173" s="77">
        <v>1</v>
      </c>
      <c r="AN173" s="78"/>
      <c r="AO173" s="78"/>
      <c r="AP173" s="78"/>
    </row>
    <row r="174" spans="1:42" ht="1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N174" s="76"/>
      <c r="O174" s="76"/>
      <c r="P174" s="76"/>
      <c r="Q174" s="76"/>
      <c r="AK174" s="77" t="s">
        <v>293</v>
      </c>
      <c r="AL174" s="77" t="s">
        <v>168</v>
      </c>
      <c r="AM174" s="77">
        <v>1</v>
      </c>
      <c r="AN174" s="78"/>
      <c r="AO174" s="78"/>
      <c r="AP174" s="78"/>
    </row>
    <row r="175" spans="1:42" ht="14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N175" s="76"/>
      <c r="O175" s="76"/>
      <c r="P175" s="76"/>
      <c r="Q175" s="76"/>
      <c r="AK175" s="77" t="s">
        <v>294</v>
      </c>
      <c r="AL175" s="77" t="s">
        <v>168</v>
      </c>
      <c r="AM175" s="77">
        <v>1</v>
      </c>
      <c r="AN175" s="78"/>
      <c r="AO175" s="78"/>
      <c r="AP175" s="78"/>
    </row>
    <row r="176" spans="1:42" ht="14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N176" s="76"/>
      <c r="O176" s="76"/>
      <c r="P176" s="76"/>
      <c r="Q176" s="76"/>
      <c r="AK176" s="77" t="s">
        <v>295</v>
      </c>
      <c r="AL176" s="77" t="s">
        <v>168</v>
      </c>
      <c r="AM176" s="77">
        <v>1</v>
      </c>
      <c r="AN176" s="78"/>
      <c r="AO176" s="78"/>
      <c r="AP176" s="78"/>
    </row>
    <row r="177" spans="1:42" ht="14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N177" s="76"/>
      <c r="O177" s="76"/>
      <c r="P177" s="76"/>
      <c r="Q177" s="76"/>
      <c r="AK177" s="77" t="s">
        <v>296</v>
      </c>
      <c r="AL177" s="77" t="s">
        <v>171</v>
      </c>
      <c r="AM177" s="77">
        <v>1</v>
      </c>
      <c r="AN177" s="78"/>
      <c r="AO177" s="78"/>
      <c r="AP177" s="78"/>
    </row>
    <row r="178" spans="1:42" ht="14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N178" s="76"/>
      <c r="O178" s="76"/>
      <c r="P178" s="76"/>
      <c r="Q178" s="76"/>
      <c r="AK178" s="77" t="s">
        <v>297</v>
      </c>
      <c r="AL178" s="77" t="s">
        <v>171</v>
      </c>
      <c r="AM178" s="77">
        <v>1</v>
      </c>
      <c r="AN178" s="78"/>
      <c r="AO178" s="78"/>
      <c r="AP178" s="78"/>
    </row>
    <row r="179" spans="1:42" ht="14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N179" s="76"/>
      <c r="O179" s="76"/>
      <c r="P179" s="76"/>
      <c r="Q179" s="76"/>
      <c r="AK179" s="77" t="s">
        <v>298</v>
      </c>
      <c r="AL179" s="77" t="s">
        <v>171</v>
      </c>
      <c r="AM179" s="77">
        <v>1</v>
      </c>
      <c r="AN179" s="78"/>
      <c r="AO179" s="78"/>
      <c r="AP179" s="78"/>
    </row>
    <row r="180" spans="1:42" ht="14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N180" s="76"/>
      <c r="O180" s="76"/>
      <c r="P180" s="76"/>
      <c r="Q180" s="76"/>
      <c r="AK180" s="77" t="s">
        <v>299</v>
      </c>
      <c r="AL180" s="77" t="s">
        <v>171</v>
      </c>
      <c r="AM180" s="77">
        <v>1</v>
      </c>
      <c r="AN180" s="78"/>
      <c r="AO180" s="78"/>
      <c r="AP180" s="78"/>
    </row>
    <row r="181" spans="1:42" ht="14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N181" s="76"/>
      <c r="O181" s="76"/>
      <c r="P181" s="76"/>
      <c r="Q181" s="76"/>
      <c r="AK181" s="77" t="s">
        <v>267</v>
      </c>
      <c r="AL181" s="77" t="s">
        <v>176</v>
      </c>
      <c r="AM181" s="77">
        <v>1</v>
      </c>
      <c r="AN181" s="78"/>
      <c r="AO181" s="78"/>
      <c r="AP181" s="78"/>
    </row>
    <row r="182" spans="1:42" ht="14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N182" s="76"/>
      <c r="O182" s="76"/>
      <c r="P182" s="76"/>
      <c r="Q182" s="76"/>
      <c r="AK182" s="77" t="s">
        <v>300</v>
      </c>
      <c r="AL182" s="77" t="s">
        <v>176</v>
      </c>
      <c r="AM182" s="77">
        <v>1</v>
      </c>
      <c r="AN182" s="78"/>
      <c r="AO182" s="78"/>
      <c r="AP182" s="78"/>
    </row>
    <row r="183" spans="1:42" ht="14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N183" s="76"/>
      <c r="O183" s="76"/>
      <c r="P183" s="76"/>
      <c r="Q183" s="76"/>
      <c r="AK183" s="77" t="s">
        <v>301</v>
      </c>
      <c r="AL183" s="77" t="s">
        <v>176</v>
      </c>
      <c r="AM183" s="77">
        <v>1</v>
      </c>
      <c r="AN183" s="78"/>
      <c r="AO183" s="78"/>
      <c r="AP183" s="78"/>
    </row>
    <row r="184" spans="1:42" ht="1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N184" s="76"/>
      <c r="O184" s="76"/>
      <c r="P184" s="76"/>
      <c r="Q184" s="76"/>
      <c r="AK184" s="77" t="s">
        <v>302</v>
      </c>
      <c r="AL184" s="77" t="s">
        <v>176</v>
      </c>
      <c r="AM184" s="77">
        <v>1</v>
      </c>
      <c r="AN184" s="78"/>
      <c r="AO184" s="78"/>
      <c r="AP184" s="78"/>
    </row>
    <row r="185" spans="1:42" ht="14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N185" s="76"/>
      <c r="O185" s="76"/>
      <c r="P185" s="76"/>
      <c r="Q185" s="76"/>
      <c r="AK185" s="77" t="s">
        <v>303</v>
      </c>
      <c r="AL185" s="77" t="s">
        <v>176</v>
      </c>
      <c r="AM185" s="77">
        <v>1</v>
      </c>
      <c r="AN185" s="78"/>
      <c r="AO185" s="78"/>
      <c r="AP185" s="78"/>
    </row>
    <row r="186" spans="1:42" ht="14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N186" s="76"/>
      <c r="O186" s="76"/>
      <c r="P186" s="76"/>
      <c r="Q186" s="76"/>
      <c r="AK186" s="77" t="s">
        <v>304</v>
      </c>
      <c r="AL186" s="77" t="s">
        <v>176</v>
      </c>
      <c r="AM186" s="77">
        <v>1</v>
      </c>
      <c r="AN186" s="78"/>
      <c r="AO186" s="78"/>
      <c r="AP186" s="78"/>
    </row>
    <row r="187" spans="1:42" ht="14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N187" s="76"/>
      <c r="O187" s="76"/>
      <c r="P187" s="76"/>
      <c r="Q187" s="76"/>
      <c r="AK187" s="77" t="s">
        <v>305</v>
      </c>
      <c r="AL187" s="77" t="s">
        <v>176</v>
      </c>
      <c r="AM187" s="77">
        <v>1</v>
      </c>
      <c r="AN187" s="78"/>
      <c r="AO187" s="78"/>
      <c r="AP187" s="78"/>
    </row>
    <row r="188" spans="1:42" ht="14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N188" s="76"/>
      <c r="O188" s="76"/>
      <c r="P188" s="76"/>
      <c r="Q188" s="76"/>
      <c r="AK188" s="77" t="s">
        <v>306</v>
      </c>
      <c r="AL188" s="77" t="s">
        <v>176</v>
      </c>
      <c r="AM188" s="77">
        <v>1</v>
      </c>
      <c r="AN188" s="78"/>
      <c r="AO188" s="78"/>
      <c r="AP188" s="78"/>
    </row>
    <row r="189" spans="1:42" ht="14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N189" s="76"/>
      <c r="O189" s="76"/>
      <c r="P189" s="76"/>
      <c r="Q189" s="76"/>
      <c r="AK189" s="77" t="s">
        <v>307</v>
      </c>
      <c r="AL189" s="77" t="s">
        <v>178</v>
      </c>
      <c r="AM189" s="77">
        <v>1</v>
      </c>
      <c r="AN189" s="78"/>
      <c r="AO189" s="78"/>
      <c r="AP189" s="78"/>
    </row>
    <row r="190" spans="1:42" ht="14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N190" s="76"/>
      <c r="O190" s="76"/>
      <c r="P190" s="76"/>
      <c r="Q190" s="76"/>
      <c r="AK190" s="77" t="s">
        <v>308</v>
      </c>
      <c r="AL190" s="77" t="s">
        <v>178</v>
      </c>
      <c r="AM190" s="77">
        <v>1</v>
      </c>
      <c r="AN190" s="78"/>
      <c r="AO190" s="78"/>
      <c r="AP190" s="78"/>
    </row>
    <row r="191" spans="1:42" ht="14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N191" s="76"/>
      <c r="O191" s="76"/>
      <c r="P191" s="76"/>
      <c r="Q191" s="76"/>
      <c r="AK191" s="77" t="s">
        <v>309</v>
      </c>
      <c r="AL191" s="77" t="s">
        <v>178</v>
      </c>
      <c r="AM191" s="77">
        <v>1</v>
      </c>
      <c r="AN191" s="78"/>
      <c r="AO191" s="78"/>
      <c r="AP191" s="78"/>
    </row>
    <row r="192" spans="1:42" ht="14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N192" s="76"/>
      <c r="O192" s="76"/>
      <c r="P192" s="76"/>
      <c r="Q192" s="76"/>
      <c r="AK192" s="77" t="s">
        <v>310</v>
      </c>
      <c r="AL192" s="77" t="s">
        <v>178</v>
      </c>
      <c r="AM192" s="77">
        <v>1</v>
      </c>
      <c r="AN192" s="78"/>
      <c r="AO192" s="78"/>
      <c r="AP192" s="78"/>
    </row>
    <row r="193" spans="1:42" ht="14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N193" s="76"/>
      <c r="O193" s="76"/>
      <c r="P193" s="76"/>
      <c r="Q193" s="76"/>
      <c r="AK193" s="77" t="s">
        <v>255</v>
      </c>
      <c r="AL193" s="77" t="s">
        <v>178</v>
      </c>
      <c r="AM193" s="77">
        <v>1</v>
      </c>
      <c r="AN193" s="78"/>
      <c r="AO193" s="78"/>
      <c r="AP193" s="78"/>
    </row>
    <row r="194" spans="1:42" ht="1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N194" s="76"/>
      <c r="O194" s="76"/>
      <c r="P194" s="76"/>
      <c r="Q194" s="76"/>
      <c r="AK194" s="77" t="s">
        <v>290</v>
      </c>
      <c r="AL194" s="77" t="s">
        <v>178</v>
      </c>
      <c r="AM194" s="77">
        <v>1</v>
      </c>
      <c r="AN194" s="78"/>
      <c r="AO194" s="78"/>
      <c r="AP194" s="78"/>
    </row>
    <row r="195" spans="1:42" ht="14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N195" s="76"/>
      <c r="O195" s="76"/>
      <c r="P195" s="76"/>
      <c r="Q195" s="76"/>
      <c r="AK195" s="77" t="s">
        <v>311</v>
      </c>
      <c r="AL195" s="77" t="s">
        <v>312</v>
      </c>
      <c r="AM195" s="77">
        <v>1</v>
      </c>
      <c r="AN195" s="78"/>
      <c r="AO195" s="78"/>
      <c r="AP195" s="78"/>
    </row>
    <row r="196" spans="1:42" ht="14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N196" s="76"/>
      <c r="O196" s="76"/>
      <c r="P196" s="76"/>
      <c r="Q196" s="76"/>
      <c r="AK196" s="77" t="s">
        <v>279</v>
      </c>
      <c r="AL196" s="77" t="s">
        <v>312</v>
      </c>
      <c r="AM196" s="77">
        <v>1</v>
      </c>
      <c r="AN196" s="78"/>
      <c r="AO196" s="78"/>
      <c r="AP196" s="78"/>
    </row>
    <row r="197" spans="1:42" ht="14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N197" s="76"/>
      <c r="O197" s="76"/>
      <c r="P197" s="76"/>
      <c r="Q197" s="76"/>
      <c r="AK197" s="77" t="s">
        <v>313</v>
      </c>
      <c r="AL197" s="77" t="s">
        <v>312</v>
      </c>
      <c r="AM197" s="77">
        <v>1</v>
      </c>
      <c r="AN197" s="78"/>
      <c r="AO197" s="78"/>
      <c r="AP197" s="78"/>
    </row>
    <row r="198" spans="1:42" ht="14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N198" s="76"/>
      <c r="O198" s="76"/>
      <c r="P198" s="76"/>
      <c r="Q198" s="76"/>
      <c r="AK198" s="77" t="s">
        <v>314</v>
      </c>
      <c r="AL198" s="77" t="s">
        <v>312</v>
      </c>
      <c r="AM198" s="77">
        <v>1</v>
      </c>
      <c r="AN198" s="78"/>
      <c r="AO198" s="78"/>
      <c r="AP198" s="78"/>
    </row>
    <row r="199" spans="1:42" ht="14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N199" s="76"/>
      <c r="O199" s="76"/>
      <c r="P199" s="76"/>
      <c r="Q199" s="76"/>
      <c r="AK199" s="77" t="s">
        <v>315</v>
      </c>
      <c r="AL199" s="77" t="s">
        <v>312</v>
      </c>
      <c r="AM199" s="77">
        <v>1</v>
      </c>
      <c r="AN199" s="78"/>
      <c r="AO199" s="78"/>
      <c r="AP199" s="78"/>
    </row>
    <row r="200" spans="1:42" ht="14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N200" s="76"/>
      <c r="O200" s="76"/>
      <c r="P200" s="76"/>
      <c r="Q200" s="76"/>
      <c r="AK200" s="77" t="s">
        <v>316</v>
      </c>
      <c r="AL200" s="77" t="s">
        <v>312</v>
      </c>
      <c r="AM200" s="77">
        <v>1</v>
      </c>
      <c r="AN200" s="78"/>
      <c r="AO200" s="78"/>
      <c r="AP200" s="78"/>
    </row>
    <row r="201" spans="1:42" ht="14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N201" s="76"/>
      <c r="O201" s="76"/>
      <c r="P201" s="76"/>
      <c r="Q201" s="76"/>
      <c r="AK201" s="77" t="s">
        <v>317</v>
      </c>
      <c r="AL201" s="77" t="s">
        <v>180</v>
      </c>
      <c r="AM201" s="77">
        <v>1</v>
      </c>
      <c r="AN201" s="78"/>
      <c r="AO201" s="78"/>
      <c r="AP201" s="78"/>
    </row>
    <row r="202" spans="1:42" ht="14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N202" s="76"/>
      <c r="O202" s="76"/>
      <c r="P202" s="76"/>
      <c r="Q202" s="76"/>
      <c r="AK202" s="77" t="s">
        <v>318</v>
      </c>
      <c r="AL202" s="77" t="s">
        <v>180</v>
      </c>
      <c r="AM202" s="77">
        <v>1</v>
      </c>
      <c r="AN202" s="78"/>
      <c r="AO202" s="78"/>
      <c r="AP202" s="78"/>
    </row>
    <row r="203" spans="1:42" ht="14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N203" s="76"/>
      <c r="O203" s="76"/>
      <c r="P203" s="76"/>
      <c r="Q203" s="76"/>
      <c r="AK203" s="77" t="s">
        <v>319</v>
      </c>
      <c r="AL203" s="77" t="s">
        <v>180</v>
      </c>
      <c r="AM203" s="77">
        <v>1</v>
      </c>
      <c r="AN203" s="78"/>
      <c r="AO203" s="78"/>
      <c r="AP203" s="78"/>
    </row>
    <row r="204" spans="1:42" ht="1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N204" s="76"/>
      <c r="O204" s="76"/>
      <c r="P204" s="76"/>
      <c r="Q204" s="76"/>
      <c r="AK204" s="77" t="s">
        <v>320</v>
      </c>
      <c r="AL204" s="77" t="s">
        <v>180</v>
      </c>
      <c r="AM204" s="77">
        <v>1</v>
      </c>
      <c r="AN204" s="78"/>
      <c r="AO204" s="78"/>
      <c r="AP204" s="78"/>
    </row>
    <row r="205" spans="1:42" ht="14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N205" s="76"/>
      <c r="O205" s="76"/>
      <c r="P205" s="76"/>
      <c r="Q205" s="76"/>
      <c r="AK205" s="77" t="s">
        <v>321</v>
      </c>
      <c r="AL205" s="77" t="s">
        <v>180</v>
      </c>
      <c r="AM205" s="77">
        <v>1</v>
      </c>
      <c r="AN205" s="78"/>
      <c r="AO205" s="78"/>
      <c r="AP205" s="78"/>
    </row>
    <row r="206" spans="1:42" ht="14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N206" s="76"/>
      <c r="O206" s="76"/>
      <c r="P206" s="76"/>
      <c r="Q206" s="76"/>
      <c r="AK206" s="77" t="s">
        <v>322</v>
      </c>
      <c r="AL206" s="77" t="s">
        <v>143</v>
      </c>
      <c r="AM206" s="77">
        <v>1</v>
      </c>
      <c r="AN206" s="78"/>
      <c r="AO206" s="78"/>
      <c r="AP206" s="78"/>
    </row>
    <row r="207" spans="1:42" ht="14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N207" s="76"/>
      <c r="O207" s="76"/>
      <c r="P207" s="76"/>
      <c r="Q207" s="76"/>
      <c r="AK207" s="77" t="s">
        <v>323</v>
      </c>
      <c r="AL207" s="77" t="s">
        <v>143</v>
      </c>
      <c r="AM207" s="77">
        <v>1</v>
      </c>
      <c r="AN207" s="78"/>
      <c r="AO207" s="78"/>
      <c r="AP207" s="78"/>
    </row>
    <row r="208" spans="1:42" ht="14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N208" s="76"/>
      <c r="O208" s="76"/>
      <c r="P208" s="76"/>
      <c r="Q208" s="76"/>
      <c r="AK208" s="77" t="s">
        <v>324</v>
      </c>
      <c r="AL208" s="77" t="s">
        <v>143</v>
      </c>
      <c r="AM208" s="77">
        <v>1</v>
      </c>
      <c r="AN208" s="78"/>
      <c r="AO208" s="78"/>
      <c r="AP208" s="78"/>
    </row>
    <row r="209" spans="1:42" ht="14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N209" s="76"/>
      <c r="O209" s="76"/>
      <c r="P209" s="76"/>
      <c r="Q209" s="76"/>
      <c r="AK209" s="77" t="s">
        <v>325</v>
      </c>
      <c r="AL209" s="77" t="s">
        <v>143</v>
      </c>
      <c r="AM209" s="77">
        <v>1</v>
      </c>
      <c r="AN209" s="78"/>
      <c r="AO209" s="78"/>
      <c r="AP209" s="78"/>
    </row>
    <row r="210" spans="1:42" ht="14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N210" s="76"/>
      <c r="O210" s="76"/>
      <c r="P210" s="76"/>
      <c r="Q210" s="76"/>
      <c r="AK210" s="77" t="s">
        <v>326</v>
      </c>
      <c r="AL210" s="77" t="s">
        <v>143</v>
      </c>
      <c r="AM210" s="77">
        <v>1</v>
      </c>
      <c r="AN210" s="78"/>
      <c r="AO210" s="78"/>
      <c r="AP210" s="78"/>
    </row>
    <row r="211" spans="1:42" ht="14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N211" s="76"/>
      <c r="O211" s="76"/>
      <c r="P211" s="76"/>
      <c r="Q211" s="76"/>
      <c r="AK211" s="77" t="s">
        <v>327</v>
      </c>
      <c r="AL211" s="77" t="s">
        <v>185</v>
      </c>
      <c r="AM211" s="77">
        <v>1</v>
      </c>
      <c r="AN211" s="78"/>
      <c r="AO211" s="78"/>
      <c r="AP211" s="78"/>
    </row>
    <row r="212" spans="1:42" ht="14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N212" s="76"/>
      <c r="O212" s="76"/>
      <c r="P212" s="76"/>
      <c r="Q212" s="76"/>
      <c r="AK212" s="77" t="s">
        <v>328</v>
      </c>
      <c r="AL212" s="77" t="s">
        <v>185</v>
      </c>
      <c r="AM212" s="77">
        <v>1</v>
      </c>
      <c r="AN212" s="78"/>
      <c r="AO212" s="78"/>
      <c r="AP212" s="78"/>
    </row>
    <row r="213" spans="1:42" ht="14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N213" s="76"/>
      <c r="O213" s="76"/>
      <c r="P213" s="76"/>
      <c r="Q213" s="76"/>
      <c r="AK213" s="77" t="s">
        <v>329</v>
      </c>
      <c r="AL213" s="77" t="s">
        <v>185</v>
      </c>
      <c r="AM213" s="77">
        <v>1</v>
      </c>
      <c r="AN213" s="78"/>
      <c r="AO213" s="78"/>
      <c r="AP213" s="78"/>
    </row>
    <row r="214" spans="1:42" ht="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N214" s="76"/>
      <c r="O214" s="76"/>
      <c r="P214" s="76"/>
      <c r="Q214" s="76"/>
      <c r="AK214" s="77" t="s">
        <v>330</v>
      </c>
      <c r="AL214" s="77" t="s">
        <v>185</v>
      </c>
      <c r="AM214" s="77">
        <v>1</v>
      </c>
      <c r="AN214" s="78"/>
      <c r="AO214" s="78"/>
      <c r="AP214" s="78"/>
    </row>
    <row r="215" spans="1:42" ht="14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N215" s="76"/>
      <c r="O215" s="76"/>
      <c r="P215" s="76"/>
      <c r="Q215" s="76"/>
      <c r="AK215" s="77" t="s">
        <v>331</v>
      </c>
      <c r="AL215" s="77" t="s">
        <v>185</v>
      </c>
      <c r="AM215" s="77">
        <v>1</v>
      </c>
      <c r="AN215" s="78"/>
      <c r="AO215" s="78"/>
      <c r="AP215" s="78"/>
    </row>
    <row r="216" spans="1:42" ht="14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N216" s="76"/>
      <c r="O216" s="76"/>
      <c r="P216" s="76"/>
      <c r="Q216" s="76"/>
      <c r="AK216" s="77" t="s">
        <v>332</v>
      </c>
      <c r="AL216" s="77" t="s">
        <v>185</v>
      </c>
      <c r="AM216" s="77">
        <v>1</v>
      </c>
      <c r="AN216" s="78"/>
      <c r="AO216" s="78"/>
      <c r="AP216" s="78"/>
    </row>
    <row r="217" spans="1:42" ht="14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N217" s="76"/>
      <c r="O217" s="76"/>
      <c r="P217" s="76"/>
      <c r="Q217" s="76"/>
      <c r="AK217" s="77" t="s">
        <v>333</v>
      </c>
      <c r="AL217" s="77" t="s">
        <v>185</v>
      </c>
      <c r="AM217" s="77">
        <v>1</v>
      </c>
      <c r="AN217" s="78"/>
      <c r="AO217" s="78"/>
      <c r="AP217" s="78"/>
    </row>
    <row r="218" spans="1:42" ht="14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N218" s="76"/>
      <c r="O218" s="76"/>
      <c r="P218" s="76"/>
      <c r="Q218" s="76"/>
      <c r="AK218" s="77" t="s">
        <v>334</v>
      </c>
      <c r="AL218" s="77" t="s">
        <v>185</v>
      </c>
      <c r="AM218" s="77">
        <v>1</v>
      </c>
      <c r="AN218" s="78"/>
      <c r="AO218" s="78"/>
      <c r="AP218" s="78"/>
    </row>
    <row r="219" spans="1:42" ht="14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N219" s="76"/>
      <c r="O219" s="76"/>
      <c r="P219" s="76"/>
      <c r="Q219" s="76"/>
      <c r="AK219" s="77" t="s">
        <v>335</v>
      </c>
      <c r="AL219" s="77" t="s">
        <v>145</v>
      </c>
      <c r="AM219" s="77">
        <v>1</v>
      </c>
      <c r="AN219" s="78"/>
      <c r="AO219" s="78"/>
      <c r="AP219" s="78"/>
    </row>
    <row r="220" spans="1:42" ht="14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N220" s="76"/>
      <c r="O220" s="76"/>
      <c r="P220" s="76"/>
      <c r="Q220" s="76"/>
      <c r="AK220" s="77" t="s">
        <v>336</v>
      </c>
      <c r="AL220" s="77" t="s">
        <v>145</v>
      </c>
      <c r="AM220" s="77">
        <v>1</v>
      </c>
      <c r="AN220" s="78"/>
      <c r="AO220" s="78"/>
      <c r="AP220" s="78"/>
    </row>
    <row r="221" spans="1:42" ht="14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N221" s="76"/>
      <c r="O221" s="76"/>
      <c r="P221" s="76"/>
      <c r="Q221" s="76"/>
      <c r="AK221" s="77" t="s">
        <v>337</v>
      </c>
      <c r="AL221" s="77" t="s">
        <v>145</v>
      </c>
      <c r="AM221" s="77">
        <v>1</v>
      </c>
      <c r="AN221" s="78"/>
      <c r="AO221" s="78"/>
      <c r="AP221" s="78"/>
    </row>
    <row r="222" spans="1:42" ht="14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N222" s="76"/>
      <c r="O222" s="76"/>
      <c r="P222" s="76"/>
      <c r="Q222" s="76"/>
      <c r="AK222" s="77" t="s">
        <v>338</v>
      </c>
      <c r="AL222" s="77" t="s">
        <v>145</v>
      </c>
      <c r="AM222" s="77">
        <v>1</v>
      </c>
      <c r="AN222" s="78"/>
      <c r="AO222" s="78"/>
      <c r="AP222" s="78"/>
    </row>
    <row r="223" spans="1:42" ht="14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N223" s="76"/>
      <c r="O223" s="76"/>
      <c r="P223" s="76"/>
      <c r="Q223" s="76"/>
      <c r="AK223" s="77" t="s">
        <v>339</v>
      </c>
      <c r="AL223" s="77" t="s">
        <v>192</v>
      </c>
      <c r="AM223" s="77">
        <v>1</v>
      </c>
      <c r="AN223" s="78"/>
      <c r="AO223" s="78"/>
      <c r="AP223" s="78"/>
    </row>
    <row r="224" spans="1:42" ht="1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N224" s="76"/>
      <c r="O224" s="76"/>
      <c r="P224" s="76"/>
      <c r="Q224" s="76"/>
      <c r="AK224" s="77" t="s">
        <v>340</v>
      </c>
      <c r="AL224" s="77" t="s">
        <v>192</v>
      </c>
      <c r="AM224" s="77">
        <v>1</v>
      </c>
      <c r="AN224" s="78"/>
      <c r="AO224" s="78"/>
      <c r="AP224" s="78"/>
    </row>
    <row r="225" spans="1:42" ht="14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N225" s="76"/>
      <c r="O225" s="76"/>
      <c r="P225" s="76"/>
      <c r="Q225" s="76"/>
      <c r="AK225" s="77" t="s">
        <v>341</v>
      </c>
      <c r="AL225" s="77" t="s">
        <v>192</v>
      </c>
      <c r="AM225" s="77">
        <v>1</v>
      </c>
      <c r="AN225" s="78"/>
      <c r="AO225" s="78"/>
      <c r="AP225" s="78"/>
    </row>
    <row r="226" spans="1:42" ht="14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N226" s="76"/>
      <c r="O226" s="76"/>
      <c r="P226" s="76"/>
      <c r="Q226" s="76"/>
      <c r="AK226" s="77" t="s">
        <v>342</v>
      </c>
      <c r="AL226" s="77" t="s">
        <v>192</v>
      </c>
      <c r="AM226" s="77">
        <v>1</v>
      </c>
      <c r="AN226" s="78"/>
      <c r="AO226" s="78"/>
      <c r="AP226" s="78"/>
    </row>
    <row r="227" spans="1:42" ht="14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N227" s="76"/>
      <c r="O227" s="76"/>
      <c r="P227" s="76"/>
      <c r="Q227" s="76"/>
      <c r="AK227" s="77" t="s">
        <v>343</v>
      </c>
      <c r="AL227" s="77" t="s">
        <v>192</v>
      </c>
      <c r="AM227" s="77">
        <v>1</v>
      </c>
      <c r="AN227" s="78"/>
      <c r="AO227" s="78"/>
      <c r="AP227" s="78"/>
    </row>
    <row r="228" spans="1:42" ht="14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N228" s="76"/>
      <c r="O228" s="76"/>
      <c r="P228" s="76"/>
      <c r="Q228" s="76"/>
      <c r="AK228" s="77" t="s">
        <v>344</v>
      </c>
      <c r="AL228" s="77" t="s">
        <v>192</v>
      </c>
      <c r="AM228" s="77">
        <v>1</v>
      </c>
      <c r="AN228" s="78"/>
      <c r="AO228" s="78"/>
      <c r="AP228" s="78"/>
    </row>
    <row r="229" spans="1:42" ht="14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N229" s="76"/>
      <c r="O229" s="76"/>
      <c r="P229" s="76"/>
      <c r="Q229" s="76"/>
      <c r="AK229" s="77" t="s">
        <v>345</v>
      </c>
      <c r="AL229" s="77" t="s">
        <v>147</v>
      </c>
      <c r="AM229" s="77">
        <v>1</v>
      </c>
      <c r="AN229" s="78"/>
      <c r="AO229" s="78"/>
      <c r="AP229" s="78"/>
    </row>
    <row r="230" spans="1:42" ht="14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N230" s="76"/>
      <c r="O230" s="76"/>
      <c r="P230" s="76"/>
      <c r="Q230" s="76"/>
      <c r="AK230" s="77" t="s">
        <v>346</v>
      </c>
      <c r="AL230" s="77" t="s">
        <v>147</v>
      </c>
      <c r="AM230" s="77">
        <v>1</v>
      </c>
      <c r="AN230" s="78"/>
      <c r="AO230" s="78"/>
      <c r="AP230" s="78"/>
    </row>
    <row r="231" spans="1:42" ht="14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N231" s="76"/>
      <c r="O231" s="76"/>
      <c r="P231" s="76"/>
      <c r="Q231" s="76"/>
      <c r="AK231" s="77" t="s">
        <v>347</v>
      </c>
      <c r="AL231" s="77" t="s">
        <v>147</v>
      </c>
      <c r="AM231" s="77">
        <v>1</v>
      </c>
      <c r="AN231" s="78"/>
      <c r="AO231" s="78"/>
      <c r="AP231" s="78"/>
    </row>
    <row r="232" spans="1:42" ht="14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N232" s="76"/>
      <c r="O232" s="76"/>
      <c r="P232" s="76"/>
      <c r="Q232" s="76"/>
      <c r="AK232" s="77" t="s">
        <v>348</v>
      </c>
      <c r="AL232" s="77" t="s">
        <v>147</v>
      </c>
      <c r="AM232" s="77">
        <v>1</v>
      </c>
      <c r="AN232" s="78"/>
      <c r="AO232" s="78"/>
      <c r="AP232" s="78"/>
    </row>
    <row r="233" spans="1:42" ht="14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N233" s="76"/>
      <c r="O233" s="76"/>
      <c r="P233" s="76"/>
      <c r="Q233" s="76"/>
      <c r="AK233" s="77" t="s">
        <v>349</v>
      </c>
      <c r="AL233" s="77" t="s">
        <v>147</v>
      </c>
      <c r="AM233" s="77">
        <v>1</v>
      </c>
      <c r="AN233" s="78"/>
      <c r="AO233" s="78"/>
      <c r="AP233" s="78"/>
    </row>
    <row r="234" spans="1:42" ht="1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N234" s="76"/>
      <c r="O234" s="76"/>
      <c r="P234" s="76"/>
      <c r="Q234" s="76"/>
      <c r="AK234" s="77" t="s">
        <v>350</v>
      </c>
      <c r="AL234" s="77" t="s">
        <v>147</v>
      </c>
      <c r="AM234" s="77">
        <v>1</v>
      </c>
      <c r="AN234" s="78"/>
      <c r="AO234" s="78"/>
      <c r="AP234" s="78"/>
    </row>
    <row r="235" spans="1:42" ht="14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N235" s="76"/>
      <c r="O235" s="76"/>
      <c r="P235" s="76"/>
      <c r="Q235" s="76"/>
      <c r="AK235" s="77" t="s">
        <v>351</v>
      </c>
      <c r="AL235" s="77" t="s">
        <v>147</v>
      </c>
      <c r="AM235" s="77">
        <v>1</v>
      </c>
      <c r="AN235" s="78"/>
      <c r="AO235" s="78"/>
      <c r="AP235" s="78"/>
    </row>
    <row r="236" spans="1:42" ht="14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N236" s="76"/>
      <c r="O236" s="76"/>
      <c r="P236" s="76"/>
      <c r="Q236" s="76"/>
      <c r="AK236" s="77" t="s">
        <v>352</v>
      </c>
      <c r="AL236" s="77" t="s">
        <v>147</v>
      </c>
      <c r="AM236" s="77">
        <v>1</v>
      </c>
      <c r="AN236" s="78"/>
      <c r="AO236" s="78"/>
      <c r="AP236" s="78"/>
    </row>
    <row r="237" spans="1:42" ht="14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N237" s="76"/>
      <c r="O237" s="76"/>
      <c r="P237" s="76"/>
      <c r="Q237" s="76"/>
      <c r="AK237" s="77" t="s">
        <v>353</v>
      </c>
      <c r="AL237" s="77" t="s">
        <v>147</v>
      </c>
      <c r="AM237" s="77">
        <v>1</v>
      </c>
      <c r="AN237" s="78"/>
      <c r="AO237" s="78"/>
      <c r="AP237" s="78"/>
    </row>
    <row r="238" spans="1:42" ht="14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N238" s="76"/>
      <c r="O238" s="76"/>
      <c r="P238" s="76"/>
      <c r="Q238" s="76"/>
      <c r="AK238" s="77" t="s">
        <v>354</v>
      </c>
      <c r="AL238" s="77" t="s">
        <v>147</v>
      </c>
      <c r="AM238" s="77">
        <v>1</v>
      </c>
      <c r="AN238" s="78"/>
      <c r="AO238" s="78"/>
      <c r="AP238" s="78"/>
    </row>
    <row r="239" spans="1:42" ht="14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N239" s="76"/>
      <c r="O239" s="76"/>
      <c r="P239" s="76"/>
      <c r="Q239" s="76"/>
      <c r="AK239" s="77" t="s">
        <v>355</v>
      </c>
      <c r="AL239" s="77" t="s">
        <v>147</v>
      </c>
      <c r="AM239" s="77">
        <v>1</v>
      </c>
      <c r="AN239" s="78"/>
      <c r="AO239" s="78"/>
      <c r="AP239" s="78"/>
    </row>
    <row r="240" spans="1:42" ht="14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N240" s="76"/>
      <c r="O240" s="76"/>
      <c r="P240" s="76"/>
      <c r="Q240" s="76"/>
      <c r="AK240" s="77" t="s">
        <v>356</v>
      </c>
      <c r="AL240" s="77" t="s">
        <v>147</v>
      </c>
      <c r="AM240" s="77">
        <v>1</v>
      </c>
      <c r="AN240" s="78"/>
      <c r="AO240" s="78"/>
      <c r="AP240" s="78"/>
    </row>
    <row r="241" spans="1:42" ht="14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N241" s="76"/>
      <c r="O241" s="76"/>
      <c r="P241" s="76"/>
      <c r="Q241" s="76"/>
      <c r="AK241" s="77" t="s">
        <v>357</v>
      </c>
      <c r="AL241" s="77" t="s">
        <v>358</v>
      </c>
      <c r="AM241" s="77">
        <v>1</v>
      </c>
      <c r="AN241" s="78"/>
      <c r="AO241" s="78"/>
      <c r="AP241" s="78"/>
    </row>
    <row r="242" spans="1:42" ht="14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N242" s="76"/>
      <c r="O242" s="76"/>
      <c r="P242" s="76"/>
      <c r="Q242" s="76"/>
      <c r="AK242" s="77" t="s">
        <v>359</v>
      </c>
      <c r="AL242" s="77" t="s">
        <v>358</v>
      </c>
      <c r="AM242" s="77">
        <v>1</v>
      </c>
      <c r="AN242" s="78"/>
      <c r="AO242" s="78"/>
      <c r="AP242" s="78"/>
    </row>
    <row r="243" spans="1:42" ht="14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N243" s="76"/>
      <c r="O243" s="76"/>
      <c r="P243" s="76"/>
      <c r="Q243" s="76"/>
      <c r="AK243" s="77" t="s">
        <v>360</v>
      </c>
      <c r="AL243" s="77" t="s">
        <v>358</v>
      </c>
      <c r="AM243" s="77">
        <v>1</v>
      </c>
      <c r="AN243" s="78"/>
      <c r="AO243" s="78"/>
      <c r="AP243" s="78"/>
    </row>
    <row r="244" spans="1:42" ht="1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N244" s="76"/>
      <c r="O244" s="76"/>
      <c r="P244" s="76"/>
      <c r="Q244" s="76"/>
      <c r="AK244" s="77" t="s">
        <v>361</v>
      </c>
      <c r="AL244" s="77" t="s">
        <v>358</v>
      </c>
      <c r="AM244" s="77">
        <v>1</v>
      </c>
      <c r="AN244" s="78"/>
      <c r="AO244" s="78"/>
      <c r="AP244" s="78"/>
    </row>
    <row r="245" spans="1:42" ht="14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N245" s="76"/>
      <c r="O245" s="76"/>
      <c r="P245" s="76"/>
      <c r="Q245" s="76"/>
      <c r="AK245" s="77" t="s">
        <v>362</v>
      </c>
      <c r="AL245" s="77" t="s">
        <v>358</v>
      </c>
      <c r="AM245" s="77">
        <v>1</v>
      </c>
      <c r="AN245" s="78"/>
      <c r="AO245" s="78"/>
      <c r="AP245" s="78"/>
    </row>
    <row r="246" spans="1:42" ht="14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N246" s="76"/>
      <c r="O246" s="76"/>
      <c r="P246" s="76"/>
      <c r="Q246" s="76"/>
      <c r="AK246" s="77" t="s">
        <v>363</v>
      </c>
      <c r="AL246" s="77" t="s">
        <v>358</v>
      </c>
      <c r="AM246" s="77">
        <v>1</v>
      </c>
      <c r="AN246" s="78"/>
      <c r="AO246" s="78"/>
      <c r="AP246" s="78"/>
    </row>
    <row r="247" spans="1:42" ht="14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N247" s="76"/>
      <c r="O247" s="76"/>
      <c r="P247" s="76"/>
      <c r="Q247" s="76"/>
      <c r="AK247" s="77" t="s">
        <v>364</v>
      </c>
      <c r="AL247" s="77" t="s">
        <v>358</v>
      </c>
      <c r="AM247" s="77">
        <v>1</v>
      </c>
      <c r="AN247" s="78"/>
      <c r="AO247" s="78"/>
      <c r="AP247" s="78"/>
    </row>
    <row r="248" spans="1:42" ht="14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N248" s="76"/>
      <c r="O248" s="76"/>
      <c r="P248" s="76"/>
      <c r="Q248" s="76"/>
      <c r="AK248" s="77" t="s">
        <v>365</v>
      </c>
      <c r="AL248" s="77" t="s">
        <v>358</v>
      </c>
      <c r="AM248" s="77">
        <v>1</v>
      </c>
      <c r="AN248" s="78"/>
      <c r="AO248" s="78"/>
      <c r="AP248" s="78"/>
    </row>
    <row r="249" spans="1:42" ht="14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N249" s="76"/>
      <c r="O249" s="76"/>
      <c r="P249" s="76"/>
      <c r="Q249" s="76"/>
      <c r="AK249" s="77" t="s">
        <v>366</v>
      </c>
      <c r="AL249" s="77" t="s">
        <v>358</v>
      </c>
      <c r="AM249" s="77">
        <v>1</v>
      </c>
      <c r="AN249" s="78"/>
      <c r="AO249" s="78"/>
      <c r="AP249" s="78"/>
    </row>
    <row r="250" spans="1:42" ht="14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N250" s="76"/>
      <c r="O250" s="76"/>
      <c r="P250" s="76"/>
      <c r="Q250" s="76"/>
      <c r="AK250" s="77" t="s">
        <v>367</v>
      </c>
      <c r="AL250" s="77" t="s">
        <v>358</v>
      </c>
      <c r="AM250" s="77">
        <v>1</v>
      </c>
      <c r="AN250" s="78"/>
      <c r="AO250" s="78"/>
      <c r="AP250" s="78"/>
    </row>
    <row r="251" spans="1:42" ht="14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N251" s="76"/>
      <c r="O251" s="76"/>
      <c r="P251" s="76"/>
      <c r="Q251" s="76"/>
      <c r="AK251" s="77" t="s">
        <v>368</v>
      </c>
      <c r="AL251" s="77" t="s">
        <v>358</v>
      </c>
      <c r="AM251" s="77">
        <v>1</v>
      </c>
      <c r="AN251" s="78"/>
      <c r="AO251" s="78"/>
      <c r="AP251" s="78"/>
    </row>
    <row r="252" spans="1:42" ht="14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N252" s="76"/>
      <c r="O252" s="76"/>
      <c r="P252" s="76"/>
      <c r="Q252" s="76"/>
      <c r="AK252" s="77" t="s">
        <v>369</v>
      </c>
      <c r="AL252" s="77" t="s">
        <v>358</v>
      </c>
      <c r="AM252" s="77">
        <v>1</v>
      </c>
      <c r="AN252" s="78"/>
      <c r="AO252" s="78"/>
      <c r="AP252" s="78"/>
    </row>
    <row r="253" spans="1:42" ht="14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N253" s="76"/>
      <c r="O253" s="76"/>
      <c r="P253" s="76"/>
      <c r="Q253" s="76"/>
      <c r="AK253" s="77" t="s">
        <v>317</v>
      </c>
      <c r="AL253" s="77" t="s">
        <v>358</v>
      </c>
      <c r="AM253" s="77">
        <v>1</v>
      </c>
      <c r="AN253" s="78"/>
      <c r="AO253" s="78"/>
      <c r="AP253" s="78"/>
    </row>
    <row r="254" spans="1:42" ht="1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N254" s="76"/>
      <c r="O254" s="76"/>
      <c r="P254" s="76"/>
      <c r="Q254" s="76"/>
      <c r="AK254" s="77" t="s">
        <v>370</v>
      </c>
      <c r="AL254" s="77" t="s">
        <v>126</v>
      </c>
      <c r="AM254" s="77">
        <v>1</v>
      </c>
      <c r="AN254" s="78"/>
      <c r="AO254" s="78"/>
      <c r="AP254" s="78"/>
    </row>
    <row r="255" spans="1:42" ht="14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N255" s="76"/>
      <c r="O255" s="76"/>
      <c r="P255" s="76"/>
      <c r="Q255" s="76"/>
      <c r="AK255" s="77" t="s">
        <v>371</v>
      </c>
      <c r="AL255" s="77" t="s">
        <v>126</v>
      </c>
      <c r="AM255" s="77">
        <v>1</v>
      </c>
      <c r="AN255" s="78"/>
      <c r="AO255" s="78"/>
      <c r="AP255" s="78"/>
    </row>
    <row r="256" spans="1:42" ht="14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N256" s="76"/>
      <c r="O256" s="76"/>
      <c r="P256" s="76"/>
      <c r="Q256" s="76"/>
      <c r="AK256" s="77" t="s">
        <v>372</v>
      </c>
      <c r="AL256" s="77" t="s">
        <v>126</v>
      </c>
      <c r="AM256" s="77">
        <v>1</v>
      </c>
      <c r="AN256" s="78"/>
      <c r="AO256" s="78"/>
      <c r="AP256" s="78"/>
    </row>
    <row r="257" spans="1:42" ht="14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N257" s="76"/>
      <c r="O257" s="76"/>
      <c r="P257" s="76"/>
      <c r="Q257" s="76"/>
      <c r="AK257" s="77" t="s">
        <v>373</v>
      </c>
      <c r="AL257" s="77" t="s">
        <v>126</v>
      </c>
      <c r="AM257" s="77">
        <v>1</v>
      </c>
      <c r="AN257" s="78"/>
      <c r="AO257" s="78"/>
      <c r="AP257" s="78"/>
    </row>
    <row r="258" spans="1:42" ht="14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N258" s="76"/>
      <c r="O258" s="76"/>
      <c r="P258" s="76"/>
      <c r="Q258" s="76"/>
      <c r="AK258" s="77" t="s">
        <v>374</v>
      </c>
      <c r="AL258" s="77" t="s">
        <v>126</v>
      </c>
      <c r="AM258" s="77">
        <v>1</v>
      </c>
      <c r="AN258" s="78"/>
      <c r="AO258" s="78"/>
      <c r="AP258" s="78"/>
    </row>
    <row r="259" spans="1:42" ht="14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N259" s="76"/>
      <c r="O259" s="76"/>
      <c r="P259" s="76"/>
      <c r="Q259" s="76"/>
      <c r="AK259" s="77" t="s">
        <v>375</v>
      </c>
      <c r="AL259" s="77" t="s">
        <v>126</v>
      </c>
      <c r="AM259" s="77">
        <v>1</v>
      </c>
      <c r="AN259" s="78"/>
      <c r="AO259" s="78"/>
      <c r="AP259" s="78"/>
    </row>
    <row r="260" spans="1:42" ht="14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N260" s="76"/>
      <c r="O260" s="76"/>
      <c r="P260" s="76"/>
      <c r="Q260" s="76"/>
      <c r="AK260" s="77" t="s">
        <v>196</v>
      </c>
      <c r="AL260" s="77" t="s">
        <v>126</v>
      </c>
      <c r="AM260" s="77">
        <v>1</v>
      </c>
      <c r="AN260" s="78"/>
      <c r="AO260" s="78"/>
      <c r="AP260" s="78"/>
    </row>
    <row r="261" spans="1:42" ht="14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N261" s="76"/>
      <c r="O261" s="76"/>
      <c r="P261" s="76"/>
      <c r="Q261" s="76"/>
      <c r="AK261" s="77" t="s">
        <v>376</v>
      </c>
      <c r="AL261" s="77" t="s">
        <v>377</v>
      </c>
      <c r="AM261" s="77">
        <v>1</v>
      </c>
      <c r="AN261" s="78"/>
      <c r="AO261" s="78"/>
      <c r="AP261" s="78"/>
    </row>
    <row r="262" spans="1:42" ht="14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N262" s="76"/>
      <c r="O262" s="76"/>
      <c r="P262" s="76"/>
      <c r="Q262" s="76"/>
      <c r="AK262" s="77" t="s">
        <v>378</v>
      </c>
      <c r="AL262" s="77" t="s">
        <v>377</v>
      </c>
      <c r="AM262" s="77">
        <v>1</v>
      </c>
      <c r="AN262" s="78"/>
      <c r="AO262" s="78"/>
      <c r="AP262" s="78"/>
    </row>
    <row r="263" spans="1:42" ht="14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N263" s="76"/>
      <c r="O263" s="76"/>
      <c r="P263" s="76"/>
      <c r="Q263" s="76"/>
      <c r="AK263" s="77" t="s">
        <v>379</v>
      </c>
      <c r="AL263" s="77" t="s">
        <v>377</v>
      </c>
      <c r="AM263" s="77">
        <v>1</v>
      </c>
      <c r="AN263" s="78"/>
      <c r="AO263" s="78"/>
      <c r="AP263" s="78"/>
    </row>
    <row r="264" spans="1:42" ht="1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N264" s="76"/>
      <c r="O264" s="76"/>
      <c r="P264" s="76"/>
      <c r="Q264" s="76"/>
      <c r="AK264" s="77" t="s">
        <v>380</v>
      </c>
      <c r="AL264" s="77" t="s">
        <v>377</v>
      </c>
      <c r="AM264" s="77">
        <v>1</v>
      </c>
      <c r="AN264" s="78"/>
      <c r="AO264" s="78"/>
      <c r="AP264" s="78"/>
    </row>
    <row r="265" spans="1:42" ht="14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N265" s="76"/>
      <c r="O265" s="76"/>
      <c r="P265" s="76"/>
      <c r="Q265" s="76"/>
      <c r="AK265" s="77" t="s">
        <v>381</v>
      </c>
      <c r="AL265" s="77" t="s">
        <v>377</v>
      </c>
      <c r="AM265" s="77">
        <v>1</v>
      </c>
      <c r="AN265" s="78"/>
      <c r="AO265" s="78"/>
      <c r="AP265" s="78"/>
    </row>
    <row r="266" spans="1:42" ht="14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N266" s="76"/>
      <c r="O266" s="76"/>
      <c r="P266" s="76"/>
      <c r="Q266" s="76"/>
      <c r="AK266" s="77" t="s">
        <v>382</v>
      </c>
      <c r="AL266" s="77" t="s">
        <v>377</v>
      </c>
      <c r="AM266" s="77">
        <v>1</v>
      </c>
      <c r="AN266" s="78"/>
      <c r="AO266" s="78"/>
      <c r="AP266" s="78"/>
    </row>
    <row r="267" spans="1:42" ht="14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N267" s="76"/>
      <c r="O267" s="76"/>
      <c r="P267" s="76"/>
      <c r="Q267" s="76"/>
      <c r="AK267" s="77" t="s">
        <v>383</v>
      </c>
      <c r="AL267" s="77" t="s">
        <v>384</v>
      </c>
      <c r="AM267" s="77">
        <v>1</v>
      </c>
      <c r="AN267" s="78"/>
      <c r="AO267" s="78"/>
      <c r="AP267" s="78"/>
    </row>
    <row r="268" spans="1:42" ht="14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N268" s="76"/>
      <c r="O268" s="76"/>
      <c r="P268" s="76"/>
      <c r="Q268" s="76"/>
      <c r="AK268" s="77" t="s">
        <v>385</v>
      </c>
      <c r="AL268" s="77" t="s">
        <v>384</v>
      </c>
      <c r="AM268" s="77">
        <v>1</v>
      </c>
      <c r="AN268" s="78"/>
      <c r="AO268" s="78"/>
      <c r="AP268" s="78"/>
    </row>
    <row r="269" spans="1:42" ht="14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N269" s="76"/>
      <c r="O269" s="76"/>
      <c r="P269" s="76"/>
      <c r="Q269" s="76"/>
      <c r="AK269" s="77" t="s">
        <v>386</v>
      </c>
      <c r="AL269" s="77" t="s">
        <v>384</v>
      </c>
      <c r="AM269" s="77">
        <v>1</v>
      </c>
      <c r="AN269" s="78"/>
      <c r="AO269" s="78"/>
      <c r="AP269" s="78"/>
    </row>
    <row r="270" spans="1:42" ht="14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N270" s="76"/>
      <c r="O270" s="76"/>
      <c r="P270" s="76"/>
      <c r="Q270" s="76"/>
      <c r="AK270" s="77" t="s">
        <v>387</v>
      </c>
      <c r="AL270" s="77" t="s">
        <v>384</v>
      </c>
      <c r="AM270" s="77">
        <v>1</v>
      </c>
      <c r="AN270" s="78"/>
      <c r="AO270" s="78"/>
      <c r="AP270" s="78"/>
    </row>
    <row r="271" spans="1:42" ht="14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N271" s="76"/>
      <c r="O271" s="76"/>
      <c r="P271" s="76"/>
      <c r="Q271" s="76"/>
      <c r="AK271" s="77" t="s">
        <v>388</v>
      </c>
      <c r="AL271" s="77" t="s">
        <v>384</v>
      </c>
      <c r="AM271" s="77">
        <v>1</v>
      </c>
      <c r="AN271" s="78"/>
      <c r="AO271" s="78"/>
      <c r="AP271" s="78"/>
    </row>
    <row r="272" spans="1:42" ht="14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N272" s="76"/>
      <c r="O272" s="76"/>
      <c r="P272" s="76"/>
      <c r="Q272" s="76"/>
      <c r="AK272" s="77" t="s">
        <v>389</v>
      </c>
      <c r="AL272" s="77" t="s">
        <v>384</v>
      </c>
      <c r="AM272" s="77">
        <v>1</v>
      </c>
      <c r="AN272" s="78"/>
      <c r="AO272" s="78"/>
      <c r="AP272" s="78"/>
    </row>
    <row r="273" spans="1:42" ht="14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N273" s="76"/>
      <c r="O273" s="76"/>
      <c r="P273" s="76"/>
      <c r="Q273" s="76"/>
      <c r="AK273" s="77" t="s">
        <v>390</v>
      </c>
      <c r="AL273" s="77" t="s">
        <v>384</v>
      </c>
      <c r="AM273" s="77">
        <v>1</v>
      </c>
      <c r="AN273" s="78"/>
      <c r="AO273" s="78"/>
      <c r="AP273" s="78"/>
    </row>
    <row r="274" spans="1:42" ht="1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N274" s="76"/>
      <c r="O274" s="76"/>
      <c r="P274" s="76"/>
      <c r="Q274" s="76"/>
      <c r="AK274" s="77" t="s">
        <v>391</v>
      </c>
      <c r="AL274" s="77" t="s">
        <v>384</v>
      </c>
      <c r="AM274" s="77">
        <v>1</v>
      </c>
      <c r="AN274" s="78"/>
      <c r="AO274" s="78"/>
      <c r="AP274" s="78"/>
    </row>
    <row r="275" spans="1:42" ht="14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N275" s="76"/>
      <c r="O275" s="76"/>
      <c r="P275" s="76"/>
      <c r="Q275" s="76"/>
      <c r="AK275" s="77" t="s">
        <v>392</v>
      </c>
      <c r="AL275" s="77" t="s">
        <v>384</v>
      </c>
      <c r="AM275" s="77">
        <v>1</v>
      </c>
      <c r="AN275" s="78"/>
      <c r="AO275" s="78"/>
      <c r="AP275" s="78"/>
    </row>
    <row r="276" spans="1:42" ht="14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N276" s="76"/>
      <c r="O276" s="76"/>
      <c r="P276" s="76"/>
      <c r="Q276" s="76"/>
      <c r="AK276" s="77" t="s">
        <v>393</v>
      </c>
      <c r="AL276" s="77" t="s">
        <v>149</v>
      </c>
      <c r="AM276" s="77">
        <v>1</v>
      </c>
      <c r="AN276" s="78"/>
      <c r="AO276" s="78"/>
      <c r="AP276" s="78"/>
    </row>
    <row r="277" spans="1:42" ht="14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N277" s="76"/>
      <c r="O277" s="76"/>
      <c r="P277" s="76"/>
      <c r="Q277" s="76"/>
      <c r="AK277" s="77" t="s">
        <v>276</v>
      </c>
      <c r="AL277" s="77" t="s">
        <v>149</v>
      </c>
      <c r="AM277" s="77">
        <v>1</v>
      </c>
      <c r="AN277" s="78"/>
      <c r="AO277" s="78"/>
      <c r="AP277" s="78"/>
    </row>
    <row r="278" spans="1:42" ht="14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N278" s="76"/>
      <c r="O278" s="76"/>
      <c r="P278" s="76"/>
      <c r="Q278" s="76"/>
      <c r="AK278" s="77" t="s">
        <v>394</v>
      </c>
      <c r="AL278" s="77" t="s">
        <v>149</v>
      </c>
      <c r="AM278" s="77">
        <v>1</v>
      </c>
      <c r="AN278" s="78"/>
      <c r="AO278" s="78"/>
      <c r="AP278" s="78"/>
    </row>
    <row r="279" spans="1:42" ht="14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N279" s="76"/>
      <c r="O279" s="76"/>
      <c r="P279" s="76"/>
      <c r="Q279" s="76"/>
      <c r="AK279" s="77" t="s">
        <v>395</v>
      </c>
      <c r="AL279" s="77" t="s">
        <v>149</v>
      </c>
      <c r="AM279" s="77">
        <v>1</v>
      </c>
      <c r="AN279" s="78"/>
      <c r="AO279" s="78"/>
      <c r="AP279" s="78"/>
    </row>
    <row r="280" spans="1:42" ht="14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N280" s="76"/>
      <c r="O280" s="76"/>
      <c r="P280" s="76"/>
      <c r="Q280" s="76"/>
      <c r="AK280" s="77" t="s">
        <v>396</v>
      </c>
      <c r="AL280" s="77" t="s">
        <v>397</v>
      </c>
      <c r="AM280" s="77">
        <v>1</v>
      </c>
      <c r="AN280" s="78"/>
      <c r="AO280" s="78"/>
      <c r="AP280" s="78"/>
    </row>
    <row r="281" spans="1:42" ht="14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N281" s="76"/>
      <c r="O281" s="76"/>
      <c r="P281" s="76"/>
      <c r="Q281" s="76"/>
      <c r="AK281" s="77" t="s">
        <v>398</v>
      </c>
      <c r="AL281" s="77" t="s">
        <v>397</v>
      </c>
      <c r="AM281" s="77">
        <v>1</v>
      </c>
      <c r="AN281" s="78"/>
      <c r="AO281" s="78"/>
      <c r="AP281" s="78"/>
    </row>
    <row r="282" spans="1:42" ht="14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N282" s="76"/>
      <c r="O282" s="76"/>
      <c r="P282" s="76"/>
      <c r="Q282" s="76"/>
      <c r="AK282" s="77" t="s">
        <v>399</v>
      </c>
      <c r="AL282" s="77" t="s">
        <v>397</v>
      </c>
      <c r="AM282" s="77">
        <v>1</v>
      </c>
      <c r="AN282" s="78"/>
      <c r="AO282" s="78"/>
      <c r="AP282" s="78"/>
    </row>
    <row r="283" spans="1:42" ht="14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N283" s="76"/>
      <c r="O283" s="76"/>
      <c r="P283" s="76"/>
      <c r="Q283" s="76"/>
      <c r="AK283" s="77" t="s">
        <v>400</v>
      </c>
      <c r="AL283" s="77" t="s">
        <v>397</v>
      </c>
      <c r="AM283" s="77">
        <v>1</v>
      </c>
      <c r="AN283" s="78"/>
      <c r="AO283" s="78"/>
      <c r="AP283" s="78"/>
    </row>
    <row r="284" spans="1:42" ht="1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N284" s="76"/>
      <c r="O284" s="76"/>
      <c r="P284" s="76"/>
      <c r="Q284" s="76"/>
      <c r="AK284" s="77" t="s">
        <v>401</v>
      </c>
      <c r="AL284" s="77" t="s">
        <v>397</v>
      </c>
      <c r="AM284" s="77">
        <v>1</v>
      </c>
      <c r="AN284" s="78"/>
      <c r="AO284" s="78"/>
      <c r="AP284" s="78"/>
    </row>
    <row r="285" spans="1:42" ht="14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N285" s="76"/>
      <c r="O285" s="76"/>
      <c r="P285" s="76"/>
      <c r="Q285" s="76"/>
      <c r="AK285" s="77" t="s">
        <v>307</v>
      </c>
      <c r="AL285" s="77" t="s">
        <v>397</v>
      </c>
      <c r="AM285" s="77">
        <v>1</v>
      </c>
      <c r="AN285" s="78"/>
      <c r="AO285" s="78"/>
      <c r="AP285" s="78"/>
    </row>
    <row r="286" spans="1:42" ht="14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N286" s="76"/>
      <c r="O286" s="76"/>
      <c r="P286" s="76"/>
      <c r="Q286" s="76"/>
      <c r="AK286" s="77" t="s">
        <v>402</v>
      </c>
      <c r="AL286" s="77" t="s">
        <v>397</v>
      </c>
      <c r="AM286" s="77">
        <v>1</v>
      </c>
      <c r="AN286" s="78"/>
      <c r="AO286" s="78"/>
      <c r="AP286" s="78"/>
    </row>
    <row r="287" spans="1:42" ht="14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N287" s="76"/>
      <c r="O287" s="76"/>
      <c r="P287" s="76"/>
      <c r="Q287" s="76"/>
      <c r="AK287" s="77" t="s">
        <v>403</v>
      </c>
      <c r="AL287" s="77" t="s">
        <v>397</v>
      </c>
      <c r="AM287" s="77">
        <v>1</v>
      </c>
      <c r="AN287" s="78"/>
      <c r="AO287" s="78"/>
      <c r="AP287" s="78"/>
    </row>
    <row r="288" spans="1:42" ht="14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N288" s="76"/>
      <c r="O288" s="76"/>
      <c r="P288" s="76"/>
      <c r="Q288" s="76"/>
      <c r="AK288" s="77" t="s">
        <v>355</v>
      </c>
      <c r="AL288" s="77" t="s">
        <v>404</v>
      </c>
      <c r="AM288" s="77">
        <v>1</v>
      </c>
      <c r="AN288" s="78"/>
      <c r="AO288" s="78"/>
      <c r="AP288" s="78"/>
    </row>
    <row r="289" spans="1:42" ht="14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N289" s="76"/>
      <c r="O289" s="76"/>
      <c r="P289" s="76"/>
      <c r="Q289" s="76"/>
      <c r="AK289" s="77" t="s">
        <v>405</v>
      </c>
      <c r="AL289" s="77" t="s">
        <v>404</v>
      </c>
      <c r="AM289" s="77">
        <v>1</v>
      </c>
      <c r="AN289" s="78"/>
      <c r="AO289" s="78"/>
      <c r="AP289" s="78"/>
    </row>
    <row r="290" spans="1:42" ht="14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N290" s="76"/>
      <c r="O290" s="76"/>
      <c r="P290" s="76"/>
      <c r="Q290" s="76"/>
      <c r="AK290" s="77" t="s">
        <v>406</v>
      </c>
      <c r="AL290" s="77" t="s">
        <v>404</v>
      </c>
      <c r="AM290" s="77">
        <v>1</v>
      </c>
      <c r="AN290" s="78"/>
      <c r="AO290" s="78"/>
      <c r="AP290" s="78"/>
    </row>
    <row r="291" spans="1:42" ht="14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N291" s="76"/>
      <c r="O291" s="76"/>
      <c r="P291" s="76"/>
      <c r="Q291" s="76"/>
      <c r="AK291" s="77" t="s">
        <v>407</v>
      </c>
      <c r="AL291" s="77" t="s">
        <v>404</v>
      </c>
      <c r="AM291" s="77">
        <v>1</v>
      </c>
      <c r="AN291" s="78"/>
      <c r="AO291" s="78"/>
      <c r="AP291" s="78"/>
    </row>
    <row r="292" spans="1:42" ht="14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N292" s="76"/>
      <c r="O292" s="76"/>
      <c r="P292" s="76"/>
      <c r="Q292" s="76"/>
      <c r="AK292" s="77" t="s">
        <v>408</v>
      </c>
      <c r="AL292" s="77" t="s">
        <v>404</v>
      </c>
      <c r="AM292" s="77">
        <v>1</v>
      </c>
      <c r="AN292" s="78"/>
      <c r="AO292" s="78"/>
      <c r="AP292" s="78"/>
    </row>
    <row r="293" spans="1:42" ht="14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N293" s="76"/>
      <c r="O293" s="76"/>
      <c r="P293" s="76"/>
      <c r="Q293" s="76"/>
      <c r="AK293" s="77" t="s">
        <v>409</v>
      </c>
      <c r="AL293" s="77" t="s">
        <v>404</v>
      </c>
      <c r="AM293" s="77">
        <v>1</v>
      </c>
      <c r="AN293" s="78"/>
      <c r="AO293" s="78"/>
      <c r="AP293" s="78"/>
    </row>
    <row r="294" spans="1:42" ht="1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N294" s="76"/>
      <c r="O294" s="76"/>
      <c r="P294" s="76"/>
      <c r="Q294" s="76"/>
      <c r="AK294" s="77" t="s">
        <v>410</v>
      </c>
      <c r="AL294" s="77" t="s">
        <v>404</v>
      </c>
      <c r="AM294" s="77">
        <v>1</v>
      </c>
      <c r="AN294" s="78"/>
      <c r="AO294" s="78"/>
      <c r="AP294" s="78"/>
    </row>
    <row r="295" spans="1:42" ht="14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N295" s="76"/>
      <c r="O295" s="76"/>
      <c r="P295" s="76"/>
      <c r="Q295" s="76"/>
      <c r="AK295" s="77" t="s">
        <v>411</v>
      </c>
      <c r="AL295" s="77" t="s">
        <v>195</v>
      </c>
      <c r="AM295" s="77">
        <v>1</v>
      </c>
      <c r="AN295" s="78"/>
      <c r="AO295" s="78"/>
      <c r="AP295" s="78"/>
    </row>
    <row r="296" spans="1:42" ht="14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N296" s="76"/>
      <c r="O296" s="76"/>
      <c r="P296" s="76"/>
      <c r="Q296" s="76"/>
      <c r="AK296" s="77" t="s">
        <v>412</v>
      </c>
      <c r="AL296" s="77" t="s">
        <v>195</v>
      </c>
      <c r="AM296" s="77">
        <v>1</v>
      </c>
      <c r="AN296" s="78"/>
      <c r="AO296" s="78"/>
      <c r="AP296" s="78"/>
    </row>
    <row r="297" spans="1:42" ht="14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N297" s="76"/>
      <c r="O297" s="76"/>
      <c r="P297" s="76"/>
      <c r="Q297" s="76"/>
      <c r="AK297" s="77" t="s">
        <v>413</v>
      </c>
      <c r="AL297" s="77" t="s">
        <v>195</v>
      </c>
      <c r="AM297" s="77">
        <v>1</v>
      </c>
      <c r="AN297" s="78"/>
      <c r="AO297" s="78"/>
      <c r="AP297" s="78"/>
    </row>
    <row r="298" spans="1:42" ht="14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N298" s="76"/>
      <c r="O298" s="76"/>
      <c r="P298" s="76"/>
      <c r="Q298" s="76"/>
      <c r="AK298" s="77" t="s">
        <v>414</v>
      </c>
      <c r="AL298" s="77" t="s">
        <v>195</v>
      </c>
      <c r="AM298" s="77">
        <v>1</v>
      </c>
      <c r="AN298" s="78"/>
      <c r="AO298" s="78"/>
      <c r="AP298" s="78"/>
    </row>
    <row r="299" spans="1:42" ht="14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N299" s="76"/>
      <c r="O299" s="76"/>
      <c r="P299" s="76"/>
      <c r="Q299" s="76"/>
      <c r="AK299" s="77" t="s">
        <v>415</v>
      </c>
      <c r="AL299" s="77" t="s">
        <v>195</v>
      </c>
      <c r="AM299" s="77">
        <v>1</v>
      </c>
      <c r="AN299" s="78"/>
      <c r="AO299" s="78"/>
      <c r="AP299" s="78"/>
    </row>
    <row r="300" spans="1:42" ht="14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N300" s="76"/>
      <c r="O300" s="76"/>
      <c r="P300" s="76"/>
      <c r="Q300" s="76"/>
      <c r="AK300" s="77" t="s">
        <v>329</v>
      </c>
      <c r="AL300" s="77" t="s">
        <v>197</v>
      </c>
      <c r="AM300" s="77">
        <v>1</v>
      </c>
      <c r="AN300" s="78"/>
      <c r="AO300" s="78"/>
      <c r="AP300" s="78"/>
    </row>
    <row r="301" spans="1:42" ht="14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N301" s="76"/>
      <c r="O301" s="76"/>
      <c r="P301" s="76"/>
      <c r="Q301" s="76"/>
      <c r="AK301" s="77" t="s">
        <v>300</v>
      </c>
      <c r="AL301" s="77" t="s">
        <v>197</v>
      </c>
      <c r="AM301" s="77">
        <v>1</v>
      </c>
      <c r="AN301" s="78"/>
      <c r="AO301" s="78"/>
      <c r="AP301" s="78"/>
    </row>
    <row r="302" spans="1:42" ht="14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N302" s="76"/>
      <c r="O302" s="76"/>
      <c r="P302" s="76"/>
      <c r="Q302" s="76"/>
      <c r="AK302" s="77" t="s">
        <v>416</v>
      </c>
      <c r="AL302" s="77" t="s">
        <v>197</v>
      </c>
      <c r="AM302" s="77">
        <v>1</v>
      </c>
      <c r="AN302" s="78"/>
      <c r="AO302" s="78"/>
      <c r="AP302" s="78"/>
    </row>
    <row r="303" spans="1:42" ht="14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N303" s="76"/>
      <c r="O303" s="76"/>
      <c r="P303" s="76"/>
      <c r="Q303" s="76"/>
      <c r="AK303" s="77" t="s">
        <v>417</v>
      </c>
      <c r="AL303" s="77" t="s">
        <v>197</v>
      </c>
      <c r="AM303" s="77">
        <v>1</v>
      </c>
      <c r="AN303" s="78"/>
      <c r="AO303" s="78"/>
      <c r="AP303" s="78"/>
    </row>
    <row r="304" spans="1:42" ht="1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N304" s="76"/>
      <c r="O304" s="76"/>
      <c r="P304" s="76"/>
      <c r="Q304" s="76"/>
      <c r="AK304" s="77" t="s">
        <v>181</v>
      </c>
      <c r="AL304" s="77" t="s">
        <v>197</v>
      </c>
      <c r="AM304" s="77">
        <v>1</v>
      </c>
      <c r="AN304" s="78"/>
      <c r="AO304" s="78"/>
      <c r="AP304" s="78"/>
    </row>
    <row r="305" spans="1:42" ht="14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N305" s="76"/>
      <c r="O305" s="76"/>
      <c r="P305" s="76"/>
      <c r="Q305" s="76"/>
      <c r="AK305" s="77" t="s">
        <v>418</v>
      </c>
      <c r="AL305" s="77" t="s">
        <v>197</v>
      </c>
      <c r="AM305" s="77">
        <v>1</v>
      </c>
      <c r="AN305" s="78"/>
      <c r="AO305" s="78"/>
      <c r="AP305" s="78"/>
    </row>
    <row r="306" spans="1:42" ht="14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N306" s="76"/>
      <c r="O306" s="76"/>
      <c r="P306" s="76"/>
      <c r="Q306" s="76"/>
      <c r="AK306" s="77" t="s">
        <v>365</v>
      </c>
      <c r="AL306" s="77" t="s">
        <v>197</v>
      </c>
      <c r="AM306" s="77">
        <v>1</v>
      </c>
      <c r="AN306" s="78"/>
      <c r="AO306" s="78"/>
      <c r="AP306" s="78"/>
    </row>
    <row r="307" spans="1:42" ht="14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N307" s="76"/>
      <c r="O307" s="76"/>
      <c r="P307" s="76"/>
      <c r="Q307" s="76"/>
      <c r="AK307" s="77" t="s">
        <v>419</v>
      </c>
      <c r="AL307" s="77" t="s">
        <v>197</v>
      </c>
      <c r="AM307" s="77">
        <v>1</v>
      </c>
      <c r="AN307" s="78"/>
      <c r="AO307" s="78"/>
      <c r="AP307" s="78"/>
    </row>
    <row r="308" spans="1:42" ht="14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N308" s="76"/>
      <c r="O308" s="76"/>
      <c r="P308" s="76"/>
      <c r="Q308" s="76"/>
      <c r="AK308" s="77" t="s">
        <v>420</v>
      </c>
      <c r="AL308" s="77" t="s">
        <v>197</v>
      </c>
      <c r="AM308" s="77">
        <v>1</v>
      </c>
      <c r="AN308" s="78"/>
      <c r="AO308" s="78"/>
      <c r="AP308" s="78"/>
    </row>
    <row r="309" spans="1:42" ht="14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N309" s="76"/>
      <c r="O309" s="76"/>
      <c r="P309" s="76"/>
      <c r="Q309" s="76"/>
      <c r="AK309" s="77" t="s">
        <v>421</v>
      </c>
      <c r="AL309" s="77" t="s">
        <v>197</v>
      </c>
      <c r="AM309" s="77">
        <v>1</v>
      </c>
      <c r="AN309" s="78"/>
      <c r="AO309" s="78"/>
      <c r="AP309" s="78"/>
    </row>
    <row r="310" spans="1:42" ht="14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N310" s="76"/>
      <c r="O310" s="76"/>
      <c r="P310" s="76"/>
      <c r="Q310" s="76"/>
      <c r="AK310" s="77" t="s">
        <v>282</v>
      </c>
      <c r="AL310" s="77" t="s">
        <v>197</v>
      </c>
      <c r="AM310" s="77">
        <v>1</v>
      </c>
      <c r="AN310" s="78"/>
      <c r="AO310" s="78"/>
      <c r="AP310" s="78"/>
    </row>
    <row r="311" spans="1:42" ht="14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N311" s="76"/>
      <c r="O311" s="76"/>
      <c r="P311" s="76"/>
      <c r="Q311" s="76"/>
      <c r="AK311" s="77" t="s">
        <v>422</v>
      </c>
      <c r="AL311" s="77" t="s">
        <v>197</v>
      </c>
      <c r="AM311" s="77">
        <v>1</v>
      </c>
      <c r="AN311" s="78"/>
      <c r="AO311" s="78"/>
      <c r="AP311" s="78"/>
    </row>
    <row r="312" spans="1:42" ht="14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N312" s="76"/>
      <c r="O312" s="76"/>
      <c r="P312" s="76"/>
      <c r="Q312" s="76"/>
      <c r="AK312" s="77" t="s">
        <v>423</v>
      </c>
      <c r="AL312" s="77" t="s">
        <v>197</v>
      </c>
      <c r="AM312" s="77">
        <v>1</v>
      </c>
      <c r="AN312" s="78"/>
      <c r="AO312" s="78"/>
      <c r="AP312" s="78"/>
    </row>
    <row r="313" spans="1:42" ht="14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N313" s="76"/>
      <c r="O313" s="76"/>
      <c r="P313" s="76"/>
      <c r="Q313" s="76"/>
      <c r="AK313" s="77" t="s">
        <v>424</v>
      </c>
      <c r="AL313" s="77" t="s">
        <v>425</v>
      </c>
      <c r="AM313" s="77">
        <v>1</v>
      </c>
      <c r="AN313" s="78"/>
      <c r="AO313" s="78"/>
      <c r="AP313" s="78"/>
    </row>
    <row r="314" spans="1:42" ht="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N314" s="76"/>
      <c r="O314" s="76"/>
      <c r="P314" s="76"/>
      <c r="Q314" s="76"/>
      <c r="AK314" s="77" t="s">
        <v>426</v>
      </c>
      <c r="AL314" s="77" t="s">
        <v>425</v>
      </c>
      <c r="AM314" s="77">
        <v>1</v>
      </c>
      <c r="AN314" s="78"/>
      <c r="AO314" s="78"/>
      <c r="AP314" s="78"/>
    </row>
    <row r="315" spans="1:42" ht="14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N315" s="76"/>
      <c r="O315" s="76"/>
      <c r="P315" s="76"/>
      <c r="Q315" s="76"/>
      <c r="AK315" s="77" t="s">
        <v>427</v>
      </c>
      <c r="AL315" s="77" t="s">
        <v>425</v>
      </c>
      <c r="AM315" s="77">
        <v>1</v>
      </c>
      <c r="AN315" s="78"/>
      <c r="AO315" s="78"/>
      <c r="AP315" s="78"/>
    </row>
    <row r="316" spans="1:42" ht="14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N316" s="76"/>
      <c r="O316" s="76"/>
      <c r="P316" s="76"/>
      <c r="Q316" s="76"/>
      <c r="AK316" s="77" t="s">
        <v>428</v>
      </c>
      <c r="AL316" s="77" t="s">
        <v>425</v>
      </c>
      <c r="AM316" s="77">
        <v>1</v>
      </c>
      <c r="AN316" s="78"/>
      <c r="AO316" s="78"/>
      <c r="AP316" s="78"/>
    </row>
    <row r="317" spans="1:42" ht="14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N317" s="76"/>
      <c r="O317" s="76"/>
      <c r="P317" s="76"/>
      <c r="Q317" s="76"/>
      <c r="AK317" s="77" t="s">
        <v>429</v>
      </c>
      <c r="AL317" s="77" t="s">
        <v>425</v>
      </c>
      <c r="AM317" s="77">
        <v>1</v>
      </c>
      <c r="AN317" s="78"/>
      <c r="AO317" s="78"/>
      <c r="AP317" s="78"/>
    </row>
    <row r="318" spans="1:42" ht="14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N318" s="76"/>
      <c r="O318" s="76"/>
      <c r="P318" s="76"/>
      <c r="Q318" s="76"/>
      <c r="AK318" s="77" t="s">
        <v>430</v>
      </c>
      <c r="AL318" s="77" t="s">
        <v>425</v>
      </c>
      <c r="AM318" s="77">
        <v>1</v>
      </c>
      <c r="AN318" s="78"/>
      <c r="AO318" s="78"/>
      <c r="AP318" s="78"/>
    </row>
    <row r="319" spans="1:42" ht="14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N319" s="76"/>
      <c r="O319" s="76"/>
      <c r="P319" s="76"/>
      <c r="Q319" s="76"/>
      <c r="AK319" s="77" t="s">
        <v>431</v>
      </c>
      <c r="AL319" s="77" t="s">
        <v>425</v>
      </c>
      <c r="AM319" s="77">
        <v>1</v>
      </c>
      <c r="AN319" s="78"/>
      <c r="AO319" s="78"/>
      <c r="AP319" s="78"/>
    </row>
    <row r="320" spans="1:42" ht="14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N320" s="76"/>
      <c r="O320" s="76"/>
      <c r="P320" s="76"/>
      <c r="Q320" s="76"/>
      <c r="AK320" s="77" t="s">
        <v>432</v>
      </c>
      <c r="AL320" s="77" t="s">
        <v>425</v>
      </c>
      <c r="AM320" s="77">
        <v>1</v>
      </c>
      <c r="AN320" s="78"/>
      <c r="AO320" s="78"/>
      <c r="AP320" s="78"/>
    </row>
    <row r="321" spans="1:42" ht="14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N321" s="76"/>
      <c r="O321" s="76"/>
      <c r="P321" s="76"/>
      <c r="Q321" s="76"/>
      <c r="AK321" s="77" t="s">
        <v>433</v>
      </c>
      <c r="AL321" s="77" t="s">
        <v>425</v>
      </c>
      <c r="AM321" s="77">
        <v>1</v>
      </c>
      <c r="AN321" s="78"/>
      <c r="AO321" s="78"/>
      <c r="AP321" s="78"/>
    </row>
    <row r="322" spans="1:42" ht="14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N322" s="76"/>
      <c r="O322" s="76"/>
      <c r="P322" s="76"/>
      <c r="Q322" s="76"/>
      <c r="AK322" s="77" t="s">
        <v>434</v>
      </c>
      <c r="AL322" s="77" t="s">
        <v>435</v>
      </c>
      <c r="AM322" s="77">
        <v>1</v>
      </c>
      <c r="AN322" s="78"/>
      <c r="AO322" s="78"/>
      <c r="AP322" s="78"/>
    </row>
    <row r="323" spans="1:42" ht="14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N323" s="76"/>
      <c r="O323" s="76"/>
      <c r="P323" s="76"/>
      <c r="Q323" s="76"/>
      <c r="AK323" s="77" t="s">
        <v>436</v>
      </c>
      <c r="AL323" s="77" t="s">
        <v>435</v>
      </c>
      <c r="AM323" s="77">
        <v>1</v>
      </c>
      <c r="AN323" s="78"/>
      <c r="AO323" s="78"/>
      <c r="AP323" s="78"/>
    </row>
    <row r="324" spans="1:42" ht="1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N324" s="76"/>
      <c r="O324" s="76"/>
      <c r="P324" s="76"/>
      <c r="Q324" s="76"/>
      <c r="AK324" s="77" t="s">
        <v>437</v>
      </c>
      <c r="AL324" s="77" t="s">
        <v>438</v>
      </c>
      <c r="AM324" s="77">
        <v>1</v>
      </c>
      <c r="AN324" s="78"/>
      <c r="AO324" s="78"/>
      <c r="AP324" s="78"/>
    </row>
    <row r="325" spans="1:42" ht="14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N325" s="76"/>
      <c r="O325" s="76"/>
      <c r="P325" s="76"/>
      <c r="Q325" s="76"/>
      <c r="AK325" s="77" t="s">
        <v>439</v>
      </c>
      <c r="AL325" s="77" t="s">
        <v>438</v>
      </c>
      <c r="AM325" s="77">
        <v>1</v>
      </c>
      <c r="AN325" s="78"/>
      <c r="AO325" s="78"/>
      <c r="AP325" s="78"/>
    </row>
    <row r="326" spans="1:42" ht="14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N326" s="76"/>
      <c r="O326" s="76"/>
      <c r="P326" s="76"/>
      <c r="Q326" s="76"/>
      <c r="AK326" s="77" t="s">
        <v>440</v>
      </c>
      <c r="AL326" s="77" t="s">
        <v>438</v>
      </c>
      <c r="AM326" s="77">
        <v>1</v>
      </c>
      <c r="AN326" s="78"/>
      <c r="AO326" s="78"/>
      <c r="AP326" s="78"/>
    </row>
    <row r="327" spans="1:42" ht="14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N327" s="76"/>
      <c r="O327" s="76"/>
      <c r="P327" s="76"/>
      <c r="Q327" s="76"/>
      <c r="AK327" s="77" t="s">
        <v>441</v>
      </c>
      <c r="AL327" s="77" t="s">
        <v>438</v>
      </c>
      <c r="AM327" s="77">
        <v>1</v>
      </c>
      <c r="AN327" s="78"/>
      <c r="AO327" s="78"/>
      <c r="AP327" s="78"/>
    </row>
    <row r="328" spans="1:42" ht="14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N328" s="76"/>
      <c r="O328" s="76"/>
      <c r="P328" s="76"/>
      <c r="Q328" s="76"/>
      <c r="AK328" s="77" t="s">
        <v>442</v>
      </c>
      <c r="AL328" s="77" t="s">
        <v>438</v>
      </c>
      <c r="AM328" s="77">
        <v>1</v>
      </c>
      <c r="AN328" s="78"/>
      <c r="AO328" s="78"/>
      <c r="AP328" s="78"/>
    </row>
    <row r="329" spans="1:42" ht="14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N329" s="76"/>
      <c r="O329" s="76"/>
      <c r="P329" s="76"/>
      <c r="Q329" s="76"/>
      <c r="AK329" s="77" t="s">
        <v>443</v>
      </c>
      <c r="AL329" s="77" t="s">
        <v>438</v>
      </c>
      <c r="AM329" s="77">
        <v>1</v>
      </c>
      <c r="AN329" s="78"/>
      <c r="AO329" s="78"/>
      <c r="AP329" s="78"/>
    </row>
    <row r="330" spans="1:42" ht="14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N330" s="76"/>
      <c r="O330" s="76"/>
      <c r="P330" s="76"/>
      <c r="Q330" s="76"/>
      <c r="AK330" s="210" t="s">
        <v>444</v>
      </c>
      <c r="AL330" s="197"/>
      <c r="AM330" s="83">
        <f>SUM(AM10:AM329)</f>
        <v>504</v>
      </c>
      <c r="AN330" s="84"/>
      <c r="AO330" s="84"/>
      <c r="AP330" s="84"/>
    </row>
    <row r="331" spans="1:42" ht="14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N331" s="76"/>
      <c r="O331" s="76"/>
      <c r="P331" s="76"/>
      <c r="Q331" s="76"/>
    </row>
    <row r="332" spans="1:42" ht="14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N332" s="76"/>
      <c r="O332" s="76"/>
      <c r="P332" s="76"/>
      <c r="Q332" s="76"/>
    </row>
    <row r="333" spans="1:42" ht="14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N333" s="76"/>
      <c r="O333" s="76"/>
      <c r="P333" s="76"/>
      <c r="Q333" s="76"/>
    </row>
    <row r="334" spans="1:42" ht="1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N334" s="76"/>
      <c r="O334" s="76"/>
      <c r="P334" s="76"/>
      <c r="Q334" s="76"/>
    </row>
    <row r="335" spans="1:42" ht="14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N335" s="76"/>
      <c r="O335" s="76"/>
      <c r="P335" s="76"/>
      <c r="Q335" s="76"/>
    </row>
    <row r="336" spans="1:42" ht="14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N336" s="76"/>
      <c r="O336" s="76"/>
      <c r="P336" s="76"/>
      <c r="Q336" s="76"/>
    </row>
    <row r="337" spans="1:17" ht="14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N337" s="76"/>
      <c r="O337" s="76"/>
      <c r="P337" s="76"/>
      <c r="Q337" s="76"/>
    </row>
    <row r="338" spans="1:17" ht="14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N338" s="76"/>
      <c r="O338" s="76"/>
      <c r="P338" s="76"/>
      <c r="Q338" s="76"/>
    </row>
    <row r="339" spans="1:17" ht="14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N339" s="76"/>
      <c r="O339" s="76"/>
      <c r="P339" s="76"/>
      <c r="Q339" s="76"/>
    </row>
    <row r="340" spans="1:17" ht="14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N340" s="76"/>
      <c r="O340" s="76"/>
      <c r="P340" s="76"/>
      <c r="Q340" s="76"/>
    </row>
    <row r="341" spans="1:17" ht="14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N341" s="76"/>
      <c r="O341" s="76"/>
      <c r="P341" s="76"/>
      <c r="Q341" s="76"/>
    </row>
    <row r="342" spans="1:17" ht="14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N342" s="76"/>
      <c r="O342" s="76"/>
      <c r="P342" s="76"/>
      <c r="Q342" s="76"/>
    </row>
    <row r="343" spans="1:17" ht="14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N343" s="76"/>
      <c r="O343" s="76"/>
      <c r="P343" s="76"/>
      <c r="Q343" s="76"/>
    </row>
    <row r="344" spans="1:17" ht="1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N344" s="76"/>
      <c r="O344" s="76"/>
      <c r="P344" s="76"/>
      <c r="Q344" s="76"/>
    </row>
    <row r="345" spans="1:17" ht="14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N345" s="76"/>
      <c r="O345" s="76"/>
      <c r="P345" s="76"/>
      <c r="Q345" s="76"/>
    </row>
    <row r="346" spans="1:17" ht="14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N346" s="76"/>
      <c r="O346" s="76"/>
      <c r="P346" s="76"/>
      <c r="Q346" s="76"/>
    </row>
    <row r="347" spans="1:17" ht="14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N347" s="76"/>
      <c r="O347" s="76"/>
      <c r="P347" s="76"/>
      <c r="Q347" s="76"/>
    </row>
    <row r="348" spans="1:17" ht="14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N348" s="76"/>
      <c r="O348" s="76"/>
      <c r="P348" s="76"/>
      <c r="Q348" s="76"/>
    </row>
    <row r="349" spans="1:17" ht="14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N349" s="76"/>
      <c r="O349" s="76"/>
      <c r="P349" s="76"/>
      <c r="Q349" s="76"/>
    </row>
    <row r="350" spans="1:17" ht="14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N350" s="76"/>
      <c r="O350" s="76"/>
      <c r="P350" s="76"/>
      <c r="Q350" s="76"/>
    </row>
    <row r="351" spans="1:17" ht="14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N351" s="76"/>
      <c r="O351" s="76"/>
      <c r="P351" s="76"/>
      <c r="Q351" s="76"/>
    </row>
    <row r="352" spans="1:17" ht="14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N352" s="76"/>
      <c r="O352" s="76"/>
      <c r="P352" s="76"/>
      <c r="Q352" s="76"/>
    </row>
    <row r="353" spans="1:17" ht="14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N353" s="76"/>
      <c r="O353" s="76"/>
      <c r="P353" s="76"/>
      <c r="Q353" s="76"/>
    </row>
    <row r="354" spans="1:17" ht="1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N354" s="76"/>
      <c r="O354" s="76"/>
      <c r="P354" s="76"/>
      <c r="Q354" s="76"/>
    </row>
    <row r="355" spans="1:17" ht="14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N355" s="76"/>
      <c r="O355" s="76"/>
      <c r="P355" s="76"/>
      <c r="Q355" s="76"/>
    </row>
    <row r="356" spans="1:17" ht="14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N356" s="76"/>
      <c r="O356" s="76"/>
      <c r="P356" s="76"/>
      <c r="Q356" s="76"/>
    </row>
    <row r="357" spans="1:17" ht="14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N357" s="76"/>
      <c r="O357" s="76"/>
      <c r="P357" s="76"/>
      <c r="Q357" s="76"/>
    </row>
    <row r="358" spans="1:17" ht="14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N358" s="76"/>
      <c r="O358" s="76"/>
      <c r="P358" s="76"/>
      <c r="Q358" s="76"/>
    </row>
    <row r="359" spans="1:17" ht="14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N359" s="76"/>
      <c r="O359" s="76"/>
      <c r="P359" s="76"/>
      <c r="Q359" s="76"/>
    </row>
    <row r="360" spans="1:17" ht="14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N360" s="76"/>
      <c r="O360" s="76"/>
      <c r="P360" s="76"/>
      <c r="Q360" s="76"/>
    </row>
    <row r="361" spans="1:17" ht="14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N361" s="76"/>
      <c r="O361" s="76"/>
      <c r="P361" s="76"/>
      <c r="Q361" s="76"/>
    </row>
    <row r="362" spans="1:17" ht="14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N362" s="76"/>
      <c r="O362" s="76"/>
      <c r="P362" s="76"/>
      <c r="Q362" s="76"/>
    </row>
    <row r="363" spans="1:17" ht="14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N363" s="76"/>
      <c r="O363" s="76"/>
      <c r="P363" s="76"/>
      <c r="Q363" s="76"/>
    </row>
    <row r="364" spans="1:17" ht="1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N364" s="76"/>
      <c r="O364" s="76"/>
      <c r="P364" s="76"/>
      <c r="Q364" s="76"/>
    </row>
    <row r="365" spans="1:17" ht="14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N365" s="76"/>
      <c r="O365" s="76"/>
      <c r="P365" s="76"/>
      <c r="Q365" s="76"/>
    </row>
    <row r="366" spans="1:17" ht="14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N366" s="76"/>
      <c r="O366" s="76"/>
      <c r="P366" s="76"/>
      <c r="Q366" s="76"/>
    </row>
    <row r="367" spans="1:17" ht="14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N367" s="76"/>
      <c r="O367" s="76"/>
      <c r="P367" s="76"/>
      <c r="Q367" s="76"/>
    </row>
    <row r="368" spans="1:17" ht="14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N368" s="76"/>
      <c r="O368" s="76"/>
      <c r="P368" s="76"/>
      <c r="Q368" s="76"/>
    </row>
    <row r="369" spans="1:17" ht="14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N369" s="76"/>
      <c r="O369" s="76"/>
      <c r="P369" s="76"/>
      <c r="Q369" s="76"/>
    </row>
    <row r="370" spans="1:17" ht="14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N370" s="76"/>
      <c r="O370" s="76"/>
      <c r="P370" s="76"/>
      <c r="Q370" s="76"/>
    </row>
    <row r="371" spans="1:17" ht="14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N371" s="76"/>
      <c r="O371" s="76"/>
      <c r="P371" s="76"/>
      <c r="Q371" s="76"/>
    </row>
    <row r="372" spans="1:17" ht="14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N372" s="76"/>
      <c r="O372" s="76"/>
      <c r="P372" s="76"/>
      <c r="Q372" s="76"/>
    </row>
    <row r="373" spans="1:17" ht="14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N373" s="76"/>
      <c r="O373" s="76"/>
      <c r="P373" s="76"/>
      <c r="Q373" s="76"/>
    </row>
    <row r="374" spans="1:17" ht="1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N374" s="76"/>
      <c r="O374" s="76"/>
      <c r="P374" s="76"/>
      <c r="Q374" s="76"/>
    </row>
    <row r="375" spans="1:17" ht="14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N375" s="76"/>
      <c r="O375" s="76"/>
      <c r="P375" s="76"/>
      <c r="Q375" s="76"/>
    </row>
    <row r="376" spans="1:17" ht="14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N376" s="76"/>
      <c r="O376" s="76"/>
      <c r="P376" s="76"/>
      <c r="Q376" s="76"/>
    </row>
    <row r="377" spans="1:17" ht="14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N377" s="76"/>
      <c r="O377" s="76"/>
      <c r="P377" s="76"/>
      <c r="Q377" s="76"/>
    </row>
    <row r="378" spans="1:17" ht="14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N378" s="76"/>
      <c r="O378" s="76"/>
      <c r="P378" s="76"/>
      <c r="Q378" s="76"/>
    </row>
    <row r="379" spans="1:17" ht="14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N379" s="76"/>
      <c r="O379" s="76"/>
      <c r="P379" s="76"/>
      <c r="Q379" s="76"/>
    </row>
    <row r="380" spans="1:17" ht="14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N380" s="76"/>
      <c r="O380" s="76"/>
      <c r="P380" s="76"/>
      <c r="Q380" s="76"/>
    </row>
    <row r="381" spans="1:17" ht="14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N381" s="76"/>
      <c r="O381" s="76"/>
      <c r="P381" s="76"/>
      <c r="Q381" s="76"/>
    </row>
    <row r="382" spans="1:17" ht="14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N382" s="76"/>
      <c r="O382" s="76"/>
      <c r="P382" s="76"/>
      <c r="Q382" s="76"/>
    </row>
    <row r="383" spans="1:17" ht="14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N383" s="76"/>
      <c r="O383" s="76"/>
      <c r="P383" s="76"/>
      <c r="Q383" s="76"/>
    </row>
    <row r="384" spans="1:17" ht="1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N384" s="76"/>
      <c r="O384" s="76"/>
      <c r="P384" s="76"/>
      <c r="Q384" s="76"/>
    </row>
    <row r="385" spans="1:17" ht="14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N385" s="76"/>
      <c r="O385" s="76"/>
      <c r="P385" s="76"/>
      <c r="Q385" s="76"/>
    </row>
    <row r="386" spans="1:17" ht="14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N386" s="76"/>
      <c r="O386" s="76"/>
      <c r="P386" s="76"/>
      <c r="Q386" s="76"/>
    </row>
    <row r="387" spans="1:17" ht="14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N387" s="76"/>
      <c r="O387" s="76"/>
      <c r="P387" s="76"/>
      <c r="Q387" s="76"/>
    </row>
    <row r="388" spans="1:17" ht="14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N388" s="76"/>
      <c r="O388" s="76"/>
      <c r="P388" s="76"/>
      <c r="Q388" s="76"/>
    </row>
    <row r="389" spans="1:17" ht="14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N389" s="76"/>
      <c r="O389" s="76"/>
      <c r="P389" s="76"/>
      <c r="Q389" s="76"/>
    </row>
    <row r="390" spans="1:17" ht="14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N390" s="76"/>
      <c r="O390" s="76"/>
      <c r="P390" s="76"/>
      <c r="Q390" s="76"/>
    </row>
    <row r="391" spans="1:17" ht="14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N391" s="76"/>
      <c r="O391" s="76"/>
      <c r="P391" s="76"/>
      <c r="Q391" s="76"/>
    </row>
    <row r="392" spans="1:17" ht="14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N392" s="76"/>
      <c r="O392" s="76"/>
      <c r="P392" s="76"/>
      <c r="Q392" s="76"/>
    </row>
    <row r="393" spans="1:17" ht="14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N393" s="76"/>
      <c r="O393" s="76"/>
      <c r="P393" s="76"/>
      <c r="Q393" s="76"/>
    </row>
    <row r="394" spans="1:17" ht="1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N394" s="76"/>
      <c r="O394" s="76"/>
      <c r="P394" s="76"/>
      <c r="Q394" s="76"/>
    </row>
    <row r="395" spans="1:17" ht="14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N395" s="76"/>
      <c r="O395" s="76"/>
      <c r="P395" s="76"/>
      <c r="Q395" s="76"/>
    </row>
    <row r="396" spans="1:17" ht="14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N396" s="76"/>
      <c r="O396" s="76"/>
      <c r="P396" s="76"/>
      <c r="Q396" s="76"/>
    </row>
    <row r="397" spans="1:17" ht="14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N397" s="76"/>
      <c r="O397" s="76"/>
      <c r="P397" s="76"/>
      <c r="Q397" s="76"/>
    </row>
    <row r="398" spans="1:17" ht="14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N398" s="76"/>
      <c r="O398" s="76"/>
      <c r="P398" s="76"/>
      <c r="Q398" s="76"/>
    </row>
    <row r="399" spans="1:17" ht="14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N399" s="76"/>
      <c r="O399" s="76"/>
      <c r="P399" s="76"/>
      <c r="Q399" s="76"/>
    </row>
    <row r="400" spans="1:17" ht="14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N400" s="76"/>
      <c r="O400" s="76"/>
      <c r="P400" s="76"/>
      <c r="Q400" s="76"/>
    </row>
    <row r="401" spans="1:17" ht="14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N401" s="76"/>
      <c r="O401" s="76"/>
      <c r="P401" s="76"/>
      <c r="Q401" s="76"/>
    </row>
    <row r="402" spans="1:17" ht="14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N402" s="76"/>
      <c r="O402" s="76"/>
      <c r="P402" s="76"/>
      <c r="Q402" s="76"/>
    </row>
    <row r="403" spans="1:17" ht="14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N403" s="76"/>
      <c r="O403" s="76"/>
      <c r="P403" s="76"/>
      <c r="Q403" s="76"/>
    </row>
    <row r="404" spans="1:17" ht="1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N404" s="76"/>
      <c r="O404" s="76"/>
      <c r="P404" s="76"/>
      <c r="Q404" s="76"/>
    </row>
    <row r="405" spans="1:17" ht="14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N405" s="76"/>
      <c r="O405" s="76"/>
      <c r="P405" s="76"/>
      <c r="Q405" s="76"/>
    </row>
    <row r="406" spans="1:17" ht="14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N406" s="76"/>
      <c r="O406" s="76"/>
      <c r="P406" s="76"/>
      <c r="Q406" s="76"/>
    </row>
    <row r="407" spans="1:17" ht="14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N407" s="76"/>
      <c r="O407" s="76"/>
      <c r="P407" s="76"/>
      <c r="Q407" s="76"/>
    </row>
    <row r="408" spans="1:17" ht="14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N408" s="76"/>
      <c r="O408" s="76"/>
      <c r="P408" s="76"/>
      <c r="Q408" s="76"/>
    </row>
    <row r="409" spans="1:17" ht="14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N409" s="76"/>
      <c r="O409" s="76"/>
      <c r="P409" s="76"/>
      <c r="Q409" s="76"/>
    </row>
    <row r="410" spans="1:17" ht="14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N410" s="76"/>
      <c r="O410" s="76"/>
      <c r="P410" s="76"/>
      <c r="Q410" s="76"/>
    </row>
    <row r="411" spans="1:17" ht="14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N411" s="76"/>
      <c r="O411" s="76"/>
      <c r="P411" s="76"/>
      <c r="Q411" s="76"/>
    </row>
    <row r="412" spans="1:17" ht="14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N412" s="76"/>
      <c r="O412" s="76"/>
      <c r="P412" s="76"/>
      <c r="Q412" s="76"/>
    </row>
    <row r="413" spans="1:17" ht="14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N413" s="76"/>
      <c r="O413" s="76"/>
      <c r="P413" s="76"/>
      <c r="Q413" s="76"/>
    </row>
    <row r="414" spans="1:17" ht="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N414" s="76"/>
      <c r="O414" s="76"/>
      <c r="P414" s="76"/>
      <c r="Q414" s="76"/>
    </row>
    <row r="415" spans="1:17" ht="14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N415" s="76"/>
      <c r="O415" s="76"/>
      <c r="P415" s="76"/>
      <c r="Q415" s="76"/>
    </row>
    <row r="416" spans="1:17" ht="14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N416" s="76"/>
      <c r="O416" s="76"/>
      <c r="P416" s="76"/>
      <c r="Q416" s="76"/>
    </row>
    <row r="417" spans="1:17" ht="14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N417" s="76"/>
      <c r="O417" s="76"/>
      <c r="P417" s="76"/>
      <c r="Q417" s="76"/>
    </row>
    <row r="418" spans="1:17" ht="14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N418" s="76"/>
      <c r="O418" s="76"/>
      <c r="P418" s="76"/>
      <c r="Q418" s="76"/>
    </row>
    <row r="419" spans="1:17" ht="14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N419" s="76"/>
      <c r="O419" s="76"/>
      <c r="P419" s="76"/>
      <c r="Q419" s="76"/>
    </row>
    <row r="420" spans="1:17" ht="14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N420" s="76"/>
      <c r="O420" s="76"/>
      <c r="P420" s="76"/>
      <c r="Q420" s="76"/>
    </row>
    <row r="421" spans="1:17" ht="14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N421" s="76"/>
      <c r="O421" s="76"/>
      <c r="P421" s="76"/>
      <c r="Q421" s="76"/>
    </row>
    <row r="422" spans="1:17" ht="14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N422" s="76"/>
      <c r="O422" s="76"/>
      <c r="P422" s="76"/>
      <c r="Q422" s="76"/>
    </row>
    <row r="423" spans="1:17" ht="14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N423" s="76"/>
      <c r="O423" s="76"/>
      <c r="P423" s="76"/>
      <c r="Q423" s="76"/>
    </row>
    <row r="424" spans="1:17" ht="1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N424" s="76"/>
      <c r="O424" s="76"/>
      <c r="P424" s="76"/>
      <c r="Q424" s="76"/>
    </row>
    <row r="425" spans="1:17" ht="14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N425" s="76"/>
      <c r="O425" s="76"/>
      <c r="P425" s="76"/>
      <c r="Q425" s="76"/>
    </row>
    <row r="426" spans="1:17" ht="14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N426" s="76"/>
      <c r="O426" s="76"/>
      <c r="P426" s="76"/>
      <c r="Q426" s="76"/>
    </row>
    <row r="427" spans="1:17" ht="14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N427" s="76"/>
      <c r="O427" s="76"/>
      <c r="P427" s="76"/>
      <c r="Q427" s="76"/>
    </row>
    <row r="428" spans="1:17" ht="14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N428" s="76"/>
      <c r="O428" s="76"/>
      <c r="P428" s="76"/>
      <c r="Q428" s="76"/>
    </row>
    <row r="429" spans="1:17" ht="14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N429" s="76"/>
      <c r="O429" s="76"/>
      <c r="P429" s="76"/>
      <c r="Q429" s="76"/>
    </row>
    <row r="430" spans="1:17" ht="14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N430" s="76"/>
      <c r="O430" s="76"/>
      <c r="P430" s="76"/>
      <c r="Q430" s="76"/>
    </row>
    <row r="431" spans="1:17" ht="14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N431" s="76"/>
      <c r="O431" s="76"/>
      <c r="P431" s="76"/>
      <c r="Q431" s="76"/>
    </row>
    <row r="432" spans="1:17" ht="14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N432" s="76"/>
      <c r="O432" s="76"/>
      <c r="P432" s="76"/>
      <c r="Q432" s="76"/>
    </row>
    <row r="433" spans="1:17" ht="14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N433" s="76"/>
      <c r="O433" s="76"/>
      <c r="P433" s="76"/>
      <c r="Q433" s="76"/>
    </row>
    <row r="434" spans="1:17" ht="1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N434" s="76"/>
      <c r="O434" s="76"/>
      <c r="P434" s="76"/>
      <c r="Q434" s="76"/>
    </row>
    <row r="435" spans="1:17" ht="14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N435" s="76"/>
      <c r="O435" s="76"/>
      <c r="P435" s="76"/>
      <c r="Q435" s="76"/>
    </row>
    <row r="436" spans="1:17" ht="14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N436" s="76"/>
      <c r="O436" s="76"/>
      <c r="P436" s="76"/>
      <c r="Q436" s="76"/>
    </row>
    <row r="437" spans="1:17" ht="14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N437" s="76"/>
      <c r="O437" s="76"/>
      <c r="P437" s="76"/>
      <c r="Q437" s="76"/>
    </row>
    <row r="438" spans="1:17" ht="14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N438" s="76"/>
      <c r="O438" s="76"/>
      <c r="P438" s="76"/>
      <c r="Q438" s="76"/>
    </row>
    <row r="439" spans="1:17" ht="14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N439" s="76"/>
      <c r="O439" s="76"/>
      <c r="P439" s="76"/>
      <c r="Q439" s="76"/>
    </row>
    <row r="440" spans="1:17" ht="14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N440" s="76"/>
      <c r="O440" s="76"/>
      <c r="P440" s="76"/>
      <c r="Q440" s="76"/>
    </row>
    <row r="441" spans="1:17" ht="14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N441" s="76"/>
      <c r="O441" s="76"/>
      <c r="P441" s="76"/>
      <c r="Q441" s="76"/>
    </row>
    <row r="442" spans="1:17" ht="14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N442" s="76"/>
      <c r="O442" s="76"/>
      <c r="P442" s="76"/>
      <c r="Q442" s="76"/>
    </row>
    <row r="443" spans="1:17" ht="14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N443" s="76"/>
      <c r="O443" s="76"/>
      <c r="P443" s="76"/>
      <c r="Q443" s="76"/>
    </row>
    <row r="444" spans="1:17" ht="1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N444" s="76"/>
      <c r="O444" s="76"/>
      <c r="P444" s="76"/>
      <c r="Q444" s="76"/>
    </row>
    <row r="445" spans="1:17" ht="14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N445" s="76"/>
      <c r="O445" s="76"/>
      <c r="P445" s="76"/>
      <c r="Q445" s="76"/>
    </row>
    <row r="446" spans="1:17" ht="14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N446" s="76"/>
      <c r="O446" s="76"/>
      <c r="P446" s="76"/>
      <c r="Q446" s="76"/>
    </row>
    <row r="447" spans="1:17" ht="14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N447" s="76"/>
      <c r="O447" s="76"/>
      <c r="P447" s="76"/>
      <c r="Q447" s="76"/>
    </row>
    <row r="448" spans="1:17" ht="14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N448" s="76"/>
      <c r="O448" s="76"/>
      <c r="P448" s="76"/>
      <c r="Q448" s="76"/>
    </row>
    <row r="449" spans="1:17" ht="14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N449" s="76"/>
      <c r="O449" s="76"/>
      <c r="P449" s="76"/>
      <c r="Q449" s="76"/>
    </row>
    <row r="450" spans="1:17" ht="14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N450" s="76"/>
      <c r="O450" s="76"/>
      <c r="P450" s="76"/>
      <c r="Q450" s="76"/>
    </row>
    <row r="451" spans="1:17" ht="14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N451" s="76"/>
      <c r="O451" s="76"/>
      <c r="P451" s="76"/>
      <c r="Q451" s="76"/>
    </row>
    <row r="452" spans="1:17" ht="14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N452" s="76"/>
      <c r="O452" s="76"/>
      <c r="P452" s="76"/>
      <c r="Q452" s="76"/>
    </row>
    <row r="453" spans="1:17" ht="14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N453" s="76"/>
      <c r="O453" s="76"/>
      <c r="P453" s="76"/>
      <c r="Q453" s="76"/>
    </row>
    <row r="454" spans="1:17" ht="1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N454" s="76"/>
      <c r="O454" s="76"/>
      <c r="P454" s="76"/>
      <c r="Q454" s="76"/>
    </row>
    <row r="455" spans="1:17" ht="14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N455" s="76"/>
      <c r="O455" s="76"/>
      <c r="P455" s="76"/>
      <c r="Q455" s="76"/>
    </row>
    <row r="456" spans="1:17" ht="14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N456" s="76"/>
      <c r="O456" s="76"/>
      <c r="P456" s="76"/>
      <c r="Q456" s="76"/>
    </row>
    <row r="457" spans="1:17" ht="14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N457" s="76"/>
      <c r="O457" s="76"/>
      <c r="P457" s="76"/>
      <c r="Q457" s="76"/>
    </row>
    <row r="458" spans="1:17" ht="14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N458" s="76"/>
      <c r="O458" s="76"/>
      <c r="P458" s="76"/>
      <c r="Q458" s="76"/>
    </row>
    <row r="459" spans="1:17" ht="14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N459" s="76"/>
      <c r="O459" s="76"/>
      <c r="P459" s="76"/>
      <c r="Q459" s="76"/>
    </row>
    <row r="460" spans="1:17" ht="14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N460" s="76"/>
      <c r="O460" s="76"/>
      <c r="P460" s="76"/>
      <c r="Q460" s="76"/>
    </row>
    <row r="461" spans="1:17" ht="14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N461" s="76"/>
      <c r="O461" s="76"/>
      <c r="P461" s="76"/>
      <c r="Q461" s="76"/>
    </row>
    <row r="462" spans="1:17" ht="14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N462" s="76"/>
      <c r="O462" s="76"/>
      <c r="P462" s="76"/>
      <c r="Q462" s="76"/>
    </row>
    <row r="463" spans="1:17" ht="14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N463" s="76"/>
      <c r="O463" s="76"/>
      <c r="P463" s="76"/>
      <c r="Q463" s="76"/>
    </row>
    <row r="464" spans="1:17" ht="1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N464" s="76"/>
      <c r="O464" s="76"/>
      <c r="P464" s="76"/>
      <c r="Q464" s="76"/>
    </row>
    <row r="465" spans="1:17" ht="14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N465" s="76"/>
      <c r="O465" s="76"/>
      <c r="P465" s="76"/>
      <c r="Q465" s="76"/>
    </row>
    <row r="466" spans="1:17" ht="14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N466" s="76"/>
      <c r="O466" s="76"/>
      <c r="P466" s="76"/>
      <c r="Q466" s="76"/>
    </row>
    <row r="467" spans="1:17" ht="14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N467" s="76"/>
      <c r="O467" s="76"/>
      <c r="P467" s="76"/>
      <c r="Q467" s="76"/>
    </row>
    <row r="468" spans="1:17" ht="14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N468" s="76"/>
      <c r="O468" s="76"/>
      <c r="P468" s="76"/>
      <c r="Q468" s="76"/>
    </row>
    <row r="469" spans="1:17" ht="14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N469" s="76"/>
      <c r="O469" s="76"/>
      <c r="P469" s="76"/>
      <c r="Q469" s="76"/>
    </row>
    <row r="470" spans="1:17" ht="14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N470" s="76"/>
      <c r="O470" s="76"/>
      <c r="P470" s="76"/>
      <c r="Q470" s="76"/>
    </row>
    <row r="471" spans="1:17" ht="14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N471" s="76"/>
      <c r="O471" s="76"/>
      <c r="P471" s="76"/>
      <c r="Q471" s="76"/>
    </row>
    <row r="472" spans="1:17" ht="14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N472" s="76"/>
      <c r="O472" s="76"/>
      <c r="P472" s="76"/>
      <c r="Q472" s="76"/>
    </row>
    <row r="473" spans="1:17" ht="14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N473" s="76"/>
      <c r="O473" s="76"/>
      <c r="P473" s="76"/>
      <c r="Q473" s="76"/>
    </row>
    <row r="474" spans="1:17" ht="1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N474" s="76"/>
      <c r="O474" s="76"/>
      <c r="P474" s="76"/>
      <c r="Q474" s="76"/>
    </row>
    <row r="475" spans="1:17" ht="14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N475" s="76"/>
      <c r="O475" s="76"/>
      <c r="P475" s="76"/>
      <c r="Q475" s="76"/>
    </row>
    <row r="476" spans="1:17" ht="14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N476" s="76"/>
      <c r="O476" s="76"/>
      <c r="P476" s="76"/>
      <c r="Q476" s="76"/>
    </row>
    <row r="477" spans="1:17" ht="14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N477" s="76"/>
      <c r="O477" s="76"/>
      <c r="P477" s="76"/>
      <c r="Q477" s="76"/>
    </row>
    <row r="478" spans="1:17" ht="14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N478" s="76"/>
      <c r="O478" s="76"/>
      <c r="P478" s="76"/>
      <c r="Q478" s="76"/>
    </row>
    <row r="479" spans="1:17" ht="14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N479" s="76"/>
      <c r="O479" s="76"/>
      <c r="P479" s="76"/>
      <c r="Q479" s="76"/>
    </row>
    <row r="480" spans="1:17" ht="14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N480" s="76"/>
      <c r="O480" s="76"/>
      <c r="P480" s="76"/>
      <c r="Q480" s="76"/>
    </row>
    <row r="481" spans="1:17" ht="14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N481" s="76"/>
      <c r="O481" s="76"/>
      <c r="P481" s="76"/>
      <c r="Q481" s="76"/>
    </row>
    <row r="482" spans="1:17" ht="14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N482" s="76"/>
      <c r="O482" s="76"/>
      <c r="P482" s="76"/>
      <c r="Q482" s="76"/>
    </row>
    <row r="483" spans="1:17" ht="14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N483" s="76"/>
      <c r="O483" s="76"/>
      <c r="P483" s="76"/>
      <c r="Q483" s="76"/>
    </row>
    <row r="484" spans="1:17" ht="1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N484" s="76"/>
      <c r="O484" s="76"/>
      <c r="P484" s="76"/>
      <c r="Q484" s="76"/>
    </row>
    <row r="485" spans="1:17" ht="14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N485" s="76"/>
      <c r="O485" s="76"/>
      <c r="P485" s="76"/>
      <c r="Q485" s="76"/>
    </row>
    <row r="486" spans="1:17" ht="14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N486" s="76"/>
      <c r="O486" s="76"/>
      <c r="P486" s="76"/>
      <c r="Q486" s="76"/>
    </row>
    <row r="487" spans="1:17" ht="14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N487" s="76"/>
      <c r="O487" s="76"/>
      <c r="P487" s="76"/>
      <c r="Q487" s="76"/>
    </row>
    <row r="488" spans="1:17" ht="14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N488" s="76"/>
      <c r="O488" s="76"/>
      <c r="P488" s="76"/>
      <c r="Q488" s="76"/>
    </row>
    <row r="489" spans="1:17" ht="14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N489" s="76"/>
      <c r="O489" s="76"/>
      <c r="P489" s="76"/>
      <c r="Q489" s="76"/>
    </row>
    <row r="490" spans="1:17" ht="14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N490" s="76"/>
      <c r="O490" s="76"/>
      <c r="P490" s="76"/>
      <c r="Q490" s="76"/>
    </row>
    <row r="491" spans="1:17" ht="14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N491" s="76"/>
      <c r="O491" s="76"/>
      <c r="P491" s="76"/>
      <c r="Q491" s="76"/>
    </row>
    <row r="492" spans="1:17" ht="14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N492" s="76"/>
      <c r="O492" s="76"/>
      <c r="P492" s="76"/>
      <c r="Q492" s="76"/>
    </row>
    <row r="493" spans="1:17" ht="14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N493" s="76"/>
      <c r="O493" s="76"/>
      <c r="P493" s="76"/>
      <c r="Q493" s="76"/>
    </row>
    <row r="494" spans="1:17" ht="1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N494" s="76"/>
      <c r="O494" s="76"/>
      <c r="P494" s="76"/>
      <c r="Q494" s="76"/>
    </row>
    <row r="495" spans="1:17" ht="14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N495" s="76"/>
      <c r="O495" s="76"/>
      <c r="P495" s="76"/>
      <c r="Q495" s="76"/>
    </row>
    <row r="496" spans="1:17" ht="14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N496" s="76"/>
      <c r="O496" s="76"/>
      <c r="P496" s="76"/>
      <c r="Q496" s="76"/>
    </row>
    <row r="497" spans="1:17" ht="14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N497" s="76"/>
      <c r="O497" s="76"/>
      <c r="P497" s="76"/>
      <c r="Q497" s="76"/>
    </row>
    <row r="498" spans="1:17" ht="14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N498" s="76"/>
      <c r="O498" s="76"/>
      <c r="P498" s="76"/>
      <c r="Q498" s="76"/>
    </row>
    <row r="499" spans="1:17" ht="14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N499" s="76"/>
      <c r="O499" s="76"/>
      <c r="P499" s="76"/>
      <c r="Q499" s="76"/>
    </row>
    <row r="500" spans="1:17" ht="14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N500" s="76"/>
      <c r="O500" s="76"/>
      <c r="P500" s="76"/>
      <c r="Q500" s="76"/>
    </row>
    <row r="501" spans="1:17" ht="14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N501" s="76"/>
      <c r="O501" s="76"/>
      <c r="P501" s="76"/>
      <c r="Q501" s="76"/>
    </row>
    <row r="502" spans="1:17" ht="14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N502" s="76"/>
      <c r="O502" s="76"/>
      <c r="P502" s="76"/>
      <c r="Q502" s="76"/>
    </row>
    <row r="503" spans="1:17" ht="14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N503" s="76"/>
      <c r="O503" s="76"/>
      <c r="P503" s="76"/>
      <c r="Q503" s="76"/>
    </row>
    <row r="504" spans="1:17" ht="1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N504" s="76"/>
      <c r="O504" s="76"/>
      <c r="P504" s="76"/>
      <c r="Q504" s="76"/>
    </row>
    <row r="505" spans="1:17" ht="14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N505" s="76"/>
      <c r="O505" s="76"/>
      <c r="P505" s="76"/>
      <c r="Q505" s="76"/>
    </row>
    <row r="506" spans="1:17" ht="14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N506" s="76"/>
      <c r="O506" s="76"/>
      <c r="P506" s="76"/>
      <c r="Q506" s="76"/>
    </row>
    <row r="507" spans="1:17" ht="14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N507" s="76"/>
      <c r="O507" s="76"/>
      <c r="P507" s="76"/>
      <c r="Q507" s="76"/>
    </row>
    <row r="508" spans="1:17" ht="14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N508" s="76"/>
      <c r="O508" s="76"/>
      <c r="P508" s="76"/>
      <c r="Q508" s="76"/>
    </row>
    <row r="509" spans="1:17" ht="14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N509" s="76"/>
      <c r="O509" s="76"/>
      <c r="P509" s="76"/>
      <c r="Q509" s="76"/>
    </row>
    <row r="510" spans="1:17" ht="14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N510" s="76"/>
      <c r="O510" s="76"/>
      <c r="P510" s="76"/>
      <c r="Q510" s="76"/>
    </row>
    <row r="511" spans="1:17" ht="14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N511" s="76"/>
      <c r="O511" s="76"/>
      <c r="P511" s="76"/>
      <c r="Q511" s="76"/>
    </row>
    <row r="512" spans="1:17" ht="14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N512" s="76"/>
      <c r="O512" s="76"/>
      <c r="P512" s="76"/>
      <c r="Q512" s="76"/>
    </row>
    <row r="513" spans="1:17" ht="14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N513" s="76"/>
      <c r="O513" s="76"/>
      <c r="P513" s="76"/>
      <c r="Q513" s="76"/>
    </row>
    <row r="514" spans="1:17" ht="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N514" s="76"/>
      <c r="O514" s="76"/>
      <c r="P514" s="76"/>
      <c r="Q514" s="76"/>
    </row>
    <row r="515" spans="1:17" ht="14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N515" s="76"/>
      <c r="O515" s="76"/>
      <c r="P515" s="76"/>
      <c r="Q515" s="76"/>
    </row>
    <row r="516" spans="1:17" ht="14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N516" s="76"/>
      <c r="O516" s="76"/>
      <c r="P516" s="76"/>
      <c r="Q516" s="76"/>
    </row>
    <row r="517" spans="1:17" ht="14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N517" s="76"/>
      <c r="O517" s="76"/>
      <c r="P517" s="76"/>
      <c r="Q517" s="76"/>
    </row>
    <row r="518" spans="1:17" ht="14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N518" s="76"/>
      <c r="O518" s="76"/>
      <c r="P518" s="76"/>
      <c r="Q518" s="76"/>
    </row>
    <row r="519" spans="1:17" ht="14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N519" s="76"/>
      <c r="O519" s="76"/>
      <c r="P519" s="76"/>
      <c r="Q519" s="76"/>
    </row>
    <row r="520" spans="1:17" ht="14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N520" s="76"/>
      <c r="O520" s="76"/>
      <c r="P520" s="76"/>
      <c r="Q520" s="76"/>
    </row>
    <row r="521" spans="1:17" ht="14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N521" s="76"/>
      <c r="O521" s="76"/>
      <c r="P521" s="76"/>
      <c r="Q521" s="76"/>
    </row>
    <row r="522" spans="1:17" ht="14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N522" s="76"/>
      <c r="O522" s="76"/>
      <c r="P522" s="76"/>
      <c r="Q522" s="76"/>
    </row>
    <row r="523" spans="1:17" ht="14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N523" s="76"/>
      <c r="O523" s="76"/>
      <c r="P523" s="76"/>
      <c r="Q523" s="76"/>
    </row>
    <row r="524" spans="1:17" ht="1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N524" s="76"/>
      <c r="O524" s="76"/>
      <c r="P524" s="76"/>
      <c r="Q524" s="76"/>
    </row>
    <row r="525" spans="1:17" ht="14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N525" s="76"/>
      <c r="O525" s="76"/>
      <c r="P525" s="76"/>
      <c r="Q525" s="76"/>
    </row>
    <row r="526" spans="1:17" ht="14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N526" s="76"/>
      <c r="O526" s="76"/>
      <c r="P526" s="76"/>
      <c r="Q526" s="76"/>
    </row>
    <row r="527" spans="1:17" ht="14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N527" s="76"/>
      <c r="O527" s="76"/>
      <c r="P527" s="76"/>
      <c r="Q527" s="76"/>
    </row>
    <row r="528" spans="1:17" ht="14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N528" s="76"/>
      <c r="O528" s="76"/>
      <c r="P528" s="76"/>
      <c r="Q528" s="76"/>
    </row>
    <row r="529" spans="1:17" ht="14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N529" s="76"/>
      <c r="O529" s="76"/>
      <c r="P529" s="76"/>
      <c r="Q529" s="76"/>
    </row>
    <row r="530" spans="1:17" ht="14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N530" s="76"/>
      <c r="O530" s="76"/>
      <c r="P530" s="76"/>
      <c r="Q530" s="76"/>
    </row>
    <row r="531" spans="1:17" ht="14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N531" s="76"/>
      <c r="O531" s="76"/>
      <c r="P531" s="76"/>
      <c r="Q531" s="76"/>
    </row>
    <row r="532" spans="1:17" ht="14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N532" s="76"/>
      <c r="O532" s="76"/>
      <c r="P532" s="76"/>
      <c r="Q532" s="76"/>
    </row>
    <row r="533" spans="1:17" ht="14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N533" s="76"/>
      <c r="O533" s="76"/>
      <c r="P533" s="76"/>
      <c r="Q533" s="76"/>
    </row>
    <row r="534" spans="1:17" ht="1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N534" s="76"/>
      <c r="O534" s="76"/>
      <c r="P534" s="76"/>
      <c r="Q534" s="76"/>
    </row>
    <row r="535" spans="1:17" ht="14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N535" s="76"/>
      <c r="O535" s="76"/>
      <c r="P535" s="76"/>
      <c r="Q535" s="76"/>
    </row>
    <row r="536" spans="1:17" ht="14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N536" s="76"/>
      <c r="O536" s="76"/>
      <c r="P536" s="76"/>
      <c r="Q536" s="76"/>
    </row>
    <row r="537" spans="1:17" ht="14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N537" s="76"/>
      <c r="O537" s="76"/>
      <c r="P537" s="76"/>
      <c r="Q537" s="76"/>
    </row>
    <row r="538" spans="1:17" ht="14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N538" s="76"/>
      <c r="O538" s="76"/>
      <c r="P538" s="76"/>
      <c r="Q538" s="76"/>
    </row>
    <row r="539" spans="1:17" ht="14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N539" s="76"/>
      <c r="O539" s="76"/>
      <c r="P539" s="76"/>
      <c r="Q539" s="76"/>
    </row>
    <row r="540" spans="1:17" ht="14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N540" s="76"/>
      <c r="O540" s="76"/>
      <c r="P540" s="76"/>
      <c r="Q540" s="76"/>
    </row>
    <row r="541" spans="1:17" ht="14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N541" s="76"/>
      <c r="O541" s="76"/>
      <c r="P541" s="76"/>
      <c r="Q541" s="76"/>
    </row>
    <row r="542" spans="1:17" ht="14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N542" s="76"/>
      <c r="O542" s="76"/>
      <c r="P542" s="76"/>
      <c r="Q542" s="76"/>
    </row>
    <row r="543" spans="1:17" ht="14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N543" s="76"/>
      <c r="O543" s="76"/>
      <c r="P543" s="76"/>
      <c r="Q543" s="76"/>
    </row>
    <row r="544" spans="1:17" ht="1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N544" s="76"/>
      <c r="O544" s="76"/>
      <c r="P544" s="76"/>
      <c r="Q544" s="76"/>
    </row>
    <row r="545" spans="1:17" ht="14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N545" s="76"/>
      <c r="O545" s="76"/>
      <c r="P545" s="76"/>
      <c r="Q545" s="76"/>
    </row>
    <row r="546" spans="1:17" ht="14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N546" s="76"/>
      <c r="O546" s="76"/>
      <c r="P546" s="76"/>
      <c r="Q546" s="76"/>
    </row>
    <row r="547" spans="1:17" ht="14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N547" s="76"/>
      <c r="O547" s="76"/>
      <c r="P547" s="76"/>
      <c r="Q547" s="76"/>
    </row>
    <row r="548" spans="1:17" ht="14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N548" s="76"/>
      <c r="O548" s="76"/>
      <c r="P548" s="76"/>
      <c r="Q548" s="76"/>
    </row>
    <row r="549" spans="1:17" ht="14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N549" s="76"/>
      <c r="O549" s="76"/>
      <c r="P549" s="76"/>
      <c r="Q549" s="76"/>
    </row>
    <row r="550" spans="1:17" ht="14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N550" s="76"/>
      <c r="O550" s="76"/>
      <c r="P550" s="76"/>
      <c r="Q550" s="76"/>
    </row>
    <row r="551" spans="1:17" ht="14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N551" s="76"/>
      <c r="O551" s="76"/>
      <c r="P551" s="76"/>
      <c r="Q551" s="76"/>
    </row>
    <row r="552" spans="1:17" ht="14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N552" s="76"/>
      <c r="O552" s="76"/>
      <c r="P552" s="76"/>
      <c r="Q552" s="76"/>
    </row>
    <row r="553" spans="1:17" ht="14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N553" s="76"/>
      <c r="O553" s="76"/>
      <c r="P553" s="76"/>
      <c r="Q553" s="76"/>
    </row>
    <row r="554" spans="1:17" ht="1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N554" s="76"/>
      <c r="O554" s="76"/>
      <c r="P554" s="76"/>
      <c r="Q554" s="76"/>
    </row>
    <row r="555" spans="1:17" ht="14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N555" s="76"/>
      <c r="O555" s="76"/>
      <c r="P555" s="76"/>
      <c r="Q555" s="76"/>
    </row>
    <row r="556" spans="1:17" ht="14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N556" s="76"/>
      <c r="O556" s="76"/>
      <c r="P556" s="76"/>
      <c r="Q556" s="76"/>
    </row>
    <row r="557" spans="1:17" ht="14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N557" s="76"/>
      <c r="O557" s="76"/>
      <c r="P557" s="76"/>
      <c r="Q557" s="76"/>
    </row>
    <row r="558" spans="1:17" ht="14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N558" s="76"/>
      <c r="O558" s="76"/>
      <c r="P558" s="76"/>
      <c r="Q558" s="76"/>
    </row>
    <row r="559" spans="1:17" ht="14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N559" s="76"/>
      <c r="O559" s="76"/>
      <c r="P559" s="76"/>
      <c r="Q559" s="76"/>
    </row>
    <row r="560" spans="1:17" ht="14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N560" s="76"/>
      <c r="O560" s="76"/>
      <c r="P560" s="76"/>
      <c r="Q560" s="76"/>
    </row>
    <row r="561" spans="1:17" ht="14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N561" s="76"/>
      <c r="O561" s="76"/>
      <c r="P561" s="76"/>
      <c r="Q561" s="76"/>
    </row>
    <row r="562" spans="1:17" ht="14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N562" s="76"/>
      <c r="O562" s="76"/>
      <c r="P562" s="76"/>
      <c r="Q562" s="76"/>
    </row>
    <row r="563" spans="1:17" ht="14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N563" s="76"/>
      <c r="O563" s="76"/>
      <c r="P563" s="76"/>
      <c r="Q563" s="76"/>
    </row>
    <row r="564" spans="1:17" ht="1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N564" s="76"/>
      <c r="O564" s="76"/>
      <c r="P564" s="76"/>
      <c r="Q564" s="76"/>
    </row>
    <row r="565" spans="1:17" ht="14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N565" s="76"/>
      <c r="O565" s="76"/>
      <c r="P565" s="76"/>
      <c r="Q565" s="76"/>
    </row>
    <row r="566" spans="1:17" ht="14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N566" s="76"/>
      <c r="O566" s="76"/>
      <c r="P566" s="76"/>
      <c r="Q566" s="76"/>
    </row>
    <row r="567" spans="1:17" ht="14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N567" s="76"/>
      <c r="O567" s="76"/>
      <c r="P567" s="76"/>
      <c r="Q567" s="76"/>
    </row>
    <row r="568" spans="1:17" ht="14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N568" s="76"/>
      <c r="O568" s="76"/>
      <c r="P568" s="76"/>
      <c r="Q568" s="76"/>
    </row>
    <row r="569" spans="1:17" ht="14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N569" s="76"/>
      <c r="O569" s="76"/>
      <c r="P569" s="76"/>
      <c r="Q569" s="76"/>
    </row>
    <row r="570" spans="1:17" ht="14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N570" s="76"/>
      <c r="O570" s="76"/>
      <c r="P570" s="76"/>
      <c r="Q570" s="76"/>
    </row>
    <row r="571" spans="1:17" ht="14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N571" s="76"/>
      <c r="O571" s="76"/>
      <c r="P571" s="76"/>
      <c r="Q571" s="76"/>
    </row>
    <row r="572" spans="1:17" ht="14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N572" s="76"/>
      <c r="O572" s="76"/>
      <c r="P572" s="76"/>
      <c r="Q572" s="76"/>
    </row>
    <row r="573" spans="1:17" ht="14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N573" s="76"/>
      <c r="O573" s="76"/>
      <c r="P573" s="76"/>
      <c r="Q573" s="76"/>
    </row>
    <row r="574" spans="1:17" ht="1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N574" s="76"/>
      <c r="O574" s="76"/>
      <c r="P574" s="76"/>
      <c r="Q574" s="76"/>
    </row>
    <row r="575" spans="1:17" ht="14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N575" s="76"/>
      <c r="O575" s="76"/>
      <c r="P575" s="76"/>
      <c r="Q575" s="76"/>
    </row>
    <row r="576" spans="1:17" ht="14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N576" s="76"/>
      <c r="O576" s="76"/>
      <c r="P576" s="76"/>
      <c r="Q576" s="76"/>
    </row>
    <row r="577" spans="1:17" ht="14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N577" s="76"/>
      <c r="O577" s="76"/>
      <c r="P577" s="76"/>
      <c r="Q577" s="76"/>
    </row>
    <row r="578" spans="1:17" ht="14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N578" s="76"/>
      <c r="O578" s="76"/>
      <c r="P578" s="76"/>
      <c r="Q578" s="76"/>
    </row>
    <row r="579" spans="1:17" ht="14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N579" s="76"/>
      <c r="O579" s="76"/>
      <c r="P579" s="76"/>
      <c r="Q579" s="76"/>
    </row>
    <row r="580" spans="1:17" ht="14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N580" s="76"/>
      <c r="O580" s="76"/>
      <c r="P580" s="76"/>
      <c r="Q580" s="76"/>
    </row>
    <row r="581" spans="1:17" ht="14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N581" s="76"/>
      <c r="O581" s="76"/>
      <c r="P581" s="76"/>
      <c r="Q581" s="76"/>
    </row>
    <row r="582" spans="1:17" ht="14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N582" s="76"/>
      <c r="O582" s="76"/>
      <c r="P582" s="76"/>
      <c r="Q582" s="76"/>
    </row>
    <row r="583" spans="1:17" ht="14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N583" s="76"/>
      <c r="O583" s="76"/>
      <c r="P583" s="76"/>
      <c r="Q583" s="76"/>
    </row>
    <row r="584" spans="1:17" ht="1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N584" s="76"/>
      <c r="O584" s="76"/>
      <c r="P584" s="76"/>
      <c r="Q584" s="76"/>
    </row>
    <row r="585" spans="1:17" ht="14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N585" s="76"/>
      <c r="O585" s="76"/>
      <c r="P585" s="76"/>
      <c r="Q585" s="76"/>
    </row>
    <row r="586" spans="1:17" ht="14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N586" s="76"/>
      <c r="O586" s="76"/>
      <c r="P586" s="76"/>
      <c r="Q586" s="76"/>
    </row>
    <row r="587" spans="1:17" ht="14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N587" s="76"/>
      <c r="O587" s="76"/>
      <c r="P587" s="76"/>
      <c r="Q587" s="76"/>
    </row>
    <row r="588" spans="1:17" ht="14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N588" s="76"/>
      <c r="O588" s="76"/>
      <c r="P588" s="76"/>
      <c r="Q588" s="76"/>
    </row>
    <row r="589" spans="1:17" ht="14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N589" s="76"/>
      <c r="O589" s="76"/>
      <c r="P589" s="76"/>
      <c r="Q589" s="76"/>
    </row>
    <row r="590" spans="1:17" ht="14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N590" s="76"/>
      <c r="O590" s="76"/>
      <c r="P590" s="76"/>
      <c r="Q590" s="76"/>
    </row>
    <row r="591" spans="1:17" ht="14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N591" s="76"/>
      <c r="O591" s="76"/>
      <c r="P591" s="76"/>
      <c r="Q591" s="76"/>
    </row>
    <row r="592" spans="1:17" ht="14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N592" s="76"/>
      <c r="O592" s="76"/>
      <c r="P592" s="76"/>
      <c r="Q592" s="76"/>
    </row>
    <row r="593" spans="1:17" ht="14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N593" s="76"/>
      <c r="O593" s="76"/>
      <c r="P593" s="76"/>
      <c r="Q593" s="76"/>
    </row>
    <row r="594" spans="1:17" ht="1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N594" s="76"/>
      <c r="O594" s="76"/>
      <c r="P594" s="76"/>
      <c r="Q594" s="76"/>
    </row>
    <row r="595" spans="1:17" ht="14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N595" s="76"/>
      <c r="O595" s="76"/>
      <c r="P595" s="76"/>
      <c r="Q595" s="76"/>
    </row>
    <row r="596" spans="1:17" ht="14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N596" s="76"/>
      <c r="O596" s="76"/>
      <c r="P596" s="76"/>
      <c r="Q596" s="76"/>
    </row>
    <row r="597" spans="1:17" ht="14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N597" s="76"/>
      <c r="O597" s="76"/>
      <c r="P597" s="76"/>
      <c r="Q597" s="76"/>
    </row>
    <row r="598" spans="1:17" ht="14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N598" s="76"/>
      <c r="O598" s="76"/>
      <c r="P598" s="76"/>
      <c r="Q598" s="76"/>
    </row>
    <row r="599" spans="1:17" ht="14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N599" s="76"/>
      <c r="O599" s="76"/>
      <c r="P599" s="76"/>
      <c r="Q599" s="76"/>
    </row>
    <row r="600" spans="1:17" ht="14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N600" s="76"/>
      <c r="O600" s="76"/>
      <c r="P600" s="76"/>
      <c r="Q600" s="76"/>
    </row>
    <row r="601" spans="1:17" ht="14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N601" s="76"/>
      <c r="O601" s="76"/>
      <c r="P601" s="76"/>
      <c r="Q601" s="76"/>
    </row>
    <row r="602" spans="1:17" ht="14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N602" s="76"/>
      <c r="O602" s="76"/>
      <c r="P602" s="76"/>
      <c r="Q602" s="76"/>
    </row>
    <row r="603" spans="1:17" ht="14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N603" s="76"/>
      <c r="O603" s="76"/>
      <c r="P603" s="76"/>
      <c r="Q603" s="76"/>
    </row>
    <row r="604" spans="1:17" ht="1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N604" s="76"/>
      <c r="O604" s="76"/>
      <c r="P604" s="76"/>
      <c r="Q604" s="76"/>
    </row>
    <row r="605" spans="1:17" ht="14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N605" s="76"/>
      <c r="O605" s="76"/>
      <c r="P605" s="76"/>
      <c r="Q605" s="76"/>
    </row>
    <row r="606" spans="1:17" ht="14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N606" s="76"/>
      <c r="O606" s="76"/>
      <c r="P606" s="76"/>
      <c r="Q606" s="76"/>
    </row>
    <row r="607" spans="1:17" ht="14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N607" s="76"/>
      <c r="O607" s="76"/>
      <c r="P607" s="76"/>
      <c r="Q607" s="76"/>
    </row>
    <row r="608" spans="1:17" ht="14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N608" s="76"/>
      <c r="O608" s="76"/>
      <c r="P608" s="76"/>
      <c r="Q608" s="76"/>
    </row>
    <row r="609" spans="1:17" ht="14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N609" s="76"/>
      <c r="O609" s="76"/>
      <c r="P609" s="76"/>
      <c r="Q609" s="76"/>
    </row>
    <row r="610" spans="1:17" ht="14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N610" s="76"/>
      <c r="O610" s="76"/>
      <c r="P610" s="76"/>
      <c r="Q610" s="76"/>
    </row>
    <row r="611" spans="1:17" ht="14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N611" s="76"/>
      <c r="O611" s="76"/>
      <c r="P611" s="76"/>
      <c r="Q611" s="76"/>
    </row>
    <row r="612" spans="1:17" ht="14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N612" s="76"/>
      <c r="O612" s="76"/>
      <c r="P612" s="76"/>
      <c r="Q612" s="76"/>
    </row>
    <row r="613" spans="1:17" ht="14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N613" s="76"/>
      <c r="O613" s="76"/>
      <c r="P613" s="76"/>
      <c r="Q613" s="76"/>
    </row>
    <row r="614" spans="1:17" ht="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N614" s="76"/>
      <c r="O614" s="76"/>
      <c r="P614" s="76"/>
      <c r="Q614" s="76"/>
    </row>
    <row r="615" spans="1:17" ht="14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N615" s="76"/>
      <c r="O615" s="76"/>
      <c r="P615" s="76"/>
      <c r="Q615" s="76"/>
    </row>
    <row r="616" spans="1:17" ht="14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N616" s="76"/>
      <c r="O616" s="76"/>
      <c r="P616" s="76"/>
      <c r="Q616" s="76"/>
    </row>
    <row r="617" spans="1:17" ht="14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N617" s="76"/>
      <c r="O617" s="76"/>
      <c r="P617" s="76"/>
      <c r="Q617" s="76"/>
    </row>
    <row r="618" spans="1:17" ht="14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N618" s="76"/>
      <c r="O618" s="76"/>
      <c r="P618" s="76"/>
      <c r="Q618" s="76"/>
    </row>
    <row r="619" spans="1:17" ht="14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N619" s="76"/>
      <c r="O619" s="76"/>
      <c r="P619" s="76"/>
      <c r="Q619" s="76"/>
    </row>
    <row r="620" spans="1:17" ht="14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N620" s="76"/>
      <c r="O620" s="76"/>
      <c r="P620" s="76"/>
      <c r="Q620" s="76"/>
    </row>
    <row r="621" spans="1:17" ht="14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N621" s="76"/>
      <c r="O621" s="76"/>
      <c r="P621" s="76"/>
      <c r="Q621" s="76"/>
    </row>
    <row r="622" spans="1:17" ht="14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N622" s="76"/>
      <c r="O622" s="76"/>
      <c r="P622" s="76"/>
      <c r="Q622" s="76"/>
    </row>
    <row r="623" spans="1:17" ht="14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N623" s="76"/>
      <c r="O623" s="76"/>
      <c r="P623" s="76"/>
      <c r="Q623" s="76"/>
    </row>
    <row r="624" spans="1:17" ht="1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N624" s="76"/>
      <c r="O624" s="76"/>
      <c r="P624" s="76"/>
      <c r="Q624" s="76"/>
    </row>
    <row r="625" spans="1:17" ht="14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N625" s="76"/>
      <c r="O625" s="76"/>
      <c r="P625" s="76"/>
      <c r="Q625" s="76"/>
    </row>
    <row r="626" spans="1:17" ht="14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N626" s="76"/>
      <c r="O626" s="76"/>
      <c r="P626" s="76"/>
      <c r="Q626" s="76"/>
    </row>
    <row r="627" spans="1:17" ht="14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N627" s="76"/>
      <c r="O627" s="76"/>
      <c r="P627" s="76"/>
      <c r="Q627" s="76"/>
    </row>
    <row r="628" spans="1:17" ht="14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N628" s="76"/>
      <c r="O628" s="76"/>
      <c r="P628" s="76"/>
      <c r="Q628" s="76"/>
    </row>
    <row r="629" spans="1:17" ht="14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N629" s="76"/>
      <c r="O629" s="76"/>
      <c r="P629" s="76"/>
      <c r="Q629" s="76"/>
    </row>
    <row r="630" spans="1:17" ht="14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N630" s="76"/>
      <c r="O630" s="76"/>
      <c r="P630" s="76"/>
      <c r="Q630" s="76"/>
    </row>
    <row r="631" spans="1:17" ht="14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N631" s="76"/>
      <c r="O631" s="76"/>
      <c r="P631" s="76"/>
      <c r="Q631" s="76"/>
    </row>
    <row r="632" spans="1:17" ht="14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N632" s="76"/>
      <c r="O632" s="76"/>
      <c r="P632" s="76"/>
      <c r="Q632" s="76"/>
    </row>
    <row r="633" spans="1:17" ht="14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N633" s="76"/>
      <c r="O633" s="76"/>
      <c r="P633" s="76"/>
      <c r="Q633" s="76"/>
    </row>
    <row r="634" spans="1:17" ht="1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N634" s="76"/>
      <c r="O634" s="76"/>
      <c r="P634" s="76"/>
      <c r="Q634" s="76"/>
    </row>
    <row r="635" spans="1:17" ht="14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N635" s="76"/>
      <c r="O635" s="76"/>
      <c r="P635" s="76"/>
      <c r="Q635" s="76"/>
    </row>
    <row r="636" spans="1:17" ht="14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N636" s="76"/>
      <c r="O636" s="76"/>
      <c r="P636" s="76"/>
      <c r="Q636" s="76"/>
    </row>
    <row r="637" spans="1:17" ht="14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N637" s="76"/>
      <c r="O637" s="76"/>
      <c r="P637" s="76"/>
      <c r="Q637" s="76"/>
    </row>
    <row r="638" spans="1:17" ht="14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N638" s="76"/>
      <c r="O638" s="76"/>
      <c r="P638" s="76"/>
      <c r="Q638" s="76"/>
    </row>
    <row r="639" spans="1:17" ht="14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N639" s="76"/>
      <c r="O639" s="76"/>
      <c r="P639" s="76"/>
      <c r="Q639" s="76"/>
    </row>
    <row r="640" spans="1:17" ht="14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N640" s="76"/>
      <c r="O640" s="76"/>
      <c r="P640" s="76"/>
      <c r="Q640" s="76"/>
    </row>
    <row r="641" spans="1:17" ht="14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N641" s="76"/>
      <c r="O641" s="76"/>
      <c r="P641" s="76"/>
      <c r="Q641" s="76"/>
    </row>
    <row r="642" spans="1:17" ht="14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N642" s="76"/>
      <c r="O642" s="76"/>
      <c r="P642" s="76"/>
      <c r="Q642" s="76"/>
    </row>
    <row r="643" spans="1:17" ht="14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N643" s="76"/>
      <c r="O643" s="76"/>
      <c r="P643" s="76"/>
      <c r="Q643" s="76"/>
    </row>
    <row r="644" spans="1:17" ht="1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N644" s="76"/>
      <c r="O644" s="76"/>
      <c r="P644" s="76"/>
      <c r="Q644" s="76"/>
    </row>
    <row r="645" spans="1:17" ht="14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N645" s="76"/>
      <c r="O645" s="76"/>
      <c r="P645" s="76"/>
      <c r="Q645" s="76"/>
    </row>
    <row r="646" spans="1:17" ht="14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N646" s="76"/>
      <c r="O646" s="76"/>
      <c r="P646" s="76"/>
      <c r="Q646" s="76"/>
    </row>
    <row r="647" spans="1:17" ht="14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N647" s="76"/>
      <c r="O647" s="76"/>
      <c r="P647" s="76"/>
      <c r="Q647" s="76"/>
    </row>
    <row r="648" spans="1:17" ht="14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N648" s="76"/>
      <c r="O648" s="76"/>
      <c r="P648" s="76"/>
      <c r="Q648" s="76"/>
    </row>
    <row r="649" spans="1:17" ht="14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N649" s="76"/>
      <c r="O649" s="76"/>
      <c r="P649" s="76"/>
      <c r="Q649" s="76"/>
    </row>
    <row r="650" spans="1:17" ht="14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N650" s="76"/>
      <c r="O650" s="76"/>
      <c r="P650" s="76"/>
      <c r="Q650" s="76"/>
    </row>
    <row r="651" spans="1:17" ht="14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N651" s="76"/>
      <c r="O651" s="76"/>
      <c r="P651" s="76"/>
      <c r="Q651" s="76"/>
    </row>
    <row r="652" spans="1:17" ht="14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N652" s="76"/>
      <c r="O652" s="76"/>
      <c r="P652" s="76"/>
      <c r="Q652" s="76"/>
    </row>
    <row r="653" spans="1:17" ht="14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N653" s="76"/>
      <c r="O653" s="76"/>
      <c r="P653" s="76"/>
      <c r="Q653" s="76"/>
    </row>
    <row r="654" spans="1:17" ht="1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N654" s="76"/>
      <c r="O654" s="76"/>
      <c r="P654" s="76"/>
      <c r="Q654" s="76"/>
    </row>
    <row r="655" spans="1:17" ht="14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N655" s="76"/>
      <c r="O655" s="76"/>
      <c r="P655" s="76"/>
      <c r="Q655" s="76"/>
    </row>
    <row r="656" spans="1:17" ht="14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N656" s="76"/>
      <c r="O656" s="76"/>
      <c r="P656" s="76"/>
      <c r="Q656" s="76"/>
    </row>
    <row r="657" spans="1:17" ht="14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N657" s="76"/>
      <c r="O657" s="76"/>
      <c r="P657" s="76"/>
      <c r="Q657" s="76"/>
    </row>
    <row r="658" spans="1:17" ht="14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N658" s="76"/>
      <c r="O658" s="76"/>
      <c r="P658" s="76"/>
      <c r="Q658" s="76"/>
    </row>
    <row r="659" spans="1:17" ht="14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N659" s="76"/>
      <c r="O659" s="76"/>
      <c r="P659" s="76"/>
      <c r="Q659" s="76"/>
    </row>
    <row r="660" spans="1:17" ht="14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N660" s="76"/>
      <c r="O660" s="76"/>
      <c r="P660" s="76"/>
      <c r="Q660" s="76"/>
    </row>
    <row r="661" spans="1:17" ht="14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N661" s="76"/>
      <c r="O661" s="76"/>
      <c r="P661" s="76"/>
      <c r="Q661" s="76"/>
    </row>
    <row r="662" spans="1:17" ht="14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N662" s="76"/>
      <c r="O662" s="76"/>
      <c r="P662" s="76"/>
      <c r="Q662" s="76"/>
    </row>
    <row r="663" spans="1:17" ht="14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N663" s="76"/>
      <c r="O663" s="76"/>
      <c r="P663" s="76"/>
      <c r="Q663" s="76"/>
    </row>
    <row r="664" spans="1:17" ht="1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N664" s="76"/>
      <c r="O664" s="76"/>
      <c r="P664" s="76"/>
      <c r="Q664" s="76"/>
    </row>
    <row r="665" spans="1:17" ht="14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N665" s="76"/>
      <c r="O665" s="76"/>
      <c r="P665" s="76"/>
      <c r="Q665" s="76"/>
    </row>
    <row r="666" spans="1:17" ht="14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N666" s="76"/>
      <c r="O666" s="76"/>
      <c r="P666" s="76"/>
      <c r="Q666" s="76"/>
    </row>
    <row r="667" spans="1:17" ht="14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N667" s="76"/>
      <c r="O667" s="76"/>
      <c r="P667" s="76"/>
      <c r="Q667" s="76"/>
    </row>
    <row r="668" spans="1:17" ht="14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N668" s="76"/>
      <c r="O668" s="76"/>
      <c r="P668" s="76"/>
      <c r="Q668" s="76"/>
    </row>
    <row r="669" spans="1:17" ht="14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N669" s="76"/>
      <c r="O669" s="76"/>
      <c r="P669" s="76"/>
      <c r="Q669" s="76"/>
    </row>
    <row r="670" spans="1:17" ht="14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N670" s="76"/>
      <c r="O670" s="76"/>
      <c r="P670" s="76"/>
      <c r="Q670" s="76"/>
    </row>
    <row r="671" spans="1:17" ht="14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N671" s="76"/>
      <c r="O671" s="76"/>
      <c r="P671" s="76"/>
      <c r="Q671" s="76"/>
    </row>
    <row r="672" spans="1:17" ht="14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N672" s="76"/>
      <c r="O672" s="76"/>
      <c r="P672" s="76"/>
      <c r="Q672" s="76"/>
    </row>
    <row r="673" spans="1:17" ht="14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N673" s="76"/>
      <c r="O673" s="76"/>
      <c r="P673" s="76"/>
      <c r="Q673" s="76"/>
    </row>
    <row r="674" spans="1:17" ht="1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N674" s="76"/>
      <c r="O674" s="76"/>
      <c r="P674" s="76"/>
      <c r="Q674" s="76"/>
    </row>
    <row r="675" spans="1:17" ht="14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N675" s="76"/>
      <c r="O675" s="76"/>
      <c r="P675" s="76"/>
      <c r="Q675" s="76"/>
    </row>
    <row r="676" spans="1:17" ht="14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N676" s="76"/>
      <c r="O676" s="76"/>
      <c r="P676" s="76"/>
      <c r="Q676" s="76"/>
    </row>
    <row r="677" spans="1:17" ht="14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N677" s="76"/>
      <c r="O677" s="76"/>
      <c r="P677" s="76"/>
      <c r="Q677" s="76"/>
    </row>
    <row r="678" spans="1:17" ht="14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N678" s="76"/>
      <c r="O678" s="76"/>
      <c r="P678" s="76"/>
      <c r="Q678" s="76"/>
    </row>
    <row r="679" spans="1:17" ht="14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N679" s="76"/>
      <c r="O679" s="76"/>
      <c r="P679" s="76"/>
      <c r="Q679" s="76"/>
    </row>
    <row r="680" spans="1:17" ht="14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N680" s="76"/>
      <c r="O680" s="76"/>
      <c r="P680" s="76"/>
      <c r="Q680" s="76"/>
    </row>
    <row r="681" spans="1:17" ht="14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N681" s="76"/>
      <c r="O681" s="76"/>
      <c r="P681" s="76"/>
      <c r="Q681" s="76"/>
    </row>
    <row r="682" spans="1:17" ht="14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N682" s="76"/>
      <c r="O682" s="76"/>
      <c r="P682" s="76"/>
      <c r="Q682" s="76"/>
    </row>
    <row r="683" spans="1:17" ht="14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N683" s="76"/>
      <c r="O683" s="76"/>
      <c r="P683" s="76"/>
      <c r="Q683" s="76"/>
    </row>
    <row r="684" spans="1:17" ht="1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N684" s="76"/>
      <c r="O684" s="76"/>
      <c r="P684" s="76"/>
      <c r="Q684" s="76"/>
    </row>
    <row r="685" spans="1:17" ht="14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N685" s="76"/>
      <c r="O685" s="76"/>
      <c r="P685" s="76"/>
      <c r="Q685" s="76"/>
    </row>
    <row r="686" spans="1:17" ht="14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N686" s="76"/>
      <c r="O686" s="76"/>
      <c r="P686" s="76"/>
      <c r="Q686" s="76"/>
    </row>
    <row r="687" spans="1:17" ht="14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N687" s="76"/>
      <c r="O687" s="76"/>
      <c r="P687" s="76"/>
      <c r="Q687" s="76"/>
    </row>
    <row r="688" spans="1:17" ht="14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N688" s="76"/>
      <c r="O688" s="76"/>
      <c r="P688" s="76"/>
      <c r="Q688" s="76"/>
    </row>
    <row r="689" spans="1:17" ht="14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N689" s="76"/>
      <c r="O689" s="76"/>
      <c r="P689" s="76"/>
      <c r="Q689" s="76"/>
    </row>
    <row r="690" spans="1:17" ht="14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N690" s="76"/>
      <c r="O690" s="76"/>
      <c r="P690" s="76"/>
      <c r="Q690" s="76"/>
    </row>
    <row r="691" spans="1:17" ht="14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N691" s="76"/>
      <c r="O691" s="76"/>
      <c r="P691" s="76"/>
      <c r="Q691" s="76"/>
    </row>
    <row r="692" spans="1:17" ht="14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N692" s="76"/>
      <c r="O692" s="76"/>
      <c r="P692" s="76"/>
      <c r="Q692" s="76"/>
    </row>
    <row r="693" spans="1:17" ht="14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N693" s="76"/>
      <c r="O693" s="76"/>
      <c r="P693" s="76"/>
      <c r="Q693" s="76"/>
    </row>
    <row r="694" spans="1:17" ht="1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N694" s="76"/>
      <c r="O694" s="76"/>
      <c r="P694" s="76"/>
      <c r="Q694" s="76"/>
    </row>
    <row r="695" spans="1:17" ht="14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N695" s="76"/>
      <c r="O695" s="76"/>
      <c r="P695" s="76"/>
      <c r="Q695" s="76"/>
    </row>
    <row r="696" spans="1:17" ht="14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N696" s="76"/>
      <c r="O696" s="76"/>
      <c r="P696" s="76"/>
      <c r="Q696" s="76"/>
    </row>
    <row r="697" spans="1:17" ht="14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N697" s="76"/>
      <c r="O697" s="76"/>
      <c r="P697" s="76"/>
      <c r="Q697" s="76"/>
    </row>
    <row r="698" spans="1:17" ht="14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N698" s="76"/>
      <c r="O698" s="76"/>
      <c r="P698" s="76"/>
      <c r="Q698" s="76"/>
    </row>
    <row r="699" spans="1:17" ht="14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N699" s="76"/>
      <c r="O699" s="76"/>
      <c r="P699" s="76"/>
      <c r="Q699" s="76"/>
    </row>
    <row r="700" spans="1:17" ht="14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N700" s="76"/>
      <c r="O700" s="76"/>
      <c r="P700" s="76"/>
      <c r="Q700" s="76"/>
    </row>
    <row r="701" spans="1:17" ht="14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N701" s="76"/>
      <c r="O701" s="76"/>
      <c r="P701" s="76"/>
      <c r="Q701" s="76"/>
    </row>
    <row r="702" spans="1:17" ht="14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N702" s="76"/>
      <c r="O702" s="76"/>
      <c r="P702" s="76"/>
      <c r="Q702" s="76"/>
    </row>
    <row r="703" spans="1:17" ht="14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N703" s="76"/>
      <c r="O703" s="76"/>
      <c r="P703" s="76"/>
      <c r="Q703" s="76"/>
    </row>
    <row r="704" spans="1:17" ht="1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N704" s="76"/>
      <c r="O704" s="76"/>
      <c r="P704" s="76"/>
      <c r="Q704" s="76"/>
    </row>
    <row r="705" spans="1:17" ht="14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N705" s="76"/>
      <c r="O705" s="76"/>
      <c r="P705" s="76"/>
      <c r="Q705" s="76"/>
    </row>
    <row r="706" spans="1:17" ht="14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N706" s="76"/>
      <c r="O706" s="76"/>
      <c r="P706" s="76"/>
      <c r="Q706" s="76"/>
    </row>
    <row r="707" spans="1:17" ht="14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N707" s="76"/>
      <c r="O707" s="76"/>
      <c r="P707" s="76"/>
      <c r="Q707" s="76"/>
    </row>
    <row r="708" spans="1:17" ht="14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N708" s="76"/>
      <c r="O708" s="76"/>
      <c r="P708" s="76"/>
      <c r="Q708" s="76"/>
    </row>
    <row r="709" spans="1:17" ht="14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N709" s="76"/>
      <c r="O709" s="76"/>
      <c r="P709" s="76"/>
      <c r="Q709" s="76"/>
    </row>
    <row r="710" spans="1:17" ht="14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N710" s="76"/>
      <c r="O710" s="76"/>
      <c r="P710" s="76"/>
      <c r="Q710" s="76"/>
    </row>
    <row r="711" spans="1:17" ht="14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N711" s="76"/>
      <c r="O711" s="76"/>
      <c r="P711" s="76"/>
      <c r="Q711" s="76"/>
    </row>
    <row r="712" spans="1:17" ht="14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N712" s="76"/>
      <c r="O712" s="76"/>
      <c r="P712" s="76"/>
      <c r="Q712" s="76"/>
    </row>
    <row r="713" spans="1:17" ht="14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N713" s="76"/>
      <c r="O713" s="76"/>
      <c r="P713" s="76"/>
      <c r="Q713" s="76"/>
    </row>
    <row r="714" spans="1:17" ht="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N714" s="76"/>
      <c r="O714" s="76"/>
      <c r="P714" s="76"/>
      <c r="Q714" s="76"/>
    </row>
    <row r="715" spans="1:17" ht="14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N715" s="76"/>
      <c r="O715" s="76"/>
      <c r="P715" s="76"/>
      <c r="Q715" s="76"/>
    </row>
    <row r="716" spans="1:17" ht="14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N716" s="76"/>
      <c r="O716" s="76"/>
      <c r="P716" s="76"/>
      <c r="Q716" s="76"/>
    </row>
    <row r="717" spans="1:17" ht="14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N717" s="76"/>
      <c r="O717" s="76"/>
      <c r="P717" s="76"/>
      <c r="Q717" s="76"/>
    </row>
    <row r="718" spans="1:17" ht="14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N718" s="76"/>
      <c r="O718" s="76"/>
      <c r="P718" s="76"/>
      <c r="Q718" s="76"/>
    </row>
    <row r="719" spans="1:17" ht="14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N719" s="76"/>
      <c r="O719" s="76"/>
      <c r="P719" s="76"/>
      <c r="Q719" s="76"/>
    </row>
    <row r="720" spans="1:17" ht="14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N720" s="76"/>
      <c r="O720" s="76"/>
      <c r="P720" s="76"/>
      <c r="Q720" s="76"/>
    </row>
    <row r="721" spans="1:17" ht="14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N721" s="76"/>
      <c r="O721" s="76"/>
      <c r="P721" s="76"/>
      <c r="Q721" s="76"/>
    </row>
    <row r="722" spans="1:17" ht="14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N722" s="76"/>
      <c r="O722" s="76"/>
      <c r="P722" s="76"/>
      <c r="Q722" s="76"/>
    </row>
    <row r="723" spans="1:17" ht="14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N723" s="76"/>
      <c r="O723" s="76"/>
      <c r="P723" s="76"/>
      <c r="Q723" s="76"/>
    </row>
    <row r="724" spans="1:17" ht="1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N724" s="76"/>
      <c r="O724" s="76"/>
      <c r="P724" s="76"/>
      <c r="Q724" s="76"/>
    </row>
    <row r="725" spans="1:17" ht="14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N725" s="76"/>
      <c r="O725" s="76"/>
      <c r="P725" s="76"/>
      <c r="Q725" s="76"/>
    </row>
    <row r="726" spans="1:17" ht="14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N726" s="76"/>
      <c r="O726" s="76"/>
      <c r="P726" s="76"/>
      <c r="Q726" s="76"/>
    </row>
    <row r="727" spans="1:17" ht="14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N727" s="76"/>
      <c r="O727" s="76"/>
      <c r="P727" s="76"/>
      <c r="Q727" s="76"/>
    </row>
    <row r="728" spans="1:17" ht="14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N728" s="76"/>
      <c r="O728" s="76"/>
      <c r="P728" s="76"/>
      <c r="Q728" s="76"/>
    </row>
    <row r="729" spans="1:17" ht="14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N729" s="76"/>
      <c r="O729" s="76"/>
      <c r="P729" s="76"/>
      <c r="Q729" s="76"/>
    </row>
    <row r="730" spans="1:17" ht="14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N730" s="76"/>
      <c r="O730" s="76"/>
      <c r="P730" s="76"/>
      <c r="Q730" s="76"/>
    </row>
    <row r="731" spans="1:17" ht="14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N731" s="76"/>
      <c r="O731" s="76"/>
      <c r="P731" s="76"/>
      <c r="Q731" s="76"/>
    </row>
    <row r="732" spans="1:17" ht="14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N732" s="76"/>
      <c r="O732" s="76"/>
      <c r="P732" s="76"/>
      <c r="Q732" s="76"/>
    </row>
    <row r="733" spans="1:17" ht="14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N733" s="76"/>
      <c r="O733" s="76"/>
      <c r="P733" s="76"/>
      <c r="Q733" s="76"/>
    </row>
    <row r="734" spans="1:17" ht="1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N734" s="76"/>
      <c r="O734" s="76"/>
      <c r="P734" s="76"/>
      <c r="Q734" s="76"/>
    </row>
    <row r="735" spans="1:17" ht="14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N735" s="76"/>
      <c r="O735" s="76"/>
      <c r="P735" s="76"/>
      <c r="Q735" s="76"/>
    </row>
    <row r="736" spans="1:17" ht="14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N736" s="76"/>
      <c r="O736" s="76"/>
      <c r="P736" s="76"/>
      <c r="Q736" s="76"/>
    </row>
    <row r="737" spans="1:17" ht="14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N737" s="76"/>
      <c r="O737" s="76"/>
      <c r="P737" s="76"/>
      <c r="Q737" s="76"/>
    </row>
    <row r="738" spans="1:17" ht="14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N738" s="76"/>
      <c r="O738" s="76"/>
      <c r="P738" s="76"/>
      <c r="Q738" s="76"/>
    </row>
    <row r="739" spans="1:17" ht="14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N739" s="76"/>
      <c r="O739" s="76"/>
      <c r="P739" s="76"/>
      <c r="Q739" s="76"/>
    </row>
    <row r="740" spans="1:17" ht="14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N740" s="76"/>
      <c r="O740" s="76"/>
      <c r="P740" s="76"/>
      <c r="Q740" s="76"/>
    </row>
    <row r="741" spans="1:17" ht="14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N741" s="76"/>
      <c r="O741" s="76"/>
      <c r="P741" s="76"/>
      <c r="Q741" s="76"/>
    </row>
    <row r="742" spans="1:17" ht="14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N742" s="76"/>
      <c r="O742" s="76"/>
      <c r="P742" s="76"/>
      <c r="Q742" s="76"/>
    </row>
    <row r="743" spans="1:17" ht="14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N743" s="76"/>
      <c r="O743" s="76"/>
      <c r="P743" s="76"/>
      <c r="Q743" s="76"/>
    </row>
    <row r="744" spans="1:17" ht="1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N744" s="76"/>
      <c r="O744" s="76"/>
      <c r="P744" s="76"/>
      <c r="Q744" s="76"/>
    </row>
    <row r="745" spans="1:17" ht="14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N745" s="76"/>
      <c r="O745" s="76"/>
      <c r="P745" s="76"/>
      <c r="Q745" s="76"/>
    </row>
    <row r="746" spans="1:17" ht="14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N746" s="76"/>
      <c r="O746" s="76"/>
      <c r="P746" s="76"/>
      <c r="Q746" s="76"/>
    </row>
    <row r="747" spans="1:17" ht="14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N747" s="76"/>
      <c r="O747" s="76"/>
      <c r="P747" s="76"/>
      <c r="Q747" s="76"/>
    </row>
    <row r="748" spans="1:17" ht="14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N748" s="76"/>
      <c r="O748" s="76"/>
      <c r="P748" s="76"/>
      <c r="Q748" s="76"/>
    </row>
    <row r="749" spans="1:17" ht="14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N749" s="76"/>
      <c r="O749" s="76"/>
      <c r="P749" s="76"/>
      <c r="Q749" s="76"/>
    </row>
    <row r="750" spans="1:17" ht="14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N750" s="76"/>
      <c r="O750" s="76"/>
      <c r="P750" s="76"/>
      <c r="Q750" s="76"/>
    </row>
    <row r="751" spans="1:17" ht="14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N751" s="76"/>
      <c r="O751" s="76"/>
      <c r="P751" s="76"/>
      <c r="Q751" s="76"/>
    </row>
    <row r="752" spans="1:17" ht="14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N752" s="76"/>
      <c r="O752" s="76"/>
      <c r="P752" s="76"/>
      <c r="Q752" s="76"/>
    </row>
    <row r="753" spans="1:17" ht="14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N753" s="76"/>
      <c r="O753" s="76"/>
      <c r="P753" s="76"/>
      <c r="Q753" s="76"/>
    </row>
    <row r="754" spans="1:17" ht="1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N754" s="76"/>
      <c r="O754" s="76"/>
      <c r="P754" s="76"/>
      <c r="Q754" s="76"/>
    </row>
    <row r="755" spans="1:17" ht="14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N755" s="76"/>
      <c r="O755" s="76"/>
      <c r="P755" s="76"/>
      <c r="Q755" s="76"/>
    </row>
    <row r="756" spans="1:17" ht="14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N756" s="76"/>
      <c r="O756" s="76"/>
      <c r="P756" s="76"/>
      <c r="Q756" s="76"/>
    </row>
    <row r="757" spans="1:17" ht="14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N757" s="76"/>
      <c r="O757" s="76"/>
      <c r="P757" s="76"/>
      <c r="Q757" s="76"/>
    </row>
    <row r="758" spans="1:17" ht="14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N758" s="76"/>
      <c r="O758" s="76"/>
      <c r="P758" s="76"/>
      <c r="Q758" s="76"/>
    </row>
    <row r="759" spans="1:17" ht="14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N759" s="76"/>
      <c r="O759" s="76"/>
      <c r="P759" s="76"/>
      <c r="Q759" s="76"/>
    </row>
    <row r="760" spans="1:17" ht="14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N760" s="76"/>
      <c r="O760" s="76"/>
      <c r="P760" s="76"/>
      <c r="Q760" s="76"/>
    </row>
    <row r="761" spans="1:17" ht="14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N761" s="76"/>
      <c r="O761" s="76"/>
      <c r="P761" s="76"/>
      <c r="Q761" s="76"/>
    </row>
    <row r="762" spans="1:17" ht="14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N762" s="76"/>
      <c r="O762" s="76"/>
      <c r="P762" s="76"/>
      <c r="Q762" s="76"/>
    </row>
    <row r="763" spans="1:17" ht="14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N763" s="76"/>
      <c r="O763" s="76"/>
      <c r="P763" s="76"/>
      <c r="Q763" s="76"/>
    </row>
    <row r="764" spans="1:17" ht="1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N764" s="76"/>
      <c r="O764" s="76"/>
      <c r="P764" s="76"/>
      <c r="Q764" s="76"/>
    </row>
    <row r="765" spans="1:17" ht="14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N765" s="76"/>
      <c r="O765" s="76"/>
      <c r="P765" s="76"/>
      <c r="Q765" s="76"/>
    </row>
    <row r="766" spans="1:17" ht="14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N766" s="76"/>
      <c r="O766" s="76"/>
      <c r="P766" s="76"/>
      <c r="Q766" s="76"/>
    </row>
    <row r="767" spans="1:17" ht="14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N767" s="76"/>
      <c r="O767" s="76"/>
      <c r="P767" s="76"/>
      <c r="Q767" s="76"/>
    </row>
    <row r="768" spans="1:17" ht="14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N768" s="76"/>
      <c r="O768" s="76"/>
      <c r="P768" s="76"/>
      <c r="Q768" s="76"/>
    </row>
    <row r="769" spans="1:17" ht="14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N769" s="76"/>
      <c r="O769" s="76"/>
      <c r="P769" s="76"/>
      <c r="Q769" s="76"/>
    </row>
    <row r="770" spans="1:17" ht="14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N770" s="76"/>
      <c r="O770" s="76"/>
      <c r="P770" s="76"/>
      <c r="Q770" s="76"/>
    </row>
    <row r="771" spans="1:17" ht="14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N771" s="76"/>
      <c r="O771" s="76"/>
      <c r="P771" s="76"/>
      <c r="Q771" s="76"/>
    </row>
    <row r="772" spans="1:17" ht="14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N772" s="76"/>
      <c r="O772" s="76"/>
      <c r="P772" s="76"/>
      <c r="Q772" s="76"/>
    </row>
    <row r="773" spans="1:17" ht="14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N773" s="76"/>
      <c r="O773" s="76"/>
      <c r="P773" s="76"/>
      <c r="Q773" s="76"/>
    </row>
    <row r="774" spans="1:17" ht="1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N774" s="76"/>
      <c r="O774" s="76"/>
      <c r="P774" s="76"/>
      <c r="Q774" s="76"/>
    </row>
    <row r="775" spans="1:17" ht="14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N775" s="76"/>
      <c r="O775" s="76"/>
      <c r="P775" s="76"/>
      <c r="Q775" s="76"/>
    </row>
    <row r="776" spans="1:17" ht="14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N776" s="76"/>
      <c r="O776" s="76"/>
      <c r="P776" s="76"/>
      <c r="Q776" s="76"/>
    </row>
    <row r="777" spans="1:17" ht="14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N777" s="76"/>
      <c r="O777" s="76"/>
      <c r="P777" s="76"/>
      <c r="Q777" s="76"/>
    </row>
    <row r="778" spans="1:17" ht="14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N778" s="76"/>
      <c r="O778" s="76"/>
      <c r="P778" s="76"/>
      <c r="Q778" s="76"/>
    </row>
    <row r="779" spans="1:17" ht="14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N779" s="76"/>
      <c r="O779" s="76"/>
      <c r="P779" s="76"/>
      <c r="Q779" s="76"/>
    </row>
    <row r="780" spans="1:17" ht="14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N780" s="76"/>
      <c r="O780" s="76"/>
      <c r="P780" s="76"/>
      <c r="Q780" s="76"/>
    </row>
    <row r="781" spans="1:17" ht="14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N781" s="76"/>
      <c r="O781" s="76"/>
      <c r="P781" s="76"/>
      <c r="Q781" s="76"/>
    </row>
    <row r="782" spans="1:17" ht="14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N782" s="76"/>
      <c r="O782" s="76"/>
      <c r="P782" s="76"/>
      <c r="Q782" s="76"/>
    </row>
    <row r="783" spans="1:17" ht="14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N783" s="76"/>
      <c r="O783" s="76"/>
      <c r="P783" s="76"/>
      <c r="Q783" s="76"/>
    </row>
    <row r="784" spans="1:17" ht="1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N784" s="76"/>
      <c r="O784" s="76"/>
      <c r="P784" s="76"/>
      <c r="Q784" s="76"/>
    </row>
    <row r="785" spans="1:17" ht="14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N785" s="76"/>
      <c r="O785" s="76"/>
      <c r="P785" s="76"/>
      <c r="Q785" s="76"/>
    </row>
    <row r="786" spans="1:17" ht="14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N786" s="76"/>
      <c r="O786" s="76"/>
      <c r="P786" s="76"/>
      <c r="Q786" s="76"/>
    </row>
    <row r="787" spans="1:17" ht="14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N787" s="76"/>
      <c r="O787" s="76"/>
      <c r="P787" s="76"/>
      <c r="Q787" s="76"/>
    </row>
    <row r="788" spans="1:17" ht="14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N788" s="76"/>
      <c r="O788" s="76"/>
      <c r="P788" s="76"/>
      <c r="Q788" s="76"/>
    </row>
    <row r="789" spans="1:17" ht="14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N789" s="76"/>
      <c r="O789" s="76"/>
      <c r="P789" s="76"/>
      <c r="Q789" s="76"/>
    </row>
    <row r="790" spans="1:17" ht="14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N790" s="76"/>
      <c r="O790" s="76"/>
      <c r="P790" s="76"/>
      <c r="Q790" s="76"/>
    </row>
    <row r="791" spans="1:17" ht="14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N791" s="76"/>
      <c r="O791" s="76"/>
      <c r="P791" s="76"/>
      <c r="Q791" s="76"/>
    </row>
    <row r="792" spans="1:17" ht="14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N792" s="76"/>
      <c r="O792" s="76"/>
      <c r="P792" s="76"/>
      <c r="Q792" s="76"/>
    </row>
    <row r="793" spans="1:17" ht="14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N793" s="76"/>
      <c r="O793" s="76"/>
      <c r="P793" s="76"/>
      <c r="Q793" s="76"/>
    </row>
    <row r="794" spans="1:17" ht="1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N794" s="76"/>
      <c r="O794" s="76"/>
      <c r="P794" s="76"/>
      <c r="Q794" s="76"/>
    </row>
    <row r="795" spans="1:17" ht="14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N795" s="76"/>
      <c r="O795" s="76"/>
      <c r="P795" s="76"/>
      <c r="Q795" s="76"/>
    </row>
    <row r="796" spans="1:17" ht="14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N796" s="76"/>
      <c r="O796" s="76"/>
      <c r="P796" s="76"/>
      <c r="Q796" s="76"/>
    </row>
    <row r="797" spans="1:17" ht="14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N797" s="76"/>
      <c r="O797" s="76"/>
      <c r="P797" s="76"/>
      <c r="Q797" s="76"/>
    </row>
    <row r="798" spans="1:17" ht="14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N798" s="76"/>
      <c r="O798" s="76"/>
      <c r="P798" s="76"/>
      <c r="Q798" s="76"/>
    </row>
    <row r="799" spans="1:17" ht="14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N799" s="76"/>
      <c r="O799" s="76"/>
      <c r="P799" s="76"/>
      <c r="Q799" s="76"/>
    </row>
    <row r="800" spans="1:17" ht="14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N800" s="76"/>
      <c r="O800" s="76"/>
      <c r="P800" s="76"/>
      <c r="Q800" s="76"/>
    </row>
    <row r="801" spans="1:17" ht="14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N801" s="76"/>
      <c r="O801" s="76"/>
      <c r="P801" s="76"/>
      <c r="Q801" s="76"/>
    </row>
    <row r="802" spans="1:17" ht="14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N802" s="76"/>
      <c r="O802" s="76"/>
      <c r="P802" s="76"/>
      <c r="Q802" s="76"/>
    </row>
    <row r="803" spans="1:17" ht="14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N803" s="76"/>
      <c r="O803" s="76"/>
      <c r="P803" s="76"/>
      <c r="Q803" s="76"/>
    </row>
    <row r="804" spans="1:17" ht="1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N804" s="76"/>
      <c r="O804" s="76"/>
      <c r="P804" s="76"/>
      <c r="Q804" s="76"/>
    </row>
    <row r="805" spans="1:17" ht="14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N805" s="76"/>
      <c r="O805" s="76"/>
      <c r="P805" s="76"/>
      <c r="Q805" s="76"/>
    </row>
    <row r="806" spans="1:17" ht="14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N806" s="76"/>
      <c r="O806" s="76"/>
      <c r="P806" s="76"/>
      <c r="Q806" s="76"/>
    </row>
    <row r="807" spans="1:17" ht="14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N807" s="76"/>
      <c r="O807" s="76"/>
      <c r="P807" s="76"/>
      <c r="Q807" s="76"/>
    </row>
    <row r="808" spans="1:17" ht="14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N808" s="76"/>
      <c r="O808" s="76"/>
      <c r="P808" s="76"/>
      <c r="Q808" s="76"/>
    </row>
    <row r="809" spans="1:17" ht="14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N809" s="76"/>
      <c r="O809" s="76"/>
      <c r="P809" s="76"/>
      <c r="Q809" s="76"/>
    </row>
    <row r="810" spans="1:17" ht="14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N810" s="76"/>
      <c r="O810" s="76"/>
      <c r="P810" s="76"/>
      <c r="Q810" s="76"/>
    </row>
    <row r="811" spans="1:17" ht="14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N811" s="76"/>
      <c r="O811" s="76"/>
      <c r="P811" s="76"/>
      <c r="Q811" s="76"/>
    </row>
    <row r="812" spans="1:17" ht="14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N812" s="76"/>
      <c r="O812" s="76"/>
      <c r="P812" s="76"/>
      <c r="Q812" s="76"/>
    </row>
    <row r="813" spans="1:17" ht="14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N813" s="76"/>
      <c r="O813" s="76"/>
      <c r="P813" s="76"/>
      <c r="Q813" s="76"/>
    </row>
    <row r="814" spans="1:17" ht="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N814" s="76"/>
      <c r="O814" s="76"/>
      <c r="P814" s="76"/>
      <c r="Q814" s="76"/>
    </row>
    <row r="815" spans="1:17" ht="14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N815" s="76"/>
      <c r="O815" s="76"/>
      <c r="P815" s="76"/>
      <c r="Q815" s="76"/>
    </row>
    <row r="816" spans="1:17" ht="14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N816" s="76"/>
      <c r="O816" s="76"/>
      <c r="P816" s="76"/>
      <c r="Q816" s="76"/>
    </row>
    <row r="817" spans="1:17" ht="14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N817" s="76"/>
      <c r="O817" s="76"/>
      <c r="P817" s="76"/>
      <c r="Q817" s="76"/>
    </row>
    <row r="818" spans="1:17" ht="14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N818" s="76"/>
      <c r="O818" s="76"/>
      <c r="P818" s="76"/>
      <c r="Q818" s="76"/>
    </row>
    <row r="819" spans="1:17" ht="14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N819" s="76"/>
      <c r="O819" s="76"/>
      <c r="P819" s="76"/>
      <c r="Q819" s="76"/>
    </row>
    <row r="820" spans="1:17" ht="14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N820" s="76"/>
      <c r="O820" s="76"/>
      <c r="P820" s="76"/>
      <c r="Q820" s="76"/>
    </row>
    <row r="821" spans="1:17" ht="14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N821" s="76"/>
      <c r="O821" s="76"/>
      <c r="P821" s="76"/>
      <c r="Q821" s="76"/>
    </row>
    <row r="822" spans="1:17" ht="14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N822" s="76"/>
      <c r="O822" s="76"/>
      <c r="P822" s="76"/>
      <c r="Q822" s="76"/>
    </row>
    <row r="823" spans="1:17" ht="14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N823" s="76"/>
      <c r="O823" s="76"/>
      <c r="P823" s="76"/>
      <c r="Q823" s="76"/>
    </row>
    <row r="824" spans="1:17" ht="1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N824" s="76"/>
      <c r="O824" s="76"/>
      <c r="P824" s="76"/>
      <c r="Q824" s="76"/>
    </row>
    <row r="825" spans="1:17" ht="14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N825" s="76"/>
      <c r="O825" s="76"/>
      <c r="P825" s="76"/>
      <c r="Q825" s="76"/>
    </row>
    <row r="826" spans="1:17" ht="14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N826" s="76"/>
      <c r="O826" s="76"/>
      <c r="P826" s="76"/>
      <c r="Q826" s="76"/>
    </row>
    <row r="827" spans="1:17" ht="14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N827" s="76"/>
      <c r="O827" s="76"/>
      <c r="P827" s="76"/>
      <c r="Q827" s="76"/>
    </row>
    <row r="828" spans="1:17" ht="14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N828" s="76"/>
      <c r="O828" s="76"/>
      <c r="P828" s="76"/>
      <c r="Q828" s="76"/>
    </row>
    <row r="829" spans="1:17" ht="14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N829" s="76"/>
      <c r="O829" s="76"/>
      <c r="P829" s="76"/>
      <c r="Q829" s="76"/>
    </row>
    <row r="830" spans="1:17" ht="14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N830" s="76"/>
      <c r="O830" s="76"/>
      <c r="P830" s="76"/>
      <c r="Q830" s="76"/>
    </row>
    <row r="831" spans="1:17" ht="14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N831" s="76"/>
      <c r="O831" s="76"/>
      <c r="P831" s="76"/>
      <c r="Q831" s="76"/>
    </row>
    <row r="832" spans="1:17" ht="14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N832" s="76"/>
      <c r="O832" s="76"/>
      <c r="P832" s="76"/>
      <c r="Q832" s="76"/>
    </row>
    <row r="833" spans="1:17" ht="14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N833" s="76"/>
      <c r="O833" s="76"/>
      <c r="P833" s="76"/>
      <c r="Q833" s="76"/>
    </row>
    <row r="834" spans="1:17" ht="1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N834" s="76"/>
      <c r="O834" s="76"/>
      <c r="P834" s="76"/>
      <c r="Q834" s="76"/>
    </row>
    <row r="835" spans="1:17" ht="14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N835" s="76"/>
      <c r="O835" s="76"/>
      <c r="P835" s="76"/>
      <c r="Q835" s="76"/>
    </row>
    <row r="836" spans="1:17" ht="14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N836" s="76"/>
      <c r="O836" s="76"/>
      <c r="P836" s="76"/>
      <c r="Q836" s="76"/>
    </row>
    <row r="837" spans="1:17" ht="14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N837" s="76"/>
      <c r="O837" s="76"/>
      <c r="P837" s="76"/>
      <c r="Q837" s="76"/>
    </row>
    <row r="838" spans="1:17" ht="14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N838" s="76"/>
      <c r="O838" s="76"/>
      <c r="P838" s="76"/>
      <c r="Q838" s="76"/>
    </row>
    <row r="839" spans="1:17" ht="14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N839" s="76"/>
      <c r="O839" s="76"/>
      <c r="P839" s="76"/>
      <c r="Q839" s="76"/>
    </row>
    <row r="840" spans="1:17" ht="14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N840" s="76"/>
      <c r="O840" s="76"/>
      <c r="P840" s="76"/>
      <c r="Q840" s="76"/>
    </row>
    <row r="841" spans="1:17" ht="14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N841" s="76"/>
      <c r="O841" s="76"/>
      <c r="P841" s="76"/>
      <c r="Q841" s="76"/>
    </row>
    <row r="842" spans="1:17" ht="14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N842" s="76"/>
      <c r="O842" s="76"/>
      <c r="P842" s="76"/>
      <c r="Q842" s="76"/>
    </row>
    <row r="843" spans="1:17" ht="14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N843" s="76"/>
      <c r="O843" s="76"/>
      <c r="P843" s="76"/>
      <c r="Q843" s="76"/>
    </row>
    <row r="844" spans="1:17" ht="1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N844" s="76"/>
      <c r="O844" s="76"/>
      <c r="P844" s="76"/>
      <c r="Q844" s="76"/>
    </row>
    <row r="845" spans="1:17" ht="14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N845" s="76"/>
      <c r="O845" s="76"/>
      <c r="P845" s="76"/>
      <c r="Q845" s="76"/>
    </row>
    <row r="846" spans="1:17" ht="14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N846" s="76"/>
      <c r="O846" s="76"/>
      <c r="P846" s="76"/>
      <c r="Q846" s="76"/>
    </row>
    <row r="847" spans="1:17" ht="14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N847" s="76"/>
      <c r="O847" s="76"/>
      <c r="P847" s="76"/>
      <c r="Q847" s="76"/>
    </row>
    <row r="848" spans="1:17" ht="14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N848" s="76"/>
      <c r="O848" s="76"/>
      <c r="P848" s="76"/>
      <c r="Q848" s="76"/>
    </row>
    <row r="849" spans="1:17" ht="14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N849" s="76"/>
      <c r="O849" s="76"/>
      <c r="P849" s="76"/>
      <c r="Q849" s="76"/>
    </row>
    <row r="850" spans="1:17" ht="14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N850" s="76"/>
      <c r="O850" s="76"/>
      <c r="P850" s="76"/>
      <c r="Q850" s="76"/>
    </row>
    <row r="851" spans="1:17" ht="14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N851" s="76"/>
      <c r="O851" s="76"/>
      <c r="P851" s="76"/>
      <c r="Q851" s="76"/>
    </row>
    <row r="852" spans="1:17" ht="14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N852" s="76"/>
      <c r="O852" s="76"/>
      <c r="P852" s="76"/>
      <c r="Q852" s="76"/>
    </row>
    <row r="853" spans="1:17" ht="14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N853" s="76"/>
      <c r="O853" s="76"/>
      <c r="P853" s="76"/>
      <c r="Q853" s="76"/>
    </row>
    <row r="854" spans="1:17" ht="1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N854" s="76"/>
      <c r="O854" s="76"/>
      <c r="P854" s="76"/>
      <c r="Q854" s="76"/>
    </row>
    <row r="855" spans="1:17" ht="14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N855" s="76"/>
      <c r="O855" s="76"/>
      <c r="P855" s="76"/>
      <c r="Q855" s="76"/>
    </row>
    <row r="856" spans="1:17" ht="14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N856" s="76"/>
      <c r="O856" s="76"/>
      <c r="P856" s="76"/>
      <c r="Q856" s="76"/>
    </row>
    <row r="857" spans="1:17" ht="14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N857" s="76"/>
      <c r="O857" s="76"/>
      <c r="P857" s="76"/>
      <c r="Q857" s="76"/>
    </row>
    <row r="858" spans="1:17" ht="14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N858" s="76"/>
      <c r="O858" s="76"/>
      <c r="P858" s="76"/>
      <c r="Q858" s="76"/>
    </row>
    <row r="859" spans="1:17" ht="14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N859" s="76"/>
      <c r="O859" s="76"/>
      <c r="P859" s="76"/>
      <c r="Q859" s="76"/>
    </row>
    <row r="860" spans="1:17" ht="14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N860" s="76"/>
      <c r="O860" s="76"/>
      <c r="P860" s="76"/>
      <c r="Q860" s="76"/>
    </row>
    <row r="861" spans="1:17" ht="14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N861" s="76"/>
      <c r="O861" s="76"/>
      <c r="P861" s="76"/>
      <c r="Q861" s="76"/>
    </row>
    <row r="862" spans="1:17" ht="14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N862" s="76"/>
      <c r="O862" s="76"/>
      <c r="P862" s="76"/>
      <c r="Q862" s="76"/>
    </row>
    <row r="863" spans="1:17" ht="14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N863" s="76"/>
      <c r="O863" s="76"/>
      <c r="P863" s="76"/>
      <c r="Q863" s="76"/>
    </row>
    <row r="864" spans="1:17" ht="1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N864" s="76"/>
      <c r="O864" s="76"/>
      <c r="P864" s="76"/>
      <c r="Q864" s="76"/>
    </row>
    <row r="865" spans="1:17" ht="14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N865" s="76"/>
      <c r="O865" s="76"/>
      <c r="P865" s="76"/>
      <c r="Q865" s="76"/>
    </row>
    <row r="866" spans="1:17" ht="14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N866" s="76"/>
      <c r="O866" s="76"/>
      <c r="P866" s="76"/>
      <c r="Q866" s="76"/>
    </row>
    <row r="867" spans="1:17" ht="14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N867" s="76"/>
      <c r="O867" s="76"/>
      <c r="P867" s="76"/>
      <c r="Q867" s="76"/>
    </row>
    <row r="868" spans="1:17" ht="14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N868" s="76"/>
      <c r="O868" s="76"/>
      <c r="P868" s="76"/>
      <c r="Q868" s="76"/>
    </row>
    <row r="869" spans="1:17" ht="14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N869" s="76"/>
      <c r="O869" s="76"/>
      <c r="P869" s="76"/>
      <c r="Q869" s="76"/>
    </row>
    <row r="870" spans="1:17" ht="14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N870" s="76"/>
      <c r="O870" s="76"/>
      <c r="P870" s="76"/>
      <c r="Q870" s="76"/>
    </row>
    <row r="871" spans="1:17" ht="14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N871" s="76"/>
      <c r="O871" s="76"/>
      <c r="P871" s="76"/>
      <c r="Q871" s="76"/>
    </row>
    <row r="872" spans="1:17" ht="14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N872" s="76"/>
      <c r="O872" s="76"/>
      <c r="P872" s="76"/>
      <c r="Q872" s="76"/>
    </row>
    <row r="873" spans="1:17" ht="14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N873" s="76"/>
      <c r="O873" s="76"/>
      <c r="P873" s="76"/>
      <c r="Q873" s="76"/>
    </row>
    <row r="874" spans="1:17" ht="1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N874" s="76"/>
      <c r="O874" s="76"/>
      <c r="P874" s="76"/>
      <c r="Q874" s="76"/>
    </row>
    <row r="875" spans="1:17" ht="14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N875" s="76"/>
      <c r="O875" s="76"/>
      <c r="P875" s="76"/>
      <c r="Q875" s="76"/>
    </row>
    <row r="876" spans="1:17" ht="14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N876" s="76"/>
      <c r="O876" s="76"/>
      <c r="P876" s="76"/>
      <c r="Q876" s="76"/>
    </row>
    <row r="877" spans="1:17" ht="14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N877" s="76"/>
      <c r="O877" s="76"/>
      <c r="P877" s="76"/>
      <c r="Q877" s="76"/>
    </row>
    <row r="878" spans="1:17" ht="14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N878" s="76"/>
      <c r="O878" s="76"/>
      <c r="P878" s="76"/>
      <c r="Q878" s="76"/>
    </row>
    <row r="879" spans="1:17" ht="14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N879" s="76"/>
      <c r="O879" s="76"/>
      <c r="P879" s="76"/>
      <c r="Q879" s="76"/>
    </row>
    <row r="880" spans="1:17" ht="14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N880" s="76"/>
      <c r="O880" s="76"/>
      <c r="P880" s="76"/>
      <c r="Q880" s="76"/>
    </row>
    <row r="881" spans="1:17" ht="14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N881" s="76"/>
      <c r="O881" s="76"/>
      <c r="P881" s="76"/>
      <c r="Q881" s="76"/>
    </row>
    <row r="882" spans="1:17" ht="14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N882" s="76"/>
      <c r="O882" s="76"/>
      <c r="P882" s="76"/>
      <c r="Q882" s="76"/>
    </row>
    <row r="883" spans="1:17" ht="14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N883" s="76"/>
      <c r="O883" s="76"/>
      <c r="P883" s="76"/>
      <c r="Q883" s="76"/>
    </row>
    <row r="884" spans="1:17" ht="1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N884" s="76"/>
      <c r="O884" s="76"/>
      <c r="P884" s="76"/>
      <c r="Q884" s="76"/>
    </row>
    <row r="885" spans="1:17" ht="14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N885" s="76"/>
      <c r="O885" s="76"/>
      <c r="P885" s="76"/>
      <c r="Q885" s="76"/>
    </row>
    <row r="886" spans="1:17" ht="14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N886" s="76"/>
      <c r="O886" s="76"/>
      <c r="P886" s="76"/>
      <c r="Q886" s="76"/>
    </row>
    <row r="887" spans="1:17" ht="14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N887" s="76"/>
      <c r="O887" s="76"/>
      <c r="P887" s="76"/>
      <c r="Q887" s="76"/>
    </row>
    <row r="888" spans="1:17" ht="14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N888" s="76"/>
      <c r="O888" s="76"/>
      <c r="P888" s="76"/>
      <c r="Q888" s="76"/>
    </row>
    <row r="889" spans="1:17" ht="14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N889" s="76"/>
      <c r="O889" s="76"/>
      <c r="P889" s="76"/>
      <c r="Q889" s="76"/>
    </row>
    <row r="890" spans="1:17" ht="14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N890" s="76"/>
      <c r="O890" s="76"/>
      <c r="P890" s="76"/>
      <c r="Q890" s="76"/>
    </row>
    <row r="891" spans="1:17" ht="14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N891" s="76"/>
      <c r="O891" s="76"/>
      <c r="P891" s="76"/>
      <c r="Q891" s="76"/>
    </row>
    <row r="892" spans="1:17" ht="14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N892" s="76"/>
      <c r="O892" s="76"/>
      <c r="P892" s="76"/>
      <c r="Q892" s="76"/>
    </row>
    <row r="893" spans="1:17" ht="14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N893" s="76"/>
      <c r="O893" s="76"/>
      <c r="P893" s="76"/>
      <c r="Q893" s="76"/>
    </row>
    <row r="894" spans="1:17" ht="1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N894" s="76"/>
      <c r="O894" s="76"/>
      <c r="P894" s="76"/>
      <c r="Q894" s="76"/>
    </row>
    <row r="895" spans="1:17" ht="14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N895" s="76"/>
      <c r="O895" s="76"/>
      <c r="P895" s="76"/>
      <c r="Q895" s="76"/>
    </row>
    <row r="896" spans="1:17" ht="14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N896" s="76"/>
      <c r="O896" s="76"/>
      <c r="P896" s="76"/>
      <c r="Q896" s="76"/>
    </row>
    <row r="897" spans="1:17" ht="14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N897" s="76"/>
      <c r="O897" s="76"/>
      <c r="P897" s="76"/>
      <c r="Q897" s="76"/>
    </row>
    <row r="898" spans="1:17" ht="14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N898" s="76"/>
      <c r="O898" s="76"/>
      <c r="P898" s="76"/>
      <c r="Q898" s="76"/>
    </row>
    <row r="899" spans="1:17" ht="14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N899" s="76"/>
      <c r="O899" s="76"/>
      <c r="P899" s="76"/>
      <c r="Q899" s="76"/>
    </row>
    <row r="900" spans="1:17" ht="14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N900" s="76"/>
      <c r="O900" s="76"/>
      <c r="P900" s="76"/>
      <c r="Q900" s="76"/>
    </row>
    <row r="901" spans="1:17" ht="14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N901" s="76"/>
      <c r="O901" s="76"/>
      <c r="P901" s="76"/>
      <c r="Q901" s="76"/>
    </row>
    <row r="902" spans="1:17" ht="14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N902" s="76"/>
      <c r="O902" s="76"/>
      <c r="P902" s="76"/>
      <c r="Q902" s="76"/>
    </row>
    <row r="903" spans="1:17" ht="14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N903" s="76"/>
      <c r="O903" s="76"/>
      <c r="P903" s="76"/>
      <c r="Q903" s="76"/>
    </row>
    <row r="904" spans="1:17" ht="1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N904" s="76"/>
      <c r="O904" s="76"/>
      <c r="P904" s="76"/>
      <c r="Q904" s="76"/>
    </row>
    <row r="905" spans="1:17" ht="14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N905" s="76"/>
      <c r="O905" s="76"/>
      <c r="P905" s="76"/>
      <c r="Q905" s="76"/>
    </row>
    <row r="906" spans="1:17" ht="14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N906" s="76"/>
      <c r="O906" s="76"/>
      <c r="P906" s="76"/>
      <c r="Q906" s="76"/>
    </row>
    <row r="907" spans="1:17" ht="14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N907" s="76"/>
      <c r="O907" s="76"/>
      <c r="P907" s="76"/>
      <c r="Q907" s="76"/>
    </row>
    <row r="908" spans="1:17" ht="14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N908" s="76"/>
      <c r="O908" s="76"/>
      <c r="P908" s="76"/>
      <c r="Q908" s="76"/>
    </row>
    <row r="909" spans="1:17" ht="14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N909" s="76"/>
      <c r="O909" s="76"/>
      <c r="P909" s="76"/>
      <c r="Q909" s="76"/>
    </row>
    <row r="910" spans="1:17" ht="14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N910" s="76"/>
      <c r="O910" s="76"/>
      <c r="P910" s="76"/>
      <c r="Q910" s="76"/>
    </row>
    <row r="911" spans="1:17" ht="14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N911" s="76"/>
      <c r="O911" s="76"/>
      <c r="P911" s="76"/>
      <c r="Q911" s="76"/>
    </row>
    <row r="912" spans="1:17" ht="14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N912" s="76"/>
      <c r="O912" s="76"/>
      <c r="P912" s="76"/>
      <c r="Q912" s="76"/>
    </row>
    <row r="913" spans="1:17" ht="14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N913" s="76"/>
      <c r="O913" s="76"/>
      <c r="P913" s="76"/>
      <c r="Q913" s="76"/>
    </row>
    <row r="914" spans="1:17" ht="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N914" s="76"/>
      <c r="O914" s="76"/>
      <c r="P914" s="76"/>
      <c r="Q914" s="76"/>
    </row>
    <row r="915" spans="1:17" ht="14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N915" s="76"/>
      <c r="O915" s="76"/>
      <c r="P915" s="76"/>
      <c r="Q915" s="76"/>
    </row>
    <row r="916" spans="1:17" ht="14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N916" s="76"/>
      <c r="O916" s="76"/>
      <c r="P916" s="76"/>
      <c r="Q916" s="76"/>
    </row>
    <row r="917" spans="1:17" ht="14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N917" s="76"/>
      <c r="O917" s="76"/>
      <c r="P917" s="76"/>
      <c r="Q917" s="76"/>
    </row>
    <row r="918" spans="1:17" ht="14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N918" s="76"/>
      <c r="O918" s="76"/>
      <c r="P918" s="76"/>
      <c r="Q918" s="76"/>
    </row>
    <row r="919" spans="1:17" ht="14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N919" s="76"/>
      <c r="O919" s="76"/>
      <c r="P919" s="76"/>
      <c r="Q919" s="76"/>
    </row>
    <row r="920" spans="1:17" ht="14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N920" s="76"/>
      <c r="O920" s="76"/>
      <c r="P920" s="76"/>
      <c r="Q920" s="76"/>
    </row>
    <row r="921" spans="1:17" ht="14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N921" s="76"/>
      <c r="O921" s="76"/>
      <c r="P921" s="76"/>
      <c r="Q921" s="76"/>
    </row>
    <row r="922" spans="1:17" ht="14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N922" s="76"/>
      <c r="O922" s="76"/>
      <c r="P922" s="76"/>
      <c r="Q922" s="76"/>
    </row>
    <row r="923" spans="1:17" ht="14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N923" s="76"/>
      <c r="O923" s="76"/>
      <c r="P923" s="76"/>
      <c r="Q923" s="76"/>
    </row>
    <row r="924" spans="1:17" ht="1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N924" s="76"/>
      <c r="O924" s="76"/>
      <c r="P924" s="76"/>
      <c r="Q924" s="76"/>
    </row>
    <row r="925" spans="1:17" ht="14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N925" s="76"/>
      <c r="O925" s="76"/>
      <c r="P925" s="76"/>
      <c r="Q925" s="76"/>
    </row>
    <row r="926" spans="1:17" ht="14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N926" s="76"/>
      <c r="O926" s="76"/>
      <c r="P926" s="76"/>
      <c r="Q926" s="76"/>
    </row>
    <row r="927" spans="1:17" ht="14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N927" s="76"/>
      <c r="O927" s="76"/>
      <c r="P927" s="76"/>
      <c r="Q927" s="76"/>
    </row>
    <row r="928" spans="1:17" ht="14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N928" s="76"/>
      <c r="O928" s="76"/>
      <c r="P928" s="76"/>
      <c r="Q928" s="76"/>
    </row>
    <row r="929" spans="1:17" ht="14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N929" s="76"/>
      <c r="O929" s="76"/>
      <c r="P929" s="76"/>
      <c r="Q929" s="76"/>
    </row>
    <row r="930" spans="1:17" ht="14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N930" s="76"/>
      <c r="O930" s="76"/>
      <c r="P930" s="76"/>
      <c r="Q930" s="76"/>
    </row>
    <row r="931" spans="1:17" ht="14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N931" s="76"/>
      <c r="O931" s="76"/>
      <c r="P931" s="76"/>
      <c r="Q931" s="76"/>
    </row>
    <row r="932" spans="1:17" ht="14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N932" s="76"/>
      <c r="O932" s="76"/>
      <c r="P932" s="76"/>
      <c r="Q932" s="76"/>
    </row>
    <row r="933" spans="1:17" ht="14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N933" s="76"/>
      <c r="O933" s="76"/>
      <c r="P933" s="76"/>
      <c r="Q933" s="76"/>
    </row>
    <row r="934" spans="1:17" ht="1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N934" s="76"/>
      <c r="O934" s="76"/>
      <c r="P934" s="76"/>
      <c r="Q934" s="76"/>
    </row>
    <row r="935" spans="1:17" ht="14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N935" s="76"/>
      <c r="O935" s="76"/>
      <c r="P935" s="76"/>
      <c r="Q935" s="76"/>
    </row>
    <row r="936" spans="1:17" ht="14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N936" s="76"/>
      <c r="O936" s="76"/>
      <c r="P936" s="76"/>
      <c r="Q936" s="76"/>
    </row>
    <row r="937" spans="1:17" ht="14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N937" s="76"/>
      <c r="O937" s="76"/>
      <c r="P937" s="76"/>
      <c r="Q937" s="76"/>
    </row>
    <row r="938" spans="1:17" ht="14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N938" s="76"/>
      <c r="O938" s="76"/>
      <c r="P938" s="76"/>
      <c r="Q938" s="76"/>
    </row>
    <row r="939" spans="1:17" ht="14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N939" s="76"/>
      <c r="O939" s="76"/>
      <c r="P939" s="76"/>
      <c r="Q939" s="76"/>
    </row>
    <row r="940" spans="1:17" ht="14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N940" s="76"/>
      <c r="O940" s="76"/>
      <c r="P940" s="76"/>
      <c r="Q940" s="76"/>
    </row>
    <row r="941" spans="1:17" ht="14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N941" s="76"/>
      <c r="O941" s="76"/>
      <c r="P941" s="76"/>
      <c r="Q941" s="76"/>
    </row>
    <row r="942" spans="1:17" ht="14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N942" s="76"/>
      <c r="O942" s="76"/>
      <c r="P942" s="76"/>
      <c r="Q942" s="76"/>
    </row>
    <row r="943" spans="1:17" ht="14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N943" s="76"/>
      <c r="O943" s="76"/>
      <c r="P943" s="76"/>
      <c r="Q943" s="76"/>
    </row>
    <row r="944" spans="1:17" ht="1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N944" s="76"/>
      <c r="O944" s="76"/>
      <c r="P944" s="76"/>
      <c r="Q944" s="76"/>
    </row>
    <row r="945" spans="1:17" ht="14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N945" s="76"/>
      <c r="O945" s="76"/>
      <c r="P945" s="76"/>
      <c r="Q945" s="76"/>
    </row>
    <row r="946" spans="1:17" ht="14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N946" s="76"/>
      <c r="O946" s="76"/>
      <c r="P946" s="76"/>
      <c r="Q946" s="76"/>
    </row>
    <row r="947" spans="1:17" ht="14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N947" s="76"/>
      <c r="O947" s="76"/>
      <c r="P947" s="76"/>
      <c r="Q947" s="76"/>
    </row>
    <row r="948" spans="1:17" ht="14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N948" s="76"/>
      <c r="O948" s="76"/>
      <c r="P948" s="76"/>
      <c r="Q948" s="76"/>
    </row>
    <row r="949" spans="1:17" ht="14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N949" s="76"/>
      <c r="O949" s="76"/>
      <c r="P949" s="76"/>
      <c r="Q949" s="76"/>
    </row>
  </sheetData>
  <mergeCells count="4">
    <mergeCell ref="AO1:AP1"/>
    <mergeCell ref="AA2:AC2"/>
    <mergeCell ref="AK2:AL2"/>
    <mergeCell ref="AK330:AL33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S207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5.6328125" customWidth="1"/>
    <col min="2" max="2" width="44.7265625" customWidth="1"/>
    <col min="3" max="3" width="50" customWidth="1"/>
    <col min="4" max="4" width="35.36328125" customWidth="1"/>
    <col min="5" max="5" width="15.90625" customWidth="1"/>
    <col min="6" max="6" width="12.26953125" customWidth="1"/>
    <col min="7" max="7" width="12" customWidth="1"/>
    <col min="8" max="8" width="10.7265625" customWidth="1"/>
    <col min="9" max="9" width="8.7265625" customWidth="1"/>
    <col min="11" max="11" width="61.26953125" customWidth="1"/>
    <col min="12" max="12" width="15.453125" customWidth="1"/>
    <col min="13" max="13" width="11.36328125" customWidth="1"/>
    <col min="14" max="14" width="12.26953125" customWidth="1"/>
    <col min="15" max="15" width="11.6328125" customWidth="1"/>
    <col min="16" max="16" width="29.7265625" customWidth="1"/>
  </cols>
  <sheetData>
    <row r="1" spans="1:7" ht="22.5" customHeight="1">
      <c r="A1" s="85" t="s">
        <v>445</v>
      </c>
      <c r="B1" s="85" t="s">
        <v>446</v>
      </c>
      <c r="C1" s="85" t="s">
        <v>70</v>
      </c>
      <c r="D1" s="85" t="s">
        <v>447</v>
      </c>
      <c r="E1" s="85" t="s">
        <v>71</v>
      </c>
      <c r="F1" s="85" t="s">
        <v>448</v>
      </c>
      <c r="G1" s="85" t="s">
        <v>1</v>
      </c>
    </row>
    <row r="2" spans="1:7" ht="22.5" customHeight="1">
      <c r="A2" s="86">
        <v>7001246118</v>
      </c>
      <c r="B2" s="87" t="s">
        <v>449</v>
      </c>
      <c r="C2" s="87" t="s">
        <v>450</v>
      </c>
      <c r="D2" s="87" t="s">
        <v>90</v>
      </c>
      <c r="E2" s="88">
        <v>1</v>
      </c>
      <c r="F2" s="16" t="s">
        <v>451</v>
      </c>
      <c r="G2" s="89">
        <v>46149</v>
      </c>
    </row>
    <row r="3" spans="1:7" ht="22.5" customHeight="1">
      <c r="A3" s="86">
        <v>7001606418</v>
      </c>
      <c r="B3" s="87" t="s">
        <v>449</v>
      </c>
      <c r="C3" s="87" t="s">
        <v>452</v>
      </c>
      <c r="D3" s="87" t="s">
        <v>90</v>
      </c>
      <c r="E3" s="88">
        <v>1</v>
      </c>
      <c r="F3" s="16" t="s">
        <v>451</v>
      </c>
      <c r="G3" s="89">
        <v>46149</v>
      </c>
    </row>
    <row r="4" spans="1:7" ht="22.5" customHeight="1">
      <c r="A4" s="86">
        <v>7001623882</v>
      </c>
      <c r="B4" s="87" t="s">
        <v>449</v>
      </c>
      <c r="C4" s="87" t="s">
        <v>452</v>
      </c>
      <c r="D4" s="87" t="s">
        <v>90</v>
      </c>
      <c r="E4" s="88">
        <v>1</v>
      </c>
      <c r="F4" s="16" t="s">
        <v>451</v>
      </c>
      <c r="G4" s="89">
        <v>46149</v>
      </c>
    </row>
    <row r="5" spans="1:7" ht="22.5" customHeight="1">
      <c r="A5" s="86">
        <v>7001727096</v>
      </c>
      <c r="B5" s="87" t="s">
        <v>453</v>
      </c>
      <c r="C5" s="87" t="s">
        <v>454</v>
      </c>
      <c r="D5" s="87" t="s">
        <v>90</v>
      </c>
      <c r="E5" s="88">
        <v>1</v>
      </c>
      <c r="F5" s="16" t="s">
        <v>451</v>
      </c>
      <c r="G5" s="89">
        <v>46149</v>
      </c>
    </row>
    <row r="6" spans="1:7" ht="22.5" customHeight="1">
      <c r="A6" s="86">
        <v>7001778553</v>
      </c>
      <c r="B6" s="87" t="s">
        <v>455</v>
      </c>
      <c r="C6" s="87" t="s">
        <v>450</v>
      </c>
      <c r="D6" s="87" t="s">
        <v>90</v>
      </c>
      <c r="E6" s="88">
        <v>656</v>
      </c>
      <c r="F6" s="16" t="s">
        <v>456</v>
      </c>
      <c r="G6" s="89">
        <v>46149</v>
      </c>
    </row>
    <row r="7" spans="1:7" ht="22.5" customHeight="1">
      <c r="A7" s="86">
        <v>7001797141</v>
      </c>
      <c r="B7" s="87" t="s">
        <v>457</v>
      </c>
      <c r="C7" s="87" t="s">
        <v>458</v>
      </c>
      <c r="D7" s="87" t="s">
        <v>459</v>
      </c>
      <c r="E7" s="88">
        <v>10</v>
      </c>
      <c r="F7" s="16">
        <v>3</v>
      </c>
      <c r="G7" s="89">
        <v>46149</v>
      </c>
    </row>
    <row r="8" spans="1:7" ht="22.5" customHeight="1">
      <c r="A8" s="86">
        <v>7001828300</v>
      </c>
      <c r="B8" s="87" t="s">
        <v>449</v>
      </c>
      <c r="C8" s="87" t="s">
        <v>452</v>
      </c>
      <c r="D8" s="87" t="s">
        <v>90</v>
      </c>
      <c r="E8" s="88">
        <v>1</v>
      </c>
      <c r="F8" s="16" t="s">
        <v>456</v>
      </c>
      <c r="G8" s="89">
        <v>46149</v>
      </c>
    </row>
    <row r="9" spans="1:7" ht="22.5" customHeight="1">
      <c r="A9" s="86">
        <v>7001855910</v>
      </c>
      <c r="B9" s="87" t="s">
        <v>449</v>
      </c>
      <c r="C9" s="87" t="s">
        <v>450</v>
      </c>
      <c r="D9" s="87" t="s">
        <v>90</v>
      </c>
      <c r="E9" s="88">
        <v>1</v>
      </c>
      <c r="F9" s="16" t="s">
        <v>456</v>
      </c>
      <c r="G9" s="89">
        <v>46149</v>
      </c>
    </row>
    <row r="10" spans="1:7" ht="22.5" customHeight="1">
      <c r="A10" s="86">
        <v>7001856907</v>
      </c>
      <c r="B10" s="87" t="s">
        <v>460</v>
      </c>
      <c r="C10" s="87" t="s">
        <v>450</v>
      </c>
      <c r="D10" s="87" t="s">
        <v>90</v>
      </c>
      <c r="E10" s="88">
        <v>5</v>
      </c>
      <c r="F10" s="16">
        <v>2</v>
      </c>
      <c r="G10" s="89">
        <v>46149</v>
      </c>
    </row>
    <row r="11" spans="1:7" ht="22.5" customHeight="1">
      <c r="A11" s="86">
        <v>7001865068</v>
      </c>
      <c r="B11" s="87" t="s">
        <v>449</v>
      </c>
      <c r="C11" s="87" t="s">
        <v>461</v>
      </c>
      <c r="D11" s="87" t="s">
        <v>108</v>
      </c>
      <c r="E11" s="88">
        <v>1</v>
      </c>
      <c r="F11" s="16" t="s">
        <v>456</v>
      </c>
      <c r="G11" s="89">
        <v>46149</v>
      </c>
    </row>
    <row r="12" spans="1:7" ht="22.5" customHeight="1">
      <c r="A12" s="86">
        <v>7001932159</v>
      </c>
      <c r="B12" s="87" t="s">
        <v>449</v>
      </c>
      <c r="C12" s="87" t="s">
        <v>85</v>
      </c>
      <c r="D12" s="87" t="s">
        <v>122</v>
      </c>
      <c r="E12" s="88">
        <v>2</v>
      </c>
      <c r="F12" s="16" t="s">
        <v>456</v>
      </c>
      <c r="G12" s="89">
        <v>46149</v>
      </c>
    </row>
    <row r="13" spans="1:7" ht="22.5" customHeight="1">
      <c r="A13" s="86">
        <v>7002041645</v>
      </c>
      <c r="B13" s="87" t="s">
        <v>449</v>
      </c>
      <c r="C13" s="87" t="s">
        <v>454</v>
      </c>
      <c r="D13" s="87" t="s">
        <v>462</v>
      </c>
      <c r="E13" s="88">
        <v>1</v>
      </c>
      <c r="F13" s="16" t="s">
        <v>456</v>
      </c>
      <c r="G13" s="89">
        <v>46149</v>
      </c>
    </row>
    <row r="14" spans="1:7" ht="22.5" customHeight="1">
      <c r="A14" s="86">
        <v>7002194124</v>
      </c>
      <c r="B14" s="87" t="s">
        <v>453</v>
      </c>
      <c r="C14" s="87" t="s">
        <v>98</v>
      </c>
      <c r="D14" s="87" t="s">
        <v>96</v>
      </c>
      <c r="E14" s="88">
        <v>1</v>
      </c>
      <c r="F14" s="16">
        <v>1</v>
      </c>
      <c r="G14" s="89">
        <v>46149</v>
      </c>
    </row>
    <row r="15" spans="1:7" ht="22.5" customHeight="1">
      <c r="A15" s="86">
        <v>8000003152</v>
      </c>
      <c r="B15" s="87" t="s">
        <v>449</v>
      </c>
      <c r="C15" s="87" t="s">
        <v>450</v>
      </c>
      <c r="D15" s="87" t="s">
        <v>463</v>
      </c>
      <c r="E15" s="88">
        <v>1</v>
      </c>
      <c r="F15" s="16">
        <v>5</v>
      </c>
      <c r="G15" s="89">
        <v>46149</v>
      </c>
    </row>
    <row r="18" spans="1:13" ht="13">
      <c r="A18" s="90" t="s">
        <v>464</v>
      </c>
    </row>
    <row r="19" spans="1:13" ht="14">
      <c r="A19" s="54" t="s">
        <v>1</v>
      </c>
      <c r="B19" s="91" t="s">
        <v>445</v>
      </c>
      <c r="C19" s="54" t="s">
        <v>446</v>
      </c>
      <c r="D19" s="54" t="s">
        <v>465</v>
      </c>
      <c r="E19" s="54" t="s">
        <v>70</v>
      </c>
      <c r="F19" s="54" t="s">
        <v>447</v>
      </c>
      <c r="G19" s="54" t="s">
        <v>71</v>
      </c>
      <c r="H19" s="54" t="s">
        <v>466</v>
      </c>
      <c r="I19" s="54" t="s">
        <v>467</v>
      </c>
      <c r="L19" s="211">
        <v>46150</v>
      </c>
      <c r="M19" s="197"/>
    </row>
    <row r="20" spans="1:13" ht="14">
      <c r="A20" s="92">
        <v>46150</v>
      </c>
      <c r="B20" s="87">
        <v>7001470012</v>
      </c>
      <c r="C20" s="87" t="s">
        <v>468</v>
      </c>
      <c r="D20" s="87" t="s">
        <v>469</v>
      </c>
      <c r="E20" s="87" t="s">
        <v>470</v>
      </c>
      <c r="F20" s="87" t="s">
        <v>471</v>
      </c>
      <c r="G20" s="87">
        <v>1</v>
      </c>
      <c r="H20" s="87" t="s">
        <v>472</v>
      </c>
      <c r="I20" s="16">
        <v>1</v>
      </c>
      <c r="L20" s="93" t="s">
        <v>62</v>
      </c>
      <c r="M20" s="93" t="s">
        <v>473</v>
      </c>
    </row>
    <row r="21" spans="1:13" ht="14">
      <c r="A21" s="92">
        <v>46150</v>
      </c>
      <c r="B21" s="87">
        <v>7001727096</v>
      </c>
      <c r="C21" s="87" t="s">
        <v>453</v>
      </c>
      <c r="D21" s="87" t="s">
        <v>474</v>
      </c>
      <c r="E21" s="87" t="s">
        <v>454</v>
      </c>
      <c r="F21" s="87" t="s">
        <v>90</v>
      </c>
      <c r="G21" s="87">
        <v>1</v>
      </c>
      <c r="H21" s="87" t="s">
        <v>475</v>
      </c>
      <c r="I21" s="16">
        <v>28</v>
      </c>
      <c r="L21" s="93" t="s">
        <v>475</v>
      </c>
      <c r="M21" s="93">
        <v>3</v>
      </c>
    </row>
    <row r="22" spans="1:13" ht="14">
      <c r="A22" s="92">
        <v>46150</v>
      </c>
      <c r="B22" s="87">
        <v>7001797141</v>
      </c>
      <c r="C22" s="87" t="s">
        <v>457</v>
      </c>
      <c r="D22" s="87" t="s">
        <v>474</v>
      </c>
      <c r="E22" s="87" t="s">
        <v>458</v>
      </c>
      <c r="F22" s="87" t="s">
        <v>459</v>
      </c>
      <c r="G22" s="87">
        <v>10</v>
      </c>
      <c r="H22" s="87" t="s">
        <v>472</v>
      </c>
      <c r="I22" s="16">
        <v>4</v>
      </c>
      <c r="L22" s="94" t="s">
        <v>460</v>
      </c>
      <c r="M22" s="94">
        <v>1</v>
      </c>
    </row>
    <row r="23" spans="1:13" ht="14">
      <c r="A23" s="92">
        <v>46150</v>
      </c>
      <c r="B23" s="87">
        <v>7001856907</v>
      </c>
      <c r="C23" s="87" t="s">
        <v>460</v>
      </c>
      <c r="D23" s="87" t="s">
        <v>476</v>
      </c>
      <c r="E23" s="87" t="s">
        <v>450</v>
      </c>
      <c r="F23" s="87" t="s">
        <v>90</v>
      </c>
      <c r="G23" s="87">
        <v>5</v>
      </c>
      <c r="H23" s="87" t="s">
        <v>475</v>
      </c>
      <c r="I23" s="16">
        <v>3</v>
      </c>
      <c r="L23" s="94" t="s">
        <v>453</v>
      </c>
      <c r="M23" s="94">
        <v>1</v>
      </c>
    </row>
    <row r="24" spans="1:13" ht="14">
      <c r="A24" s="92">
        <v>46150</v>
      </c>
      <c r="B24" s="87">
        <v>7001865068</v>
      </c>
      <c r="C24" s="87" t="s">
        <v>449</v>
      </c>
      <c r="D24" s="87" t="s">
        <v>476</v>
      </c>
      <c r="E24" s="87" t="s">
        <v>461</v>
      </c>
      <c r="F24" s="87" t="s">
        <v>108</v>
      </c>
      <c r="G24" s="87">
        <v>1</v>
      </c>
      <c r="H24" s="87" t="s">
        <v>472</v>
      </c>
      <c r="I24" s="16">
        <v>20</v>
      </c>
      <c r="L24" s="94" t="s">
        <v>477</v>
      </c>
      <c r="M24" s="94">
        <v>1</v>
      </c>
    </row>
    <row r="25" spans="1:13" ht="14">
      <c r="A25" s="92">
        <v>46150</v>
      </c>
      <c r="B25" s="87">
        <v>7001932159</v>
      </c>
      <c r="C25" s="87" t="s">
        <v>449</v>
      </c>
      <c r="D25" s="87" t="s">
        <v>478</v>
      </c>
      <c r="E25" s="87" t="s">
        <v>85</v>
      </c>
      <c r="F25" s="87" t="s">
        <v>122</v>
      </c>
      <c r="G25" s="87">
        <v>2</v>
      </c>
      <c r="H25" s="87" t="s">
        <v>472</v>
      </c>
      <c r="I25" s="16">
        <v>17</v>
      </c>
      <c r="L25" s="93" t="s">
        <v>472</v>
      </c>
      <c r="M25" s="93">
        <v>7</v>
      </c>
    </row>
    <row r="26" spans="1:13" ht="14">
      <c r="A26" s="92">
        <v>46150</v>
      </c>
      <c r="B26" s="87">
        <v>7002041645</v>
      </c>
      <c r="C26" s="87" t="s">
        <v>449</v>
      </c>
      <c r="D26" s="87" t="s">
        <v>479</v>
      </c>
      <c r="E26" s="87" t="s">
        <v>454</v>
      </c>
      <c r="F26" s="87" t="s">
        <v>462</v>
      </c>
      <c r="G26" s="87">
        <v>1</v>
      </c>
      <c r="H26" s="87" t="s">
        <v>472</v>
      </c>
      <c r="I26" s="16">
        <v>12</v>
      </c>
      <c r="L26" s="94" t="s">
        <v>449</v>
      </c>
      <c r="M26" s="94">
        <v>4</v>
      </c>
    </row>
    <row r="27" spans="1:13" ht="14">
      <c r="A27" s="92">
        <v>46150</v>
      </c>
      <c r="B27" s="87">
        <v>7002169758</v>
      </c>
      <c r="C27" s="87" t="s">
        <v>480</v>
      </c>
      <c r="D27" s="87" t="s">
        <v>476</v>
      </c>
      <c r="E27" s="87" t="s">
        <v>481</v>
      </c>
      <c r="F27" s="87" t="s">
        <v>90</v>
      </c>
      <c r="G27" s="87">
        <v>21</v>
      </c>
      <c r="H27" s="87" t="s">
        <v>475</v>
      </c>
      <c r="I27" s="16">
        <v>1</v>
      </c>
      <c r="L27" s="94" t="s">
        <v>457</v>
      </c>
      <c r="M27" s="94">
        <v>1</v>
      </c>
    </row>
    <row r="28" spans="1:13" ht="14">
      <c r="A28" s="92">
        <v>46150</v>
      </c>
      <c r="B28" s="87">
        <v>7002244486</v>
      </c>
      <c r="C28" s="87" t="s">
        <v>468</v>
      </c>
      <c r="D28" s="87" t="s">
        <v>482</v>
      </c>
      <c r="E28" s="87" t="s">
        <v>103</v>
      </c>
      <c r="F28" s="87" t="s">
        <v>96</v>
      </c>
      <c r="G28" s="87">
        <v>380</v>
      </c>
      <c r="H28" s="87" t="s">
        <v>472</v>
      </c>
      <c r="I28" s="16">
        <v>1</v>
      </c>
      <c r="L28" s="94" t="s">
        <v>468</v>
      </c>
      <c r="M28" s="94">
        <v>2</v>
      </c>
    </row>
    <row r="29" spans="1:13" ht="14">
      <c r="A29" s="92">
        <v>46150</v>
      </c>
      <c r="B29" s="87">
        <v>8000003152</v>
      </c>
      <c r="C29" s="87" t="s">
        <v>449</v>
      </c>
      <c r="D29" s="87" t="s">
        <v>476</v>
      </c>
      <c r="E29" s="87" t="s">
        <v>450</v>
      </c>
      <c r="F29" s="87" t="s">
        <v>463</v>
      </c>
      <c r="G29" s="87">
        <v>1</v>
      </c>
      <c r="H29" s="87" t="s">
        <v>472</v>
      </c>
      <c r="I29" s="16">
        <v>6</v>
      </c>
      <c r="L29" s="95" t="s">
        <v>84</v>
      </c>
      <c r="M29" s="95">
        <v>10</v>
      </c>
    </row>
    <row r="32" spans="1:13" ht="14">
      <c r="A32" s="54" t="s">
        <v>1</v>
      </c>
      <c r="B32" s="91" t="s">
        <v>445</v>
      </c>
      <c r="C32" s="54" t="s">
        <v>446</v>
      </c>
      <c r="D32" s="54" t="s">
        <v>465</v>
      </c>
      <c r="E32" s="54" t="s">
        <v>70</v>
      </c>
      <c r="F32" s="54" t="s">
        <v>447</v>
      </c>
      <c r="G32" s="54" t="s">
        <v>71</v>
      </c>
      <c r="H32" s="54" t="s">
        <v>466</v>
      </c>
      <c r="L32" s="211">
        <v>46153</v>
      </c>
      <c r="M32" s="197"/>
    </row>
    <row r="33" spans="1:13" ht="14">
      <c r="A33" s="96">
        <v>46153</v>
      </c>
      <c r="B33" s="16">
        <v>7002327911</v>
      </c>
      <c r="C33" s="16" t="s">
        <v>483</v>
      </c>
      <c r="D33" s="16" t="s">
        <v>474</v>
      </c>
      <c r="E33" s="16" t="s">
        <v>98</v>
      </c>
      <c r="F33" s="16" t="s">
        <v>90</v>
      </c>
      <c r="G33" s="16">
        <v>5</v>
      </c>
      <c r="H33" s="16" t="s">
        <v>475</v>
      </c>
      <c r="L33" s="49" t="s">
        <v>62</v>
      </c>
      <c r="M33" s="49" t="s">
        <v>473</v>
      </c>
    </row>
    <row r="34" spans="1:13" ht="14">
      <c r="A34" s="96">
        <v>46153</v>
      </c>
      <c r="B34" s="16">
        <v>7002323918</v>
      </c>
      <c r="C34" s="16" t="s">
        <v>483</v>
      </c>
      <c r="D34" s="16" t="s">
        <v>474</v>
      </c>
      <c r="E34" s="16" t="s">
        <v>98</v>
      </c>
      <c r="F34" s="16" t="s">
        <v>90</v>
      </c>
      <c r="G34" s="16">
        <v>4</v>
      </c>
      <c r="H34" s="16" t="s">
        <v>475</v>
      </c>
      <c r="L34" s="95" t="s">
        <v>472</v>
      </c>
      <c r="M34" s="95">
        <v>9</v>
      </c>
    </row>
    <row r="35" spans="1:13" ht="14">
      <c r="A35" s="96">
        <v>46153</v>
      </c>
      <c r="B35" s="16">
        <v>7002320648</v>
      </c>
      <c r="C35" s="16" t="s">
        <v>468</v>
      </c>
      <c r="D35" s="16" t="s">
        <v>484</v>
      </c>
      <c r="E35" s="16" t="s">
        <v>454</v>
      </c>
      <c r="F35" s="16" t="s">
        <v>118</v>
      </c>
      <c r="G35" s="16">
        <v>1</v>
      </c>
      <c r="H35" s="16" t="s">
        <v>472</v>
      </c>
      <c r="L35" s="16" t="s">
        <v>468</v>
      </c>
      <c r="M35" s="16">
        <v>1</v>
      </c>
    </row>
    <row r="36" spans="1:13" ht="14">
      <c r="A36" s="96">
        <v>46153</v>
      </c>
      <c r="B36" s="16">
        <v>7002285556</v>
      </c>
      <c r="C36" s="16" t="s">
        <v>483</v>
      </c>
      <c r="D36" s="16" t="s">
        <v>474</v>
      </c>
      <c r="E36" s="16" t="s">
        <v>454</v>
      </c>
      <c r="F36" s="16" t="s">
        <v>90</v>
      </c>
      <c r="G36" s="16">
        <v>1</v>
      </c>
      <c r="H36" s="16" t="s">
        <v>475</v>
      </c>
      <c r="L36" s="16" t="s">
        <v>449</v>
      </c>
      <c r="M36" s="16">
        <v>6</v>
      </c>
    </row>
    <row r="37" spans="1:13" ht="14">
      <c r="A37" s="96">
        <v>46153</v>
      </c>
      <c r="B37" s="16">
        <v>7002282778</v>
      </c>
      <c r="C37" s="16" t="s">
        <v>483</v>
      </c>
      <c r="D37" s="16" t="s">
        <v>474</v>
      </c>
      <c r="E37" s="16" t="s">
        <v>485</v>
      </c>
      <c r="F37" s="16" t="s">
        <v>90</v>
      </c>
      <c r="G37" s="16">
        <v>66</v>
      </c>
      <c r="H37" s="16" t="s">
        <v>475</v>
      </c>
      <c r="L37" s="16" t="s">
        <v>453</v>
      </c>
      <c r="M37" s="16">
        <v>2</v>
      </c>
    </row>
    <row r="38" spans="1:13" ht="14">
      <c r="A38" s="96">
        <v>46153</v>
      </c>
      <c r="B38" s="16">
        <v>7002265394</v>
      </c>
      <c r="C38" s="16" t="s">
        <v>483</v>
      </c>
      <c r="D38" s="16" t="s">
        <v>474</v>
      </c>
      <c r="E38" s="16" t="s">
        <v>98</v>
      </c>
      <c r="F38" s="16" t="s">
        <v>90</v>
      </c>
      <c r="G38" s="16">
        <v>9</v>
      </c>
      <c r="H38" s="16" t="s">
        <v>475</v>
      </c>
      <c r="L38" s="97" t="s">
        <v>475</v>
      </c>
      <c r="M38" s="97">
        <v>8</v>
      </c>
    </row>
    <row r="39" spans="1:13" ht="14">
      <c r="A39" s="96">
        <v>46153</v>
      </c>
      <c r="B39" s="16">
        <v>7002201674</v>
      </c>
      <c r="C39" s="16" t="s">
        <v>453</v>
      </c>
      <c r="D39" s="16" t="s">
        <v>478</v>
      </c>
      <c r="E39" s="16" t="s">
        <v>486</v>
      </c>
      <c r="F39" s="16" t="s">
        <v>462</v>
      </c>
      <c r="G39" s="16">
        <v>1</v>
      </c>
      <c r="H39" s="16" t="s">
        <v>472</v>
      </c>
      <c r="L39" s="16" t="s">
        <v>468</v>
      </c>
      <c r="M39" s="16">
        <v>2</v>
      </c>
    </row>
    <row r="40" spans="1:13" ht="14">
      <c r="A40" s="96">
        <v>46153</v>
      </c>
      <c r="B40" s="16">
        <v>7002191268</v>
      </c>
      <c r="C40" s="16" t="s">
        <v>468</v>
      </c>
      <c r="D40" s="16" t="s">
        <v>482</v>
      </c>
      <c r="E40" s="16" t="s">
        <v>481</v>
      </c>
      <c r="F40" s="16" t="s">
        <v>90</v>
      </c>
      <c r="G40" s="16">
        <v>14</v>
      </c>
      <c r="H40" s="16" t="s">
        <v>475</v>
      </c>
      <c r="L40" s="16" t="s">
        <v>460</v>
      </c>
      <c r="M40" s="16">
        <v>1</v>
      </c>
    </row>
    <row r="41" spans="1:13" ht="14">
      <c r="A41" s="96">
        <v>46153</v>
      </c>
      <c r="B41" s="16">
        <v>7002185214</v>
      </c>
      <c r="C41" s="16" t="s">
        <v>468</v>
      </c>
      <c r="D41" s="16" t="s">
        <v>482</v>
      </c>
      <c r="E41" s="16" t="s">
        <v>481</v>
      </c>
      <c r="F41" s="16" t="s">
        <v>90</v>
      </c>
      <c r="G41" s="16">
        <v>5</v>
      </c>
      <c r="H41" s="16" t="s">
        <v>475</v>
      </c>
      <c r="L41" s="16" t="s">
        <v>483</v>
      </c>
      <c r="M41" s="16">
        <v>5</v>
      </c>
    </row>
    <row r="42" spans="1:13" ht="14">
      <c r="A42" s="96">
        <v>46153</v>
      </c>
      <c r="B42" s="16">
        <v>7002267039</v>
      </c>
      <c r="C42" s="16" t="s">
        <v>449</v>
      </c>
      <c r="D42" s="16" t="s">
        <v>476</v>
      </c>
      <c r="E42" s="16" t="s">
        <v>85</v>
      </c>
      <c r="F42" s="16" t="s">
        <v>107</v>
      </c>
      <c r="G42" s="16">
        <v>1</v>
      </c>
      <c r="H42" s="16" t="s">
        <v>472</v>
      </c>
      <c r="L42" s="49" t="s">
        <v>84</v>
      </c>
      <c r="M42" s="49">
        <v>17</v>
      </c>
    </row>
    <row r="43" spans="1:13" ht="14">
      <c r="A43" s="96">
        <v>46153</v>
      </c>
      <c r="B43" s="16">
        <v>7002265037</v>
      </c>
      <c r="C43" s="16" t="s">
        <v>449</v>
      </c>
      <c r="D43" s="16" t="s">
        <v>476</v>
      </c>
      <c r="E43" s="16" t="s">
        <v>85</v>
      </c>
      <c r="F43" s="16" t="s">
        <v>112</v>
      </c>
      <c r="G43" s="16">
        <v>1</v>
      </c>
      <c r="H43" s="16" t="s">
        <v>472</v>
      </c>
    </row>
    <row r="44" spans="1:13" ht="14">
      <c r="A44" s="96">
        <v>46153</v>
      </c>
      <c r="B44" s="16">
        <v>8000003152</v>
      </c>
      <c r="C44" s="16" t="s">
        <v>449</v>
      </c>
      <c r="D44" s="16" t="s">
        <v>476</v>
      </c>
      <c r="E44" s="16" t="s">
        <v>450</v>
      </c>
      <c r="F44" s="16" t="s">
        <v>463</v>
      </c>
      <c r="G44" s="16">
        <v>1</v>
      </c>
      <c r="H44" s="16" t="s">
        <v>472</v>
      </c>
    </row>
    <row r="45" spans="1:13" ht="14">
      <c r="A45" s="96">
        <v>46153</v>
      </c>
      <c r="B45" s="16">
        <v>7002239846</v>
      </c>
      <c r="C45" s="16" t="s">
        <v>453</v>
      </c>
      <c r="D45" s="16" t="s">
        <v>478</v>
      </c>
      <c r="E45" s="16" t="s">
        <v>103</v>
      </c>
      <c r="F45" s="16" t="s">
        <v>108</v>
      </c>
      <c r="G45" s="16">
        <v>1</v>
      </c>
      <c r="H45" s="16" t="s">
        <v>472</v>
      </c>
    </row>
    <row r="46" spans="1:13" ht="14">
      <c r="A46" s="96">
        <v>46153</v>
      </c>
      <c r="B46" s="16">
        <v>7001856907</v>
      </c>
      <c r="C46" s="16" t="s">
        <v>460</v>
      </c>
      <c r="D46" s="16" t="s">
        <v>476</v>
      </c>
      <c r="E46" s="16" t="s">
        <v>450</v>
      </c>
      <c r="F46" s="16" t="s">
        <v>90</v>
      </c>
      <c r="G46" s="16">
        <v>5</v>
      </c>
      <c r="H46" s="16" t="s">
        <v>475</v>
      </c>
    </row>
    <row r="47" spans="1:13" ht="14">
      <c r="A47" s="96">
        <v>46153</v>
      </c>
      <c r="B47" s="16">
        <v>7001865068</v>
      </c>
      <c r="C47" s="16" t="s">
        <v>449</v>
      </c>
      <c r="D47" s="16" t="s">
        <v>476</v>
      </c>
      <c r="E47" s="16" t="s">
        <v>461</v>
      </c>
      <c r="F47" s="16" t="s">
        <v>108</v>
      </c>
      <c r="G47" s="16">
        <v>1</v>
      </c>
      <c r="H47" s="16" t="s">
        <v>472</v>
      </c>
    </row>
    <row r="48" spans="1:13" ht="14">
      <c r="A48" s="96">
        <v>46153</v>
      </c>
      <c r="B48" s="16">
        <v>7002041645</v>
      </c>
      <c r="C48" s="16" t="s">
        <v>449</v>
      </c>
      <c r="D48" s="16" t="s">
        <v>479</v>
      </c>
      <c r="E48" s="16" t="s">
        <v>454</v>
      </c>
      <c r="F48" s="16" t="s">
        <v>462</v>
      </c>
      <c r="G48" s="16">
        <v>1</v>
      </c>
      <c r="H48" s="16" t="s">
        <v>472</v>
      </c>
    </row>
    <row r="49" spans="1:13" ht="14">
      <c r="A49" s="96">
        <v>46153</v>
      </c>
      <c r="B49" s="16">
        <v>7001932159</v>
      </c>
      <c r="C49" s="16" t="s">
        <v>449</v>
      </c>
      <c r="D49" s="16" t="s">
        <v>478</v>
      </c>
      <c r="E49" s="16" t="s">
        <v>85</v>
      </c>
      <c r="F49" s="16" t="s">
        <v>122</v>
      </c>
      <c r="G49" s="16">
        <v>2</v>
      </c>
      <c r="H49" s="16" t="s">
        <v>472</v>
      </c>
    </row>
    <row r="52" spans="1:13" ht="14">
      <c r="A52" s="54" t="s">
        <v>1</v>
      </c>
      <c r="B52" s="91" t="s">
        <v>445</v>
      </c>
      <c r="C52" s="54" t="s">
        <v>446</v>
      </c>
      <c r="D52" s="54" t="s">
        <v>465</v>
      </c>
      <c r="E52" s="54" t="s">
        <v>70</v>
      </c>
      <c r="F52" s="54" t="s">
        <v>447</v>
      </c>
      <c r="G52" s="54" t="s">
        <v>71</v>
      </c>
      <c r="H52" s="54" t="s">
        <v>466</v>
      </c>
      <c r="L52" s="212">
        <v>46154</v>
      </c>
      <c r="M52" s="197"/>
    </row>
    <row r="53" spans="1:13" ht="14">
      <c r="A53" s="96">
        <v>46154</v>
      </c>
      <c r="B53" s="16">
        <v>7001856907</v>
      </c>
      <c r="C53" s="16" t="s">
        <v>460</v>
      </c>
      <c r="D53" s="16" t="s">
        <v>476</v>
      </c>
      <c r="E53" s="16" t="s">
        <v>450</v>
      </c>
      <c r="F53" s="16" t="s">
        <v>90</v>
      </c>
      <c r="G53" s="16">
        <v>5</v>
      </c>
      <c r="H53" s="16" t="s">
        <v>475</v>
      </c>
      <c r="L53" s="98" t="s">
        <v>62</v>
      </c>
      <c r="M53" s="98" t="s">
        <v>473</v>
      </c>
    </row>
    <row r="54" spans="1:13" ht="14">
      <c r="A54" s="96">
        <v>46154</v>
      </c>
      <c r="B54" s="16">
        <v>7001865068</v>
      </c>
      <c r="C54" s="16" t="s">
        <v>449</v>
      </c>
      <c r="D54" s="16" t="s">
        <v>476</v>
      </c>
      <c r="E54" s="16" t="s">
        <v>461</v>
      </c>
      <c r="F54" s="16" t="s">
        <v>108</v>
      </c>
      <c r="G54" s="16">
        <v>1</v>
      </c>
      <c r="H54" s="16" t="s">
        <v>472</v>
      </c>
      <c r="L54" s="99" t="s">
        <v>472</v>
      </c>
      <c r="M54" s="99">
        <v>10</v>
      </c>
    </row>
    <row r="55" spans="1:13" ht="14">
      <c r="A55" s="96">
        <v>46154</v>
      </c>
      <c r="B55" s="16">
        <v>7001932159</v>
      </c>
      <c r="C55" s="16" t="s">
        <v>449</v>
      </c>
      <c r="D55" s="16" t="s">
        <v>478</v>
      </c>
      <c r="E55" s="16" t="s">
        <v>85</v>
      </c>
      <c r="F55" s="16" t="s">
        <v>122</v>
      </c>
      <c r="G55" s="16">
        <v>2</v>
      </c>
      <c r="H55" s="16" t="s">
        <v>472</v>
      </c>
      <c r="L55" s="94" t="s">
        <v>468</v>
      </c>
      <c r="M55" s="94">
        <v>1</v>
      </c>
    </row>
    <row r="56" spans="1:13" ht="14">
      <c r="A56" s="96">
        <v>46154</v>
      </c>
      <c r="B56" s="16">
        <v>7002041645</v>
      </c>
      <c r="C56" s="16" t="s">
        <v>449</v>
      </c>
      <c r="D56" s="16" t="s">
        <v>479</v>
      </c>
      <c r="E56" s="16" t="s">
        <v>454</v>
      </c>
      <c r="F56" s="16" t="s">
        <v>462</v>
      </c>
      <c r="G56" s="16">
        <v>1</v>
      </c>
      <c r="H56" s="16" t="s">
        <v>472</v>
      </c>
      <c r="L56" s="94" t="s">
        <v>487</v>
      </c>
      <c r="M56" s="94">
        <v>1</v>
      </c>
    </row>
    <row r="57" spans="1:13" ht="14">
      <c r="A57" s="96">
        <v>46154</v>
      </c>
      <c r="B57" s="16">
        <v>7002201674</v>
      </c>
      <c r="C57" s="16" t="s">
        <v>453</v>
      </c>
      <c r="D57" s="16" t="s">
        <v>478</v>
      </c>
      <c r="E57" s="16" t="s">
        <v>486</v>
      </c>
      <c r="F57" s="16" t="s">
        <v>462</v>
      </c>
      <c r="G57" s="16">
        <v>1</v>
      </c>
      <c r="H57" s="16" t="s">
        <v>472</v>
      </c>
      <c r="L57" s="94" t="s">
        <v>449</v>
      </c>
      <c r="M57" s="94">
        <v>6</v>
      </c>
    </row>
    <row r="58" spans="1:13" ht="14">
      <c r="A58" s="96">
        <v>46154</v>
      </c>
      <c r="B58" s="16">
        <v>7002239846</v>
      </c>
      <c r="C58" s="16" t="s">
        <v>453</v>
      </c>
      <c r="D58" s="16" t="s">
        <v>478</v>
      </c>
      <c r="E58" s="16" t="s">
        <v>103</v>
      </c>
      <c r="F58" s="16" t="s">
        <v>108</v>
      </c>
      <c r="G58" s="16">
        <v>1</v>
      </c>
      <c r="H58" s="16" t="s">
        <v>472</v>
      </c>
      <c r="L58" s="94" t="s">
        <v>453</v>
      </c>
      <c r="M58" s="94">
        <v>2</v>
      </c>
    </row>
    <row r="59" spans="1:13" ht="14">
      <c r="A59" s="96">
        <v>46154</v>
      </c>
      <c r="B59" s="16">
        <v>7002254833</v>
      </c>
      <c r="C59" s="16" t="s">
        <v>449</v>
      </c>
      <c r="D59" s="16" t="s">
        <v>476</v>
      </c>
      <c r="E59" s="16" t="s">
        <v>488</v>
      </c>
      <c r="F59" s="16" t="s">
        <v>90</v>
      </c>
      <c r="G59" s="16">
        <v>1</v>
      </c>
      <c r="H59" s="16" t="s">
        <v>475</v>
      </c>
      <c r="L59" s="99" t="s">
        <v>475</v>
      </c>
      <c r="M59" s="99">
        <v>2</v>
      </c>
    </row>
    <row r="60" spans="1:13" ht="14">
      <c r="A60" s="96">
        <v>46154</v>
      </c>
      <c r="B60" s="16">
        <v>7002265037</v>
      </c>
      <c r="C60" s="16" t="s">
        <v>449</v>
      </c>
      <c r="D60" s="16" t="s">
        <v>476</v>
      </c>
      <c r="E60" s="16" t="s">
        <v>85</v>
      </c>
      <c r="F60" s="16" t="s">
        <v>112</v>
      </c>
      <c r="G60" s="16">
        <v>1</v>
      </c>
      <c r="H60" s="16" t="s">
        <v>472</v>
      </c>
      <c r="L60" s="94" t="s">
        <v>449</v>
      </c>
      <c r="M60" s="94">
        <v>1</v>
      </c>
    </row>
    <row r="61" spans="1:13" ht="14">
      <c r="A61" s="96">
        <v>46154</v>
      </c>
      <c r="B61" s="16">
        <v>7002267039</v>
      </c>
      <c r="C61" s="16" t="s">
        <v>449</v>
      </c>
      <c r="D61" s="16" t="s">
        <v>476</v>
      </c>
      <c r="E61" s="16" t="s">
        <v>85</v>
      </c>
      <c r="F61" s="16" t="s">
        <v>107</v>
      </c>
      <c r="G61" s="16">
        <v>1</v>
      </c>
      <c r="H61" s="16" t="s">
        <v>472</v>
      </c>
      <c r="L61" s="94" t="s">
        <v>460</v>
      </c>
      <c r="M61" s="94">
        <v>1</v>
      </c>
    </row>
    <row r="62" spans="1:13" ht="14">
      <c r="A62" s="96">
        <v>46154</v>
      </c>
      <c r="B62" s="16">
        <v>7002301583</v>
      </c>
      <c r="C62" s="16" t="s">
        <v>487</v>
      </c>
      <c r="D62" s="16" t="s">
        <v>489</v>
      </c>
      <c r="E62" s="16" t="s">
        <v>103</v>
      </c>
      <c r="F62" s="16" t="s">
        <v>462</v>
      </c>
      <c r="G62" s="16">
        <v>4</v>
      </c>
      <c r="H62" s="16" t="s">
        <v>472</v>
      </c>
      <c r="L62" s="98" t="s">
        <v>84</v>
      </c>
      <c r="M62" s="98">
        <v>12</v>
      </c>
    </row>
    <row r="63" spans="1:13" ht="14">
      <c r="A63" s="96">
        <v>46154</v>
      </c>
      <c r="B63" s="16">
        <v>7002316887</v>
      </c>
      <c r="C63" s="16" t="s">
        <v>468</v>
      </c>
      <c r="D63" s="16" t="s">
        <v>490</v>
      </c>
      <c r="E63" s="16" t="s">
        <v>470</v>
      </c>
      <c r="F63" s="16" t="s">
        <v>96</v>
      </c>
      <c r="G63" s="16">
        <v>2</v>
      </c>
      <c r="H63" s="16" t="s">
        <v>472</v>
      </c>
    </row>
    <row r="64" spans="1:13" ht="14">
      <c r="A64" s="96">
        <v>46154</v>
      </c>
      <c r="B64" s="16">
        <v>8000003152</v>
      </c>
      <c r="C64" s="16" t="s">
        <v>449</v>
      </c>
      <c r="D64" s="16" t="s">
        <v>476</v>
      </c>
      <c r="E64" s="16" t="s">
        <v>450</v>
      </c>
      <c r="F64" s="16" t="s">
        <v>463</v>
      </c>
      <c r="G64" s="16">
        <v>1</v>
      </c>
      <c r="H64" s="16" t="s">
        <v>472</v>
      </c>
    </row>
    <row r="67" spans="1:13" ht="14">
      <c r="A67" s="54" t="s">
        <v>1</v>
      </c>
      <c r="B67" s="91" t="s">
        <v>445</v>
      </c>
      <c r="C67" s="54" t="s">
        <v>446</v>
      </c>
      <c r="D67" s="54" t="s">
        <v>465</v>
      </c>
      <c r="E67" s="54" t="s">
        <v>70</v>
      </c>
      <c r="F67" s="54" t="s">
        <v>447</v>
      </c>
      <c r="G67" s="54" t="s">
        <v>71</v>
      </c>
      <c r="H67" s="54" t="s">
        <v>466</v>
      </c>
      <c r="L67" s="212">
        <v>46155</v>
      </c>
      <c r="M67" s="197"/>
    </row>
    <row r="68" spans="1:13" ht="14">
      <c r="A68" s="100">
        <v>46155</v>
      </c>
      <c r="B68" s="87">
        <v>7001474032</v>
      </c>
      <c r="C68" s="40" t="s">
        <v>491</v>
      </c>
      <c r="D68" s="87" t="s">
        <v>479</v>
      </c>
      <c r="E68" s="87" t="s">
        <v>470</v>
      </c>
      <c r="F68" s="87" t="s">
        <v>485</v>
      </c>
      <c r="G68" s="87">
        <v>1</v>
      </c>
      <c r="H68" s="87" t="s">
        <v>472</v>
      </c>
      <c r="L68" s="54" t="s">
        <v>62</v>
      </c>
      <c r="M68" s="54" t="s">
        <v>473</v>
      </c>
    </row>
    <row r="69" spans="1:13" ht="14">
      <c r="A69" s="100">
        <v>46155</v>
      </c>
      <c r="B69" s="87">
        <v>7001489825</v>
      </c>
      <c r="C69" s="87" t="s">
        <v>468</v>
      </c>
      <c r="D69" s="87" t="s">
        <v>479</v>
      </c>
      <c r="E69" s="87" t="s">
        <v>470</v>
      </c>
      <c r="F69" s="87" t="s">
        <v>471</v>
      </c>
      <c r="G69" s="87">
        <v>1</v>
      </c>
      <c r="H69" s="87" t="s">
        <v>472</v>
      </c>
      <c r="L69" s="97" t="s">
        <v>472</v>
      </c>
      <c r="M69" s="97">
        <v>36</v>
      </c>
    </row>
    <row r="70" spans="1:13" ht="14">
      <c r="A70" s="100">
        <v>46155</v>
      </c>
      <c r="B70" s="87">
        <v>7001865068</v>
      </c>
      <c r="C70" s="87" t="s">
        <v>449</v>
      </c>
      <c r="D70" s="87" t="s">
        <v>476</v>
      </c>
      <c r="E70" s="87" t="s">
        <v>461</v>
      </c>
      <c r="F70" s="87" t="s">
        <v>108</v>
      </c>
      <c r="G70" s="87">
        <v>0</v>
      </c>
      <c r="H70" s="87" t="s">
        <v>472</v>
      </c>
      <c r="L70" s="16" t="s">
        <v>492</v>
      </c>
      <c r="M70" s="16">
        <v>22</v>
      </c>
    </row>
    <row r="71" spans="1:13" ht="14">
      <c r="A71" s="100">
        <v>46155</v>
      </c>
      <c r="B71" s="87">
        <v>7001932159</v>
      </c>
      <c r="C71" s="87" t="s">
        <v>449</v>
      </c>
      <c r="D71" s="87" t="s">
        <v>478</v>
      </c>
      <c r="E71" s="87" t="s">
        <v>85</v>
      </c>
      <c r="F71" s="87" t="s">
        <v>122</v>
      </c>
      <c r="G71" s="87">
        <v>2</v>
      </c>
      <c r="H71" s="87" t="s">
        <v>472</v>
      </c>
      <c r="L71" s="16" t="s">
        <v>449</v>
      </c>
      <c r="M71" s="16">
        <v>6</v>
      </c>
    </row>
    <row r="72" spans="1:13" ht="14">
      <c r="A72" s="100">
        <v>46155</v>
      </c>
      <c r="B72" s="87">
        <v>7002041645</v>
      </c>
      <c r="C72" s="87" t="s">
        <v>449</v>
      </c>
      <c r="D72" s="87" t="s">
        <v>479</v>
      </c>
      <c r="E72" s="87" t="s">
        <v>454</v>
      </c>
      <c r="F72" s="87" t="s">
        <v>462</v>
      </c>
      <c r="G72" s="87">
        <v>0</v>
      </c>
      <c r="H72" s="87" t="s">
        <v>472</v>
      </c>
      <c r="L72" s="16" t="s">
        <v>468</v>
      </c>
      <c r="M72" s="16">
        <v>4</v>
      </c>
    </row>
    <row r="73" spans="1:13" ht="14">
      <c r="A73" s="100">
        <v>46155</v>
      </c>
      <c r="B73" s="87">
        <v>7002201674</v>
      </c>
      <c r="C73" s="87" t="s">
        <v>453</v>
      </c>
      <c r="D73" s="87" t="s">
        <v>478</v>
      </c>
      <c r="E73" s="87" t="s">
        <v>486</v>
      </c>
      <c r="F73" s="87" t="s">
        <v>462</v>
      </c>
      <c r="G73" s="87">
        <v>1</v>
      </c>
      <c r="H73" s="87" t="s">
        <v>472</v>
      </c>
      <c r="L73" s="16" t="s">
        <v>453</v>
      </c>
      <c r="M73" s="16">
        <v>2</v>
      </c>
    </row>
    <row r="74" spans="1:13" ht="14">
      <c r="A74" s="100">
        <v>46155</v>
      </c>
      <c r="B74" s="87">
        <v>7002239846</v>
      </c>
      <c r="C74" s="87" t="s">
        <v>453</v>
      </c>
      <c r="D74" s="87" t="s">
        <v>478</v>
      </c>
      <c r="E74" s="87" t="s">
        <v>103</v>
      </c>
      <c r="F74" s="87" t="s">
        <v>108</v>
      </c>
      <c r="G74" s="87">
        <v>1</v>
      </c>
      <c r="H74" s="87" t="s">
        <v>472</v>
      </c>
      <c r="L74" s="16" t="s">
        <v>487</v>
      </c>
      <c r="M74" s="16">
        <v>1</v>
      </c>
    </row>
    <row r="75" spans="1:13" ht="14">
      <c r="A75" s="100">
        <v>46155</v>
      </c>
      <c r="B75" s="87">
        <v>7002254833</v>
      </c>
      <c r="C75" s="87" t="s">
        <v>449</v>
      </c>
      <c r="D75" s="87" t="s">
        <v>476</v>
      </c>
      <c r="E75" s="87" t="s">
        <v>488</v>
      </c>
      <c r="F75" s="87" t="s">
        <v>90</v>
      </c>
      <c r="G75" s="87">
        <v>0</v>
      </c>
      <c r="H75" s="87" t="s">
        <v>475</v>
      </c>
      <c r="L75" s="16" t="s">
        <v>491</v>
      </c>
      <c r="M75" s="16">
        <v>1</v>
      </c>
    </row>
    <row r="76" spans="1:13" ht="14">
      <c r="A76" s="100">
        <v>46155</v>
      </c>
      <c r="B76" s="87">
        <v>7002265037</v>
      </c>
      <c r="C76" s="87" t="s">
        <v>449</v>
      </c>
      <c r="D76" s="87" t="s">
        <v>476</v>
      </c>
      <c r="E76" s="87" t="s">
        <v>85</v>
      </c>
      <c r="F76" s="87" t="s">
        <v>112</v>
      </c>
      <c r="G76" s="87">
        <v>0</v>
      </c>
      <c r="H76" s="87" t="s">
        <v>472</v>
      </c>
      <c r="L76" s="97" t="s">
        <v>475</v>
      </c>
      <c r="M76" s="97">
        <v>3</v>
      </c>
    </row>
    <row r="77" spans="1:13" ht="14">
      <c r="A77" s="100">
        <v>46155</v>
      </c>
      <c r="B77" s="87">
        <v>7002267039</v>
      </c>
      <c r="C77" s="87" t="s">
        <v>449</v>
      </c>
      <c r="D77" s="87" t="s">
        <v>476</v>
      </c>
      <c r="E77" s="87" t="s">
        <v>85</v>
      </c>
      <c r="F77" s="87" t="s">
        <v>107</v>
      </c>
      <c r="G77" s="87">
        <v>0</v>
      </c>
      <c r="H77" s="87" t="s">
        <v>472</v>
      </c>
      <c r="L77" s="16" t="s">
        <v>493</v>
      </c>
      <c r="M77" s="16">
        <v>2</v>
      </c>
    </row>
    <row r="78" spans="1:13" ht="14">
      <c r="A78" s="100">
        <v>46155</v>
      </c>
      <c r="B78" s="87">
        <v>7002300550</v>
      </c>
      <c r="C78" s="87" t="s">
        <v>468</v>
      </c>
      <c r="D78" s="87" t="s">
        <v>474</v>
      </c>
      <c r="E78" s="87" t="s">
        <v>98</v>
      </c>
      <c r="F78" s="87" t="s">
        <v>96</v>
      </c>
      <c r="G78" s="87">
        <v>2</v>
      </c>
      <c r="H78" s="87" t="s">
        <v>472</v>
      </c>
      <c r="L78" s="16" t="s">
        <v>449</v>
      </c>
      <c r="M78" s="16">
        <v>1</v>
      </c>
    </row>
    <row r="79" spans="1:13" ht="14">
      <c r="A79" s="100">
        <v>46155</v>
      </c>
      <c r="B79" s="87">
        <v>7002301583</v>
      </c>
      <c r="C79" s="87" t="s">
        <v>487</v>
      </c>
      <c r="D79" s="87" t="s">
        <v>489</v>
      </c>
      <c r="E79" s="87" t="s">
        <v>103</v>
      </c>
      <c r="F79" s="87" t="s">
        <v>462</v>
      </c>
      <c r="G79" s="87">
        <v>4</v>
      </c>
      <c r="H79" s="87" t="s">
        <v>472</v>
      </c>
      <c r="L79" s="54" t="s">
        <v>84</v>
      </c>
      <c r="M79" s="54">
        <v>39</v>
      </c>
    </row>
    <row r="80" spans="1:13" ht="13">
      <c r="A80" s="100">
        <v>46155</v>
      </c>
      <c r="B80" s="87">
        <v>7002304419</v>
      </c>
      <c r="C80" s="87" t="s">
        <v>493</v>
      </c>
      <c r="D80" s="87" t="s">
        <v>474</v>
      </c>
      <c r="E80" s="87" t="s">
        <v>486</v>
      </c>
      <c r="F80" s="87" t="s">
        <v>90</v>
      </c>
      <c r="G80" s="87">
        <v>5</v>
      </c>
      <c r="H80" s="87" t="s">
        <v>475</v>
      </c>
    </row>
    <row r="81" spans="1:8" ht="13">
      <c r="A81" s="100">
        <v>46155</v>
      </c>
      <c r="B81" s="87">
        <v>7002311808</v>
      </c>
      <c r="C81" s="87" t="s">
        <v>493</v>
      </c>
      <c r="D81" s="87" t="s">
        <v>474</v>
      </c>
      <c r="E81" s="87" t="s">
        <v>486</v>
      </c>
      <c r="F81" s="87" t="s">
        <v>90</v>
      </c>
      <c r="G81" s="87">
        <v>3</v>
      </c>
      <c r="H81" s="87" t="s">
        <v>475</v>
      </c>
    </row>
    <row r="82" spans="1:8" ht="13">
      <c r="A82" s="100">
        <v>46155</v>
      </c>
      <c r="B82" s="87">
        <v>7002312252</v>
      </c>
      <c r="C82" s="87" t="s">
        <v>494</v>
      </c>
      <c r="D82" s="87" t="s">
        <v>474</v>
      </c>
      <c r="E82" s="87" t="s">
        <v>454</v>
      </c>
      <c r="F82" s="87" t="s">
        <v>462</v>
      </c>
      <c r="G82" s="87">
        <v>1</v>
      </c>
      <c r="H82" s="87" t="s">
        <v>472</v>
      </c>
    </row>
    <row r="83" spans="1:8" ht="13">
      <c r="A83" s="100">
        <v>46155</v>
      </c>
      <c r="B83" s="87">
        <v>7002322730</v>
      </c>
      <c r="C83" s="87" t="s">
        <v>494</v>
      </c>
      <c r="D83" s="87" t="s">
        <v>474</v>
      </c>
      <c r="E83" s="87" t="s">
        <v>454</v>
      </c>
      <c r="F83" s="87" t="s">
        <v>462</v>
      </c>
      <c r="G83" s="87">
        <v>2</v>
      </c>
      <c r="H83" s="87" t="s">
        <v>472</v>
      </c>
    </row>
    <row r="84" spans="1:8" ht="13">
      <c r="A84" s="100">
        <v>46155</v>
      </c>
      <c r="B84" s="87">
        <v>7002323116</v>
      </c>
      <c r="C84" s="87" t="s">
        <v>494</v>
      </c>
      <c r="D84" s="87" t="s">
        <v>474</v>
      </c>
      <c r="E84" s="87" t="s">
        <v>454</v>
      </c>
      <c r="F84" s="87" t="s">
        <v>462</v>
      </c>
      <c r="G84" s="87">
        <v>3</v>
      </c>
      <c r="H84" s="87" t="s">
        <v>472</v>
      </c>
    </row>
    <row r="85" spans="1:8" ht="13">
      <c r="A85" s="100">
        <v>46155</v>
      </c>
      <c r="B85" s="87">
        <v>7002331016</v>
      </c>
      <c r="C85" s="87" t="s">
        <v>494</v>
      </c>
      <c r="D85" s="87" t="s">
        <v>474</v>
      </c>
      <c r="E85" s="87" t="s">
        <v>98</v>
      </c>
      <c r="F85" s="87" t="s">
        <v>462</v>
      </c>
      <c r="G85" s="87">
        <v>1</v>
      </c>
      <c r="H85" s="87" t="s">
        <v>472</v>
      </c>
    </row>
    <row r="86" spans="1:8" ht="13">
      <c r="A86" s="100">
        <v>46155</v>
      </c>
      <c r="B86" s="87">
        <v>7002336855</v>
      </c>
      <c r="C86" s="87" t="s">
        <v>494</v>
      </c>
      <c r="D86" s="87" t="s">
        <v>474</v>
      </c>
      <c r="E86" s="87" t="s">
        <v>98</v>
      </c>
      <c r="F86" s="87" t="s">
        <v>462</v>
      </c>
      <c r="G86" s="87">
        <v>4</v>
      </c>
      <c r="H86" s="87" t="s">
        <v>472</v>
      </c>
    </row>
    <row r="87" spans="1:8" ht="13">
      <c r="A87" s="100">
        <v>46155</v>
      </c>
      <c r="B87" s="87">
        <v>7002336916</v>
      </c>
      <c r="C87" s="87" t="s">
        <v>494</v>
      </c>
      <c r="D87" s="87" t="s">
        <v>474</v>
      </c>
      <c r="E87" s="87" t="s">
        <v>98</v>
      </c>
      <c r="F87" s="87" t="s">
        <v>462</v>
      </c>
      <c r="G87" s="87">
        <v>2</v>
      </c>
      <c r="H87" s="87" t="s">
        <v>472</v>
      </c>
    </row>
    <row r="88" spans="1:8" ht="13">
      <c r="A88" s="100">
        <v>46155</v>
      </c>
      <c r="B88" s="87">
        <v>7002339858</v>
      </c>
      <c r="C88" s="87" t="s">
        <v>494</v>
      </c>
      <c r="D88" s="87" t="s">
        <v>474</v>
      </c>
      <c r="E88" s="87" t="s">
        <v>98</v>
      </c>
      <c r="F88" s="87" t="s">
        <v>462</v>
      </c>
      <c r="G88" s="87">
        <v>2</v>
      </c>
      <c r="H88" s="87" t="s">
        <v>472</v>
      </c>
    </row>
    <row r="89" spans="1:8" ht="13">
      <c r="A89" s="100">
        <v>46155</v>
      </c>
      <c r="B89" s="87">
        <v>7002340223</v>
      </c>
      <c r="C89" s="87" t="s">
        <v>494</v>
      </c>
      <c r="D89" s="87" t="s">
        <v>495</v>
      </c>
      <c r="E89" s="87" t="s">
        <v>103</v>
      </c>
      <c r="F89" s="87" t="s">
        <v>462</v>
      </c>
      <c r="G89" s="87">
        <v>1</v>
      </c>
      <c r="H89" s="87" t="s">
        <v>472</v>
      </c>
    </row>
    <row r="90" spans="1:8" ht="13">
      <c r="A90" s="100">
        <v>46155</v>
      </c>
      <c r="B90" s="87">
        <v>7002343619</v>
      </c>
      <c r="C90" s="87" t="s">
        <v>494</v>
      </c>
      <c r="D90" s="87" t="s">
        <v>474</v>
      </c>
      <c r="E90" s="87" t="s">
        <v>454</v>
      </c>
      <c r="F90" s="87" t="s">
        <v>462</v>
      </c>
      <c r="G90" s="87">
        <v>3</v>
      </c>
      <c r="H90" s="87" t="s">
        <v>472</v>
      </c>
    </row>
    <row r="91" spans="1:8" ht="13">
      <c r="A91" s="100">
        <v>46155</v>
      </c>
      <c r="B91" s="87">
        <v>7002344467</v>
      </c>
      <c r="C91" s="87" t="s">
        <v>494</v>
      </c>
      <c r="D91" s="87" t="s">
        <v>474</v>
      </c>
      <c r="E91" s="87" t="s">
        <v>454</v>
      </c>
      <c r="F91" s="87" t="s">
        <v>462</v>
      </c>
      <c r="G91" s="87">
        <v>9</v>
      </c>
      <c r="H91" s="87" t="s">
        <v>472</v>
      </c>
    </row>
    <row r="92" spans="1:8" ht="13">
      <c r="A92" s="100">
        <v>46155</v>
      </c>
      <c r="B92" s="87">
        <v>7002344498</v>
      </c>
      <c r="C92" s="87" t="s">
        <v>468</v>
      </c>
      <c r="D92" s="87" t="s">
        <v>474</v>
      </c>
      <c r="E92" s="87" t="s">
        <v>471</v>
      </c>
      <c r="F92" s="87" t="s">
        <v>108</v>
      </c>
      <c r="G92" s="87">
        <v>13</v>
      </c>
      <c r="H92" s="87" t="s">
        <v>472</v>
      </c>
    </row>
    <row r="93" spans="1:8" ht="13">
      <c r="A93" s="100">
        <v>46155</v>
      </c>
      <c r="B93" s="87">
        <v>7002345621</v>
      </c>
      <c r="C93" s="87" t="s">
        <v>494</v>
      </c>
      <c r="D93" s="87" t="s">
        <v>474</v>
      </c>
      <c r="E93" s="87" t="s">
        <v>454</v>
      </c>
      <c r="F93" s="87" t="s">
        <v>462</v>
      </c>
      <c r="G93" s="87">
        <v>2</v>
      </c>
      <c r="H93" s="87" t="s">
        <v>472</v>
      </c>
    </row>
    <row r="94" spans="1:8" ht="13">
      <c r="A94" s="100">
        <v>46155</v>
      </c>
      <c r="B94" s="87">
        <v>7002347330</v>
      </c>
      <c r="C94" s="87" t="s">
        <v>494</v>
      </c>
      <c r="D94" s="87" t="s">
        <v>474</v>
      </c>
      <c r="E94" s="87" t="s">
        <v>98</v>
      </c>
      <c r="F94" s="87" t="s">
        <v>462</v>
      </c>
      <c r="G94" s="87">
        <v>1</v>
      </c>
      <c r="H94" s="87" t="s">
        <v>472</v>
      </c>
    </row>
    <row r="95" spans="1:8" ht="13">
      <c r="A95" s="100">
        <v>46155</v>
      </c>
      <c r="B95" s="87">
        <v>7002347915</v>
      </c>
      <c r="C95" s="87" t="s">
        <v>494</v>
      </c>
      <c r="D95" s="87" t="s">
        <v>474</v>
      </c>
      <c r="E95" s="87" t="s">
        <v>98</v>
      </c>
      <c r="F95" s="87" t="s">
        <v>462</v>
      </c>
      <c r="G95" s="87">
        <v>17</v>
      </c>
      <c r="H95" s="87" t="s">
        <v>472</v>
      </c>
    </row>
    <row r="96" spans="1:8" ht="13">
      <c r="A96" s="100">
        <v>46155</v>
      </c>
      <c r="B96" s="87">
        <v>7002349332</v>
      </c>
      <c r="C96" s="87" t="s">
        <v>494</v>
      </c>
      <c r="D96" s="87" t="s">
        <v>474</v>
      </c>
      <c r="E96" s="87" t="s">
        <v>98</v>
      </c>
      <c r="F96" s="87" t="s">
        <v>462</v>
      </c>
      <c r="G96" s="87">
        <v>5</v>
      </c>
      <c r="H96" s="87" t="s">
        <v>472</v>
      </c>
    </row>
    <row r="97" spans="1:14" ht="13">
      <c r="A97" s="100">
        <v>46155</v>
      </c>
      <c r="B97" s="87">
        <v>7002350647</v>
      </c>
      <c r="C97" s="87" t="s">
        <v>468</v>
      </c>
      <c r="D97" s="87" t="s">
        <v>474</v>
      </c>
      <c r="E97" s="87" t="s">
        <v>98</v>
      </c>
      <c r="F97" s="87" t="s">
        <v>96</v>
      </c>
      <c r="G97" s="87">
        <v>2</v>
      </c>
      <c r="H97" s="87" t="s">
        <v>472</v>
      </c>
    </row>
    <row r="98" spans="1:14" ht="13">
      <c r="A98" s="100">
        <v>46155</v>
      </c>
      <c r="B98" s="87">
        <v>7002352030</v>
      </c>
      <c r="C98" s="87" t="s">
        <v>494</v>
      </c>
      <c r="D98" s="87" t="s">
        <v>474</v>
      </c>
      <c r="E98" s="87" t="s">
        <v>98</v>
      </c>
      <c r="F98" s="87" t="s">
        <v>462</v>
      </c>
      <c r="G98" s="87">
        <v>3</v>
      </c>
      <c r="H98" s="87" t="s">
        <v>472</v>
      </c>
    </row>
    <row r="99" spans="1:14" ht="13">
      <c r="A99" s="100">
        <v>46155</v>
      </c>
      <c r="B99" s="87">
        <v>7002352100</v>
      </c>
      <c r="C99" s="87" t="s">
        <v>494</v>
      </c>
      <c r="D99" s="87" t="s">
        <v>474</v>
      </c>
      <c r="E99" s="87" t="s">
        <v>454</v>
      </c>
      <c r="F99" s="87" t="s">
        <v>462</v>
      </c>
      <c r="G99" s="87">
        <v>13</v>
      </c>
      <c r="H99" s="87" t="s">
        <v>472</v>
      </c>
    </row>
    <row r="100" spans="1:14" ht="13">
      <c r="A100" s="100">
        <v>46155</v>
      </c>
      <c r="B100" s="87">
        <v>7002352227</v>
      </c>
      <c r="C100" s="87" t="s">
        <v>494</v>
      </c>
      <c r="D100" s="87" t="s">
        <v>474</v>
      </c>
      <c r="E100" s="87" t="s">
        <v>98</v>
      </c>
      <c r="F100" s="87" t="s">
        <v>462</v>
      </c>
      <c r="G100" s="87">
        <v>1</v>
      </c>
      <c r="H100" s="87" t="s">
        <v>472</v>
      </c>
    </row>
    <row r="101" spans="1:14" ht="13">
      <c r="A101" s="100">
        <v>46155</v>
      </c>
      <c r="B101" s="87">
        <v>7002352888</v>
      </c>
      <c r="C101" s="87" t="s">
        <v>494</v>
      </c>
      <c r="D101" s="87" t="s">
        <v>474</v>
      </c>
      <c r="E101" s="87" t="s">
        <v>454</v>
      </c>
      <c r="F101" s="87" t="s">
        <v>462</v>
      </c>
      <c r="G101" s="87">
        <v>1</v>
      </c>
      <c r="H101" s="87" t="s">
        <v>472</v>
      </c>
    </row>
    <row r="102" spans="1:14" ht="13">
      <c r="A102" s="100">
        <v>46155</v>
      </c>
      <c r="B102" s="87">
        <v>7002354489</v>
      </c>
      <c r="C102" s="87" t="s">
        <v>494</v>
      </c>
      <c r="D102" s="87" t="s">
        <v>474</v>
      </c>
      <c r="E102" s="87" t="s">
        <v>98</v>
      </c>
      <c r="F102" s="87" t="s">
        <v>462</v>
      </c>
      <c r="G102" s="87">
        <v>1</v>
      </c>
      <c r="H102" s="87" t="s">
        <v>472</v>
      </c>
    </row>
    <row r="103" spans="1:14" ht="13">
      <c r="A103" s="100">
        <v>46155</v>
      </c>
      <c r="B103" s="87">
        <v>7002356094</v>
      </c>
      <c r="C103" s="87" t="s">
        <v>494</v>
      </c>
      <c r="D103" s="87" t="s">
        <v>474</v>
      </c>
      <c r="E103" s="87" t="s">
        <v>98</v>
      </c>
      <c r="F103" s="87" t="s">
        <v>462</v>
      </c>
      <c r="G103" s="87">
        <v>2</v>
      </c>
      <c r="H103" s="87" t="s">
        <v>472</v>
      </c>
    </row>
    <row r="104" spans="1:14" ht="13">
      <c r="A104" s="100">
        <v>46155</v>
      </c>
      <c r="B104" s="87">
        <v>7002357560</v>
      </c>
      <c r="C104" s="87" t="s">
        <v>494</v>
      </c>
      <c r="D104" s="87" t="s">
        <v>474</v>
      </c>
      <c r="E104" s="87" t="s">
        <v>454</v>
      </c>
      <c r="F104" s="87" t="s">
        <v>462</v>
      </c>
      <c r="G104" s="87">
        <v>1</v>
      </c>
      <c r="H104" s="87" t="s">
        <v>472</v>
      </c>
    </row>
    <row r="105" spans="1:14" ht="13">
      <c r="A105" s="100">
        <v>46155</v>
      </c>
      <c r="B105" s="87">
        <v>7002358230</v>
      </c>
      <c r="C105" s="87" t="s">
        <v>494</v>
      </c>
      <c r="D105" s="87" t="s">
        <v>474</v>
      </c>
      <c r="E105" s="87" t="s">
        <v>463</v>
      </c>
      <c r="F105" s="87" t="s">
        <v>462</v>
      </c>
      <c r="G105" s="87">
        <v>1</v>
      </c>
      <c r="H105" s="87" t="s">
        <v>472</v>
      </c>
    </row>
    <row r="106" spans="1:14" ht="13">
      <c r="A106" s="100">
        <v>46155</v>
      </c>
      <c r="B106" s="87">
        <v>8000003152</v>
      </c>
      <c r="C106" s="87" t="s">
        <v>449</v>
      </c>
      <c r="D106" s="87" t="s">
        <v>476</v>
      </c>
      <c r="E106" s="87" t="s">
        <v>450</v>
      </c>
      <c r="F106" s="87" t="s">
        <v>463</v>
      </c>
      <c r="G106" s="87">
        <v>0</v>
      </c>
      <c r="H106" s="87" t="s">
        <v>472</v>
      </c>
    </row>
    <row r="109" spans="1:14" ht="14">
      <c r="A109" s="54" t="s">
        <v>1</v>
      </c>
      <c r="B109" s="91" t="s">
        <v>445</v>
      </c>
      <c r="C109" s="54" t="s">
        <v>446</v>
      </c>
      <c r="D109" s="54" t="s">
        <v>465</v>
      </c>
      <c r="E109" s="54" t="s">
        <v>70</v>
      </c>
      <c r="F109" s="54" t="s">
        <v>447</v>
      </c>
      <c r="G109" s="54" t="s">
        <v>71</v>
      </c>
      <c r="H109" s="54" t="s">
        <v>466</v>
      </c>
      <c r="L109" s="213">
        <v>46156</v>
      </c>
      <c r="M109" s="196"/>
      <c r="N109" s="197"/>
    </row>
    <row r="110" spans="1:14" ht="14">
      <c r="A110" s="100">
        <v>46156</v>
      </c>
      <c r="B110" s="16">
        <v>7001474032</v>
      </c>
      <c r="C110" s="16" t="s">
        <v>491</v>
      </c>
      <c r="D110" s="16" t="s">
        <v>479</v>
      </c>
      <c r="E110" s="16" t="s">
        <v>470</v>
      </c>
      <c r="F110" s="16" t="s">
        <v>485</v>
      </c>
      <c r="G110" s="16">
        <v>1</v>
      </c>
      <c r="H110" s="16" t="s">
        <v>472</v>
      </c>
      <c r="L110" s="54" t="s">
        <v>62</v>
      </c>
      <c r="M110" s="54" t="s">
        <v>473</v>
      </c>
      <c r="N110" s="101" t="s">
        <v>496</v>
      </c>
    </row>
    <row r="111" spans="1:14" ht="14">
      <c r="A111" s="100">
        <v>46156</v>
      </c>
      <c r="B111" s="16">
        <v>7002239846</v>
      </c>
      <c r="C111" s="16" t="s">
        <v>453</v>
      </c>
      <c r="D111" s="16" t="s">
        <v>478</v>
      </c>
      <c r="E111" s="16" t="s">
        <v>103</v>
      </c>
      <c r="F111" s="16" t="s">
        <v>108</v>
      </c>
      <c r="G111" s="16">
        <v>1</v>
      </c>
      <c r="H111" s="16" t="s">
        <v>472</v>
      </c>
      <c r="L111" s="97" t="s">
        <v>472</v>
      </c>
      <c r="M111" s="97">
        <v>25</v>
      </c>
      <c r="N111" s="9"/>
    </row>
    <row r="112" spans="1:14" ht="14">
      <c r="A112" s="100">
        <v>46156</v>
      </c>
      <c r="B112" s="16">
        <v>7002254833</v>
      </c>
      <c r="C112" s="16" t="s">
        <v>449</v>
      </c>
      <c r="D112" s="16" t="s">
        <v>476</v>
      </c>
      <c r="E112" s="16" t="s">
        <v>488</v>
      </c>
      <c r="F112" s="16" t="s">
        <v>90</v>
      </c>
      <c r="G112" s="16">
        <v>0</v>
      </c>
      <c r="H112" s="16" t="s">
        <v>475</v>
      </c>
      <c r="L112" s="16" t="s">
        <v>468</v>
      </c>
      <c r="M112" s="16">
        <v>16</v>
      </c>
      <c r="N112" s="9" t="s">
        <v>3</v>
      </c>
    </row>
    <row r="113" spans="1:14" ht="14">
      <c r="A113" s="100">
        <v>46156</v>
      </c>
      <c r="B113" s="16">
        <v>7002344763</v>
      </c>
      <c r="C113" s="16" t="s">
        <v>497</v>
      </c>
      <c r="D113" s="16" t="s">
        <v>474</v>
      </c>
      <c r="E113" s="16" t="s">
        <v>98</v>
      </c>
      <c r="F113" s="16" t="s">
        <v>462</v>
      </c>
      <c r="G113" s="16">
        <v>2</v>
      </c>
      <c r="H113" s="16" t="s">
        <v>472</v>
      </c>
      <c r="L113" s="16" t="s">
        <v>487</v>
      </c>
      <c r="M113" s="16">
        <v>1</v>
      </c>
      <c r="N113" s="9" t="s">
        <v>498</v>
      </c>
    </row>
    <row r="114" spans="1:14" ht="14">
      <c r="A114" s="100">
        <v>46156</v>
      </c>
      <c r="B114" s="16">
        <v>7002352554</v>
      </c>
      <c r="C114" s="16" t="s">
        <v>468</v>
      </c>
      <c r="D114" s="16" t="s">
        <v>474</v>
      </c>
      <c r="E114" s="16" t="s">
        <v>98</v>
      </c>
      <c r="F114" s="16" t="s">
        <v>96</v>
      </c>
      <c r="G114" s="16">
        <v>1</v>
      </c>
      <c r="H114" s="16" t="s">
        <v>472</v>
      </c>
      <c r="L114" s="16" t="s">
        <v>491</v>
      </c>
      <c r="M114" s="16">
        <v>1</v>
      </c>
      <c r="N114" s="9" t="s">
        <v>499</v>
      </c>
    </row>
    <row r="115" spans="1:14" ht="14">
      <c r="A115" s="100">
        <v>46156</v>
      </c>
      <c r="B115" s="16">
        <v>7002358639</v>
      </c>
      <c r="C115" s="16" t="s">
        <v>497</v>
      </c>
      <c r="D115" s="16" t="s">
        <v>474</v>
      </c>
      <c r="E115" s="16" t="s">
        <v>486</v>
      </c>
      <c r="F115" s="16" t="s">
        <v>462</v>
      </c>
      <c r="G115" s="16">
        <v>3</v>
      </c>
      <c r="H115" s="16" t="s">
        <v>472</v>
      </c>
      <c r="L115" s="16" t="s">
        <v>453</v>
      </c>
      <c r="M115" s="16">
        <v>1</v>
      </c>
      <c r="N115" s="9" t="s">
        <v>500</v>
      </c>
    </row>
    <row r="116" spans="1:14" ht="14">
      <c r="A116" s="100">
        <v>46156</v>
      </c>
      <c r="B116" s="16">
        <v>7002363476</v>
      </c>
      <c r="C116" s="16" t="s">
        <v>468</v>
      </c>
      <c r="D116" s="16" t="s">
        <v>474</v>
      </c>
      <c r="E116" s="16" t="s">
        <v>98</v>
      </c>
      <c r="F116" s="16" t="s">
        <v>96</v>
      </c>
      <c r="G116" s="16">
        <v>1</v>
      </c>
      <c r="H116" s="16" t="s">
        <v>472</v>
      </c>
      <c r="L116" s="16" t="s">
        <v>497</v>
      </c>
      <c r="M116" s="16">
        <v>6</v>
      </c>
      <c r="N116" s="9" t="s">
        <v>501</v>
      </c>
    </row>
    <row r="117" spans="1:14" ht="14">
      <c r="A117" s="100">
        <v>46156</v>
      </c>
      <c r="B117" s="16">
        <v>7002364182</v>
      </c>
      <c r="C117" s="16" t="s">
        <v>468</v>
      </c>
      <c r="D117" s="16" t="s">
        <v>474</v>
      </c>
      <c r="E117" s="16" t="s">
        <v>454</v>
      </c>
      <c r="F117" s="16" t="s">
        <v>96</v>
      </c>
      <c r="G117" s="16">
        <v>1</v>
      </c>
      <c r="H117" s="16" t="s">
        <v>472</v>
      </c>
      <c r="L117" s="97" t="s">
        <v>475</v>
      </c>
      <c r="M117" s="97">
        <v>1</v>
      </c>
      <c r="N117" s="9"/>
    </row>
    <row r="118" spans="1:14" ht="14">
      <c r="A118" s="100">
        <v>46156</v>
      </c>
      <c r="B118" s="16">
        <v>7002364562</v>
      </c>
      <c r="C118" s="16" t="s">
        <v>468</v>
      </c>
      <c r="D118" s="16" t="s">
        <v>474</v>
      </c>
      <c r="E118" s="16" t="s">
        <v>454</v>
      </c>
      <c r="F118" s="16" t="s">
        <v>96</v>
      </c>
      <c r="G118" s="16">
        <v>1</v>
      </c>
      <c r="H118" s="16" t="s">
        <v>472</v>
      </c>
      <c r="L118" s="16" t="s">
        <v>449</v>
      </c>
      <c r="M118" s="16">
        <v>1</v>
      </c>
      <c r="N118" s="9" t="s">
        <v>502</v>
      </c>
    </row>
    <row r="119" spans="1:14" ht="14">
      <c r="A119" s="100">
        <v>46156</v>
      </c>
      <c r="B119" s="16">
        <v>7002364635</v>
      </c>
      <c r="C119" s="16" t="s">
        <v>468</v>
      </c>
      <c r="D119" s="16" t="s">
        <v>474</v>
      </c>
      <c r="E119" s="16" t="s">
        <v>98</v>
      </c>
      <c r="F119" s="16" t="s">
        <v>96</v>
      </c>
      <c r="G119" s="16">
        <v>3</v>
      </c>
      <c r="H119" s="16" t="s">
        <v>472</v>
      </c>
      <c r="L119" s="54" t="s">
        <v>84</v>
      </c>
      <c r="M119" s="54">
        <v>26</v>
      </c>
      <c r="N119" s="19"/>
    </row>
    <row r="120" spans="1:14" ht="14">
      <c r="A120" s="100">
        <v>46156</v>
      </c>
      <c r="B120" s="16">
        <v>7002368579</v>
      </c>
      <c r="C120" s="16" t="s">
        <v>497</v>
      </c>
      <c r="D120" s="16" t="s">
        <v>474</v>
      </c>
      <c r="E120" s="16" t="s">
        <v>98</v>
      </c>
      <c r="F120" s="16" t="s">
        <v>462</v>
      </c>
      <c r="G120" s="16">
        <v>1</v>
      </c>
      <c r="H120" s="16" t="s">
        <v>472</v>
      </c>
    </row>
    <row r="121" spans="1:14" ht="14">
      <c r="A121" s="100">
        <v>46156</v>
      </c>
      <c r="B121" s="16">
        <v>7002369126</v>
      </c>
      <c r="C121" s="16" t="s">
        <v>468</v>
      </c>
      <c r="D121" s="16" t="s">
        <v>474</v>
      </c>
      <c r="E121" s="16" t="s">
        <v>98</v>
      </c>
      <c r="F121" s="16" t="s">
        <v>96</v>
      </c>
      <c r="G121" s="16">
        <v>1</v>
      </c>
      <c r="H121" s="16" t="s">
        <v>472</v>
      </c>
    </row>
    <row r="122" spans="1:14" ht="14">
      <c r="A122" s="100">
        <v>46156</v>
      </c>
      <c r="B122" s="16">
        <v>7002370351</v>
      </c>
      <c r="C122" s="16" t="s">
        <v>468</v>
      </c>
      <c r="D122" s="16" t="s">
        <v>474</v>
      </c>
      <c r="E122" s="16" t="s">
        <v>454</v>
      </c>
      <c r="F122" s="16" t="s">
        <v>96</v>
      </c>
      <c r="G122" s="16">
        <v>1</v>
      </c>
      <c r="H122" s="16" t="s">
        <v>472</v>
      </c>
    </row>
    <row r="123" spans="1:14" ht="14">
      <c r="A123" s="100">
        <v>46156</v>
      </c>
      <c r="B123" s="16">
        <v>7002370379</v>
      </c>
      <c r="C123" s="16" t="s">
        <v>487</v>
      </c>
      <c r="D123" s="16" t="s">
        <v>476</v>
      </c>
      <c r="E123" s="16" t="s">
        <v>470</v>
      </c>
      <c r="F123" s="16" t="s">
        <v>102</v>
      </c>
      <c r="G123" s="16">
        <v>1</v>
      </c>
      <c r="H123" s="16" t="s">
        <v>472</v>
      </c>
    </row>
    <row r="124" spans="1:14" ht="14">
      <c r="A124" s="100">
        <v>46156</v>
      </c>
      <c r="B124" s="16">
        <v>7002371548</v>
      </c>
      <c r="C124" s="16" t="s">
        <v>468</v>
      </c>
      <c r="D124" s="16" t="s">
        <v>474</v>
      </c>
      <c r="E124" s="16" t="s">
        <v>98</v>
      </c>
      <c r="F124" s="16" t="s">
        <v>96</v>
      </c>
      <c r="G124" s="16">
        <v>1</v>
      </c>
      <c r="H124" s="16" t="s">
        <v>472</v>
      </c>
    </row>
    <row r="125" spans="1:14" ht="14">
      <c r="A125" s="100">
        <v>46156</v>
      </c>
      <c r="B125" s="16">
        <v>7002371798</v>
      </c>
      <c r="C125" s="16" t="s">
        <v>468</v>
      </c>
      <c r="D125" s="16" t="s">
        <v>474</v>
      </c>
      <c r="E125" s="16" t="s">
        <v>98</v>
      </c>
      <c r="F125" s="16" t="s">
        <v>96</v>
      </c>
      <c r="G125" s="16">
        <v>1</v>
      </c>
      <c r="H125" s="16" t="s">
        <v>472</v>
      </c>
    </row>
    <row r="126" spans="1:14" ht="14">
      <c r="A126" s="100">
        <v>46156</v>
      </c>
      <c r="B126" s="16">
        <v>7002371938</v>
      </c>
      <c r="C126" s="16" t="s">
        <v>468</v>
      </c>
      <c r="D126" s="16" t="s">
        <v>474</v>
      </c>
      <c r="E126" s="16" t="s">
        <v>98</v>
      </c>
      <c r="F126" s="16" t="s">
        <v>96</v>
      </c>
      <c r="G126" s="16">
        <v>1</v>
      </c>
      <c r="H126" s="16" t="s">
        <v>472</v>
      </c>
    </row>
    <row r="127" spans="1:14" ht="14">
      <c r="A127" s="100">
        <v>46156</v>
      </c>
      <c r="B127" s="16">
        <v>7002372349</v>
      </c>
      <c r="C127" s="16" t="s">
        <v>468</v>
      </c>
      <c r="D127" s="16" t="s">
        <v>474</v>
      </c>
      <c r="E127" s="16" t="s">
        <v>454</v>
      </c>
      <c r="F127" s="16" t="s">
        <v>96</v>
      </c>
      <c r="G127" s="16">
        <v>1</v>
      </c>
      <c r="H127" s="16" t="s">
        <v>472</v>
      </c>
    </row>
    <row r="128" spans="1:14" ht="14">
      <c r="A128" s="100">
        <v>46156</v>
      </c>
      <c r="B128" s="16">
        <v>7002372963</v>
      </c>
      <c r="C128" s="16" t="s">
        <v>497</v>
      </c>
      <c r="D128" s="16" t="s">
        <v>474</v>
      </c>
      <c r="E128" s="16" t="s">
        <v>98</v>
      </c>
      <c r="F128" s="16" t="s">
        <v>462</v>
      </c>
      <c r="G128" s="16">
        <v>5</v>
      </c>
      <c r="H128" s="16" t="s">
        <v>472</v>
      </c>
    </row>
    <row r="129" spans="1:15" ht="14">
      <c r="A129" s="100">
        <v>46156</v>
      </c>
      <c r="B129" s="16">
        <v>7002373800</v>
      </c>
      <c r="C129" s="16" t="s">
        <v>468</v>
      </c>
      <c r="D129" s="16" t="s">
        <v>474</v>
      </c>
      <c r="E129" s="16" t="s">
        <v>98</v>
      </c>
      <c r="F129" s="16" t="s">
        <v>96</v>
      </c>
      <c r="G129" s="16">
        <v>1</v>
      </c>
      <c r="H129" s="16" t="s">
        <v>472</v>
      </c>
    </row>
    <row r="130" spans="1:15" ht="14">
      <c r="A130" s="100">
        <v>46156</v>
      </c>
      <c r="B130" s="16">
        <v>7002373915</v>
      </c>
      <c r="C130" s="16" t="s">
        <v>468</v>
      </c>
      <c r="D130" s="16" t="s">
        <v>474</v>
      </c>
      <c r="E130" s="16" t="s">
        <v>98</v>
      </c>
      <c r="F130" s="16" t="s">
        <v>96</v>
      </c>
      <c r="G130" s="16">
        <v>1</v>
      </c>
      <c r="H130" s="16" t="s">
        <v>472</v>
      </c>
    </row>
    <row r="131" spans="1:15" ht="14">
      <c r="A131" s="100">
        <v>46156</v>
      </c>
      <c r="B131" s="16">
        <v>7002374961</v>
      </c>
      <c r="C131" s="16" t="s">
        <v>468</v>
      </c>
      <c r="D131" s="16" t="s">
        <v>474</v>
      </c>
      <c r="E131" s="16" t="s">
        <v>98</v>
      </c>
      <c r="F131" s="16" t="s">
        <v>96</v>
      </c>
      <c r="G131" s="16">
        <v>5</v>
      </c>
      <c r="H131" s="16" t="s">
        <v>472</v>
      </c>
    </row>
    <row r="132" spans="1:15" ht="14">
      <c r="A132" s="100">
        <v>46156</v>
      </c>
      <c r="B132" s="16">
        <v>7002376317</v>
      </c>
      <c r="C132" s="16" t="s">
        <v>497</v>
      </c>
      <c r="D132" s="16" t="s">
        <v>474</v>
      </c>
      <c r="E132" s="16" t="s">
        <v>98</v>
      </c>
      <c r="F132" s="16" t="s">
        <v>462</v>
      </c>
      <c r="G132" s="16">
        <v>3</v>
      </c>
      <c r="H132" s="16" t="s">
        <v>472</v>
      </c>
    </row>
    <row r="133" spans="1:15" ht="14">
      <c r="A133" s="100">
        <v>46156</v>
      </c>
      <c r="B133" s="16">
        <v>7002376338</v>
      </c>
      <c r="C133" s="16" t="s">
        <v>468</v>
      </c>
      <c r="D133" s="16" t="s">
        <v>474</v>
      </c>
      <c r="E133" s="16" t="s">
        <v>454</v>
      </c>
      <c r="F133" s="16" t="s">
        <v>96</v>
      </c>
      <c r="G133" s="16">
        <v>1</v>
      </c>
      <c r="H133" s="16" t="s">
        <v>472</v>
      </c>
    </row>
    <row r="134" spans="1:15" ht="14">
      <c r="A134" s="100">
        <v>46156</v>
      </c>
      <c r="B134" s="16">
        <v>7002377967</v>
      </c>
      <c r="C134" s="16" t="s">
        <v>497</v>
      </c>
      <c r="D134" s="16" t="s">
        <v>474</v>
      </c>
      <c r="E134" s="16" t="s">
        <v>98</v>
      </c>
      <c r="F134" s="16" t="s">
        <v>462</v>
      </c>
      <c r="G134" s="16">
        <v>1</v>
      </c>
      <c r="H134" s="16" t="s">
        <v>472</v>
      </c>
    </row>
    <row r="135" spans="1:15" ht="14">
      <c r="A135" s="100">
        <v>46156</v>
      </c>
      <c r="B135" s="16">
        <v>7002379982</v>
      </c>
      <c r="C135" s="16" t="s">
        <v>468</v>
      </c>
      <c r="D135" s="16" t="s">
        <v>474</v>
      </c>
      <c r="E135" s="16" t="s">
        <v>98</v>
      </c>
      <c r="F135" s="16" t="s">
        <v>96</v>
      </c>
      <c r="G135" s="16">
        <v>1</v>
      </c>
      <c r="H135" s="16" t="s">
        <v>472</v>
      </c>
    </row>
    <row r="137" spans="1:15" ht="14.5">
      <c r="A137" s="102" t="s">
        <v>1</v>
      </c>
      <c r="B137" s="91" t="s">
        <v>445</v>
      </c>
      <c r="C137" s="102" t="s">
        <v>446</v>
      </c>
      <c r="D137" s="102" t="s">
        <v>465</v>
      </c>
      <c r="E137" s="102" t="s">
        <v>70</v>
      </c>
      <c r="F137" s="102" t="s">
        <v>447</v>
      </c>
      <c r="G137" s="102" t="s">
        <v>71</v>
      </c>
      <c r="H137" s="102" t="s">
        <v>466</v>
      </c>
      <c r="I137" s="102" t="s">
        <v>448</v>
      </c>
      <c r="L137" s="213">
        <v>46157</v>
      </c>
      <c r="M137" s="196"/>
      <c r="N137" s="196"/>
      <c r="O137" s="197"/>
    </row>
    <row r="138" spans="1:15" ht="14.5">
      <c r="A138" s="100">
        <v>46157</v>
      </c>
      <c r="B138" s="87">
        <v>7001474032</v>
      </c>
      <c r="C138" s="87" t="s">
        <v>491</v>
      </c>
      <c r="D138" s="87" t="s">
        <v>479</v>
      </c>
      <c r="E138" s="87" t="s">
        <v>470</v>
      </c>
      <c r="F138" s="87" t="s">
        <v>485</v>
      </c>
      <c r="G138" s="87">
        <v>1</v>
      </c>
      <c r="H138" s="103" t="s">
        <v>472</v>
      </c>
      <c r="I138" s="88" t="s">
        <v>503</v>
      </c>
      <c r="L138" s="54" t="s">
        <v>473</v>
      </c>
      <c r="M138" s="54" t="s">
        <v>74</v>
      </c>
      <c r="N138" s="54"/>
      <c r="O138" s="54"/>
    </row>
    <row r="139" spans="1:15" ht="14.5">
      <c r="A139" s="100">
        <v>46157</v>
      </c>
      <c r="B139" s="87">
        <v>7002239846</v>
      </c>
      <c r="C139" s="87" t="s">
        <v>504</v>
      </c>
      <c r="D139" s="87" t="s">
        <v>478</v>
      </c>
      <c r="E139" s="87" t="s">
        <v>103</v>
      </c>
      <c r="F139" s="87" t="s">
        <v>108</v>
      </c>
      <c r="G139" s="87">
        <v>1</v>
      </c>
      <c r="H139" s="103" t="s">
        <v>472</v>
      </c>
      <c r="I139" s="88" t="s">
        <v>503</v>
      </c>
      <c r="L139" s="54" t="s">
        <v>62</v>
      </c>
      <c r="M139" s="54" t="s">
        <v>503</v>
      </c>
      <c r="N139" s="54" t="s">
        <v>505</v>
      </c>
      <c r="O139" s="54" t="s">
        <v>84</v>
      </c>
    </row>
    <row r="140" spans="1:15" ht="14.5">
      <c r="A140" s="100">
        <v>46157</v>
      </c>
      <c r="B140" s="87">
        <v>7002274807</v>
      </c>
      <c r="C140" s="87" t="s">
        <v>506</v>
      </c>
      <c r="D140" s="87" t="s">
        <v>474</v>
      </c>
      <c r="E140" s="87" t="s">
        <v>507</v>
      </c>
      <c r="F140" s="87" t="s">
        <v>459</v>
      </c>
      <c r="G140" s="87">
        <v>8</v>
      </c>
      <c r="H140" s="103" t="s">
        <v>472</v>
      </c>
      <c r="I140" s="88" t="s">
        <v>508</v>
      </c>
      <c r="L140" s="97" t="s">
        <v>472</v>
      </c>
      <c r="M140" s="97">
        <v>2</v>
      </c>
      <c r="N140" s="97">
        <v>1</v>
      </c>
      <c r="O140" s="97">
        <v>3</v>
      </c>
    </row>
    <row r="141" spans="1:15" ht="14.5">
      <c r="A141" s="100">
        <v>46157</v>
      </c>
      <c r="B141" s="87">
        <v>7002322259</v>
      </c>
      <c r="C141" s="87" t="s">
        <v>506</v>
      </c>
      <c r="D141" s="87" t="s">
        <v>474</v>
      </c>
      <c r="E141" s="87" t="s">
        <v>509</v>
      </c>
      <c r="F141" s="87" t="s">
        <v>459</v>
      </c>
      <c r="G141" s="87">
        <v>2</v>
      </c>
      <c r="H141" s="103" t="s">
        <v>472</v>
      </c>
      <c r="I141" s="88" t="s">
        <v>508</v>
      </c>
      <c r="L141" s="16" t="s">
        <v>504</v>
      </c>
      <c r="M141" s="16">
        <v>1</v>
      </c>
      <c r="N141" s="16"/>
      <c r="O141" s="16">
        <v>1</v>
      </c>
    </row>
    <row r="142" spans="1:15" ht="14.5">
      <c r="A142" s="100">
        <v>46157</v>
      </c>
      <c r="B142" s="87">
        <v>7002334953</v>
      </c>
      <c r="C142" s="87" t="s">
        <v>506</v>
      </c>
      <c r="D142" s="87" t="s">
        <v>474</v>
      </c>
      <c r="E142" s="87" t="s">
        <v>510</v>
      </c>
      <c r="F142" s="87" t="s">
        <v>459</v>
      </c>
      <c r="G142" s="87">
        <v>66</v>
      </c>
      <c r="H142" s="103" t="s">
        <v>472</v>
      </c>
      <c r="I142" s="88" t="s">
        <v>508</v>
      </c>
      <c r="L142" s="16" t="s">
        <v>487</v>
      </c>
      <c r="M142" s="16"/>
      <c r="N142" s="16">
        <v>1</v>
      </c>
      <c r="O142" s="16">
        <v>1</v>
      </c>
    </row>
    <row r="143" spans="1:15" ht="14.5">
      <c r="A143" s="100">
        <v>46157</v>
      </c>
      <c r="B143" s="87">
        <v>7002334969</v>
      </c>
      <c r="C143" s="87" t="s">
        <v>506</v>
      </c>
      <c r="D143" s="87" t="s">
        <v>474</v>
      </c>
      <c r="E143" s="87" t="s">
        <v>511</v>
      </c>
      <c r="F143" s="87" t="s">
        <v>459</v>
      </c>
      <c r="G143" s="87">
        <v>1</v>
      </c>
      <c r="H143" s="103" t="s">
        <v>472</v>
      </c>
      <c r="I143" s="88" t="s">
        <v>508</v>
      </c>
      <c r="L143" s="16" t="s">
        <v>491</v>
      </c>
      <c r="M143" s="16">
        <v>1</v>
      </c>
      <c r="N143" s="16"/>
      <c r="O143" s="16">
        <v>1</v>
      </c>
    </row>
    <row r="144" spans="1:15" ht="14.5">
      <c r="A144" s="100">
        <v>46157</v>
      </c>
      <c r="B144" s="87">
        <v>7002341742</v>
      </c>
      <c r="C144" s="87" t="s">
        <v>506</v>
      </c>
      <c r="D144" s="87" t="s">
        <v>474</v>
      </c>
      <c r="E144" s="87" t="s">
        <v>488</v>
      </c>
      <c r="F144" s="87" t="s">
        <v>121</v>
      </c>
      <c r="G144" s="87">
        <v>6</v>
      </c>
      <c r="H144" s="103" t="s">
        <v>472</v>
      </c>
      <c r="I144" s="88" t="s">
        <v>508</v>
      </c>
      <c r="L144" s="54" t="s">
        <v>84</v>
      </c>
      <c r="M144" s="54">
        <v>2</v>
      </c>
      <c r="N144" s="54">
        <v>1</v>
      </c>
      <c r="O144" s="54">
        <v>3</v>
      </c>
    </row>
    <row r="145" spans="1:9" ht="14.5">
      <c r="A145" s="100">
        <v>46157</v>
      </c>
      <c r="B145" s="87">
        <v>7002342038</v>
      </c>
      <c r="C145" s="87" t="s">
        <v>506</v>
      </c>
      <c r="D145" s="87" t="s">
        <v>474</v>
      </c>
      <c r="E145" s="87" t="s">
        <v>510</v>
      </c>
      <c r="F145" s="87" t="s">
        <v>459</v>
      </c>
      <c r="G145" s="87">
        <v>1</v>
      </c>
      <c r="H145" s="103" t="s">
        <v>472</v>
      </c>
      <c r="I145" s="88" t="s">
        <v>508</v>
      </c>
    </row>
    <row r="146" spans="1:9" ht="14.5">
      <c r="A146" s="100">
        <v>46157</v>
      </c>
      <c r="B146" s="87">
        <v>7002343452</v>
      </c>
      <c r="C146" s="87" t="s">
        <v>506</v>
      </c>
      <c r="D146" s="87" t="s">
        <v>474</v>
      </c>
      <c r="E146" s="87" t="s">
        <v>488</v>
      </c>
      <c r="F146" s="87" t="s">
        <v>90</v>
      </c>
      <c r="G146" s="87">
        <v>2</v>
      </c>
      <c r="H146" s="103" t="s">
        <v>475</v>
      </c>
      <c r="I146" s="88" t="s">
        <v>508</v>
      </c>
    </row>
    <row r="147" spans="1:9" ht="14.5">
      <c r="A147" s="100">
        <v>46157</v>
      </c>
      <c r="B147" s="87">
        <v>7002345613</v>
      </c>
      <c r="C147" s="87" t="s">
        <v>506</v>
      </c>
      <c r="D147" s="87" t="s">
        <v>474</v>
      </c>
      <c r="E147" s="87" t="s">
        <v>488</v>
      </c>
      <c r="F147" s="87" t="s">
        <v>90</v>
      </c>
      <c r="G147" s="87">
        <v>30</v>
      </c>
      <c r="H147" s="103" t="s">
        <v>475</v>
      </c>
      <c r="I147" s="88" t="s">
        <v>508</v>
      </c>
    </row>
    <row r="148" spans="1:9" ht="14.5">
      <c r="A148" s="100">
        <v>46157</v>
      </c>
      <c r="B148" s="87">
        <v>7002346117</v>
      </c>
      <c r="C148" s="87" t="s">
        <v>506</v>
      </c>
      <c r="D148" s="87" t="s">
        <v>474</v>
      </c>
      <c r="E148" s="87" t="s">
        <v>510</v>
      </c>
      <c r="F148" s="87" t="s">
        <v>121</v>
      </c>
      <c r="G148" s="87">
        <v>1</v>
      </c>
      <c r="H148" s="103" t="s">
        <v>472</v>
      </c>
      <c r="I148" s="88" t="s">
        <v>508</v>
      </c>
    </row>
    <row r="149" spans="1:9" ht="14.5">
      <c r="A149" s="100">
        <v>46157</v>
      </c>
      <c r="B149" s="87">
        <v>7002346753</v>
      </c>
      <c r="C149" s="87" t="s">
        <v>506</v>
      </c>
      <c r="D149" s="87" t="s">
        <v>474</v>
      </c>
      <c r="E149" s="87" t="s">
        <v>488</v>
      </c>
      <c r="F149" s="87" t="s">
        <v>121</v>
      </c>
      <c r="G149" s="87">
        <v>10</v>
      </c>
      <c r="H149" s="103" t="s">
        <v>472</v>
      </c>
      <c r="I149" s="88" t="s">
        <v>508</v>
      </c>
    </row>
    <row r="150" spans="1:9" ht="14.5">
      <c r="A150" s="100">
        <v>46157</v>
      </c>
      <c r="B150" s="87">
        <v>7002347125</v>
      </c>
      <c r="C150" s="87" t="s">
        <v>506</v>
      </c>
      <c r="D150" s="87" t="s">
        <v>474</v>
      </c>
      <c r="E150" s="87" t="s">
        <v>510</v>
      </c>
      <c r="F150" s="87" t="s">
        <v>121</v>
      </c>
      <c r="G150" s="87">
        <v>6</v>
      </c>
      <c r="H150" s="103" t="s">
        <v>472</v>
      </c>
      <c r="I150" s="88" t="s">
        <v>508</v>
      </c>
    </row>
    <row r="151" spans="1:9" ht="14.5">
      <c r="A151" s="100">
        <v>46157</v>
      </c>
      <c r="B151" s="87">
        <v>7002348046</v>
      </c>
      <c r="C151" s="87" t="s">
        <v>506</v>
      </c>
      <c r="D151" s="87" t="s">
        <v>474</v>
      </c>
      <c r="E151" s="87" t="s">
        <v>488</v>
      </c>
      <c r="F151" s="87" t="s">
        <v>459</v>
      </c>
      <c r="G151" s="87">
        <v>3</v>
      </c>
      <c r="H151" s="103" t="s">
        <v>472</v>
      </c>
      <c r="I151" s="88" t="s">
        <v>508</v>
      </c>
    </row>
    <row r="152" spans="1:9" ht="14.5">
      <c r="A152" s="100">
        <v>46157</v>
      </c>
      <c r="B152" s="87">
        <v>7002350045</v>
      </c>
      <c r="C152" s="87" t="s">
        <v>506</v>
      </c>
      <c r="D152" s="87" t="s">
        <v>474</v>
      </c>
      <c r="E152" s="87" t="s">
        <v>510</v>
      </c>
      <c r="F152" s="87" t="s">
        <v>459</v>
      </c>
      <c r="G152" s="87">
        <v>1</v>
      </c>
      <c r="H152" s="103" t="s">
        <v>472</v>
      </c>
      <c r="I152" s="88" t="s">
        <v>508</v>
      </c>
    </row>
    <row r="153" spans="1:9" ht="14.5">
      <c r="A153" s="100">
        <v>46157</v>
      </c>
      <c r="B153" s="87">
        <v>7002350579</v>
      </c>
      <c r="C153" s="87" t="s">
        <v>506</v>
      </c>
      <c r="D153" s="87" t="s">
        <v>474</v>
      </c>
      <c r="E153" s="87" t="s">
        <v>488</v>
      </c>
      <c r="F153" s="87" t="s">
        <v>459</v>
      </c>
      <c r="G153" s="87">
        <v>1</v>
      </c>
      <c r="H153" s="103" t="s">
        <v>472</v>
      </c>
      <c r="I153" s="88" t="s">
        <v>508</v>
      </c>
    </row>
    <row r="154" spans="1:9" ht="14.5">
      <c r="A154" s="100">
        <v>46157</v>
      </c>
      <c r="B154" s="87">
        <v>7002364283</v>
      </c>
      <c r="C154" s="87" t="s">
        <v>506</v>
      </c>
      <c r="D154" s="87" t="s">
        <v>474</v>
      </c>
      <c r="E154" s="87" t="s">
        <v>510</v>
      </c>
      <c r="F154" s="87" t="s">
        <v>121</v>
      </c>
      <c r="G154" s="87">
        <v>3</v>
      </c>
      <c r="H154" s="103" t="s">
        <v>472</v>
      </c>
      <c r="I154" s="88" t="s">
        <v>508</v>
      </c>
    </row>
    <row r="155" spans="1:9" ht="14.5">
      <c r="A155" s="100">
        <v>46157</v>
      </c>
      <c r="B155" s="87">
        <v>7002365345</v>
      </c>
      <c r="C155" s="87" t="s">
        <v>506</v>
      </c>
      <c r="D155" s="87" t="s">
        <v>474</v>
      </c>
      <c r="E155" s="87" t="s">
        <v>488</v>
      </c>
      <c r="F155" s="87" t="s">
        <v>121</v>
      </c>
      <c r="G155" s="87">
        <v>2</v>
      </c>
      <c r="H155" s="103" t="s">
        <v>472</v>
      </c>
      <c r="I155" s="88" t="s">
        <v>508</v>
      </c>
    </row>
    <row r="156" spans="1:9" ht="14.5">
      <c r="A156" s="100">
        <v>46157</v>
      </c>
      <c r="B156" s="87">
        <v>7002370379</v>
      </c>
      <c r="C156" s="87" t="s">
        <v>487</v>
      </c>
      <c r="D156" s="87" t="s">
        <v>476</v>
      </c>
      <c r="E156" s="87" t="s">
        <v>470</v>
      </c>
      <c r="F156" s="87" t="s">
        <v>102</v>
      </c>
      <c r="G156" s="87">
        <v>1</v>
      </c>
      <c r="H156" s="103" t="s">
        <v>472</v>
      </c>
      <c r="I156" s="88" t="s">
        <v>505</v>
      </c>
    </row>
    <row r="157" spans="1:9" ht="14.5">
      <c r="A157" s="100">
        <v>46157</v>
      </c>
      <c r="B157" s="87">
        <v>7002370973</v>
      </c>
      <c r="C157" s="87" t="s">
        <v>506</v>
      </c>
      <c r="D157" s="87" t="s">
        <v>474</v>
      </c>
      <c r="E157" s="87" t="s">
        <v>488</v>
      </c>
      <c r="F157" s="87" t="s">
        <v>90</v>
      </c>
      <c r="G157" s="87">
        <v>3</v>
      </c>
      <c r="H157" s="103" t="s">
        <v>475</v>
      </c>
      <c r="I157" s="88" t="s">
        <v>508</v>
      </c>
    </row>
    <row r="158" spans="1:9" ht="14.5">
      <c r="A158" s="100">
        <v>46157</v>
      </c>
      <c r="B158" s="87">
        <v>7002373272</v>
      </c>
      <c r="C158" s="87" t="s">
        <v>506</v>
      </c>
      <c r="D158" s="87" t="s">
        <v>474</v>
      </c>
      <c r="E158" s="87" t="s">
        <v>510</v>
      </c>
      <c r="F158" s="87" t="s">
        <v>459</v>
      </c>
      <c r="G158" s="87">
        <v>9</v>
      </c>
      <c r="H158" s="103" t="s">
        <v>472</v>
      </c>
      <c r="I158" s="88" t="s">
        <v>508</v>
      </c>
    </row>
    <row r="159" spans="1:9" ht="14.5">
      <c r="A159" s="100">
        <v>46157</v>
      </c>
      <c r="B159" s="87">
        <v>7002398056</v>
      </c>
      <c r="C159" s="87" t="s">
        <v>506</v>
      </c>
      <c r="D159" s="87" t="s">
        <v>479</v>
      </c>
      <c r="E159" s="87" t="s">
        <v>463</v>
      </c>
      <c r="F159" s="87" t="s">
        <v>90</v>
      </c>
      <c r="G159" s="87">
        <v>0</v>
      </c>
      <c r="H159" s="103" t="s">
        <v>475</v>
      </c>
      <c r="I159" s="88" t="s">
        <v>508</v>
      </c>
    </row>
    <row r="160" spans="1:9" ht="14.5">
      <c r="A160" s="100">
        <v>46157</v>
      </c>
      <c r="B160" s="87">
        <v>7002411235</v>
      </c>
      <c r="C160" s="87" t="s">
        <v>506</v>
      </c>
      <c r="D160" s="87" t="s">
        <v>479</v>
      </c>
      <c r="E160" s="87" t="s">
        <v>470</v>
      </c>
      <c r="F160" s="87" t="s">
        <v>121</v>
      </c>
      <c r="G160" s="87">
        <v>1</v>
      </c>
      <c r="H160" s="103" t="s">
        <v>472</v>
      </c>
      <c r="I160" s="88" t="s">
        <v>508</v>
      </c>
    </row>
    <row r="163" spans="1:15" ht="14.5">
      <c r="A163" s="102" t="s">
        <v>1</v>
      </c>
      <c r="B163" s="91" t="s">
        <v>445</v>
      </c>
      <c r="C163" s="102" t="s">
        <v>446</v>
      </c>
      <c r="D163" s="102" t="s">
        <v>465</v>
      </c>
      <c r="E163" s="102" t="s">
        <v>70</v>
      </c>
      <c r="F163" s="102" t="s">
        <v>447</v>
      </c>
      <c r="G163" s="102" t="s">
        <v>71</v>
      </c>
      <c r="H163" s="102" t="s">
        <v>466</v>
      </c>
      <c r="I163" s="54" t="s">
        <v>448</v>
      </c>
      <c r="K163" s="213">
        <v>46160</v>
      </c>
      <c r="L163" s="196"/>
      <c r="M163" s="196"/>
      <c r="N163" s="196"/>
      <c r="O163" s="197"/>
    </row>
    <row r="164" spans="1:15" ht="14">
      <c r="A164" s="96">
        <v>46160</v>
      </c>
      <c r="B164" s="16">
        <v>7002421297</v>
      </c>
      <c r="C164" s="16" t="s">
        <v>512</v>
      </c>
      <c r="D164" s="16" t="s">
        <v>474</v>
      </c>
      <c r="E164" s="16" t="s">
        <v>454</v>
      </c>
      <c r="F164" s="16" t="s">
        <v>122</v>
      </c>
      <c r="G164" s="16">
        <v>12</v>
      </c>
      <c r="H164" s="16" t="s">
        <v>472</v>
      </c>
      <c r="I164" s="16" t="s">
        <v>82</v>
      </c>
      <c r="K164" s="54" t="s">
        <v>473</v>
      </c>
      <c r="L164" s="54" t="s">
        <v>74</v>
      </c>
      <c r="M164" s="54"/>
      <c r="N164" s="54"/>
      <c r="O164" s="54"/>
    </row>
    <row r="165" spans="1:15" ht="14">
      <c r="A165" s="96">
        <v>46160</v>
      </c>
      <c r="B165" s="16">
        <v>7002438529</v>
      </c>
      <c r="C165" s="16" t="s">
        <v>453</v>
      </c>
      <c r="D165" s="16" t="s">
        <v>479</v>
      </c>
      <c r="E165" s="16" t="s">
        <v>470</v>
      </c>
      <c r="F165" s="16" t="s">
        <v>121</v>
      </c>
      <c r="G165" s="16">
        <v>53</v>
      </c>
      <c r="H165" s="16" t="s">
        <v>472</v>
      </c>
      <c r="I165" s="16" t="s">
        <v>82</v>
      </c>
      <c r="K165" s="54" t="s">
        <v>62</v>
      </c>
      <c r="L165" s="54" t="s">
        <v>503</v>
      </c>
      <c r="M165" s="54" t="s">
        <v>82</v>
      </c>
      <c r="N165" s="54" t="s">
        <v>505</v>
      </c>
      <c r="O165" s="54" t="s">
        <v>84</v>
      </c>
    </row>
    <row r="166" spans="1:15" ht="14">
      <c r="A166" s="96">
        <v>46160</v>
      </c>
      <c r="B166" s="16">
        <v>7002370379</v>
      </c>
      <c r="C166" s="16" t="s">
        <v>487</v>
      </c>
      <c r="D166" s="16" t="s">
        <v>469</v>
      </c>
      <c r="E166" s="16" t="s">
        <v>470</v>
      </c>
      <c r="F166" s="16" t="s">
        <v>102</v>
      </c>
      <c r="G166" s="16">
        <v>104</v>
      </c>
      <c r="H166" s="16" t="s">
        <v>472</v>
      </c>
      <c r="I166" s="16" t="s">
        <v>503</v>
      </c>
      <c r="K166" s="97" t="s">
        <v>472</v>
      </c>
      <c r="L166" s="97">
        <v>1</v>
      </c>
      <c r="M166" s="97">
        <v>2</v>
      </c>
      <c r="N166" s="97"/>
      <c r="O166" s="97">
        <v>3</v>
      </c>
    </row>
    <row r="167" spans="1:15" ht="14">
      <c r="A167" s="96">
        <v>46160</v>
      </c>
      <c r="B167" s="16">
        <v>7002386353</v>
      </c>
      <c r="C167" s="16" t="s">
        <v>477</v>
      </c>
      <c r="D167" s="16" t="s">
        <v>476</v>
      </c>
      <c r="E167" s="16" t="s">
        <v>513</v>
      </c>
      <c r="F167" s="16" t="s">
        <v>90</v>
      </c>
      <c r="G167" s="16">
        <v>45</v>
      </c>
      <c r="H167" s="16" t="s">
        <v>475</v>
      </c>
      <c r="I167" s="16" t="s">
        <v>82</v>
      </c>
      <c r="K167" s="16" t="s">
        <v>487</v>
      </c>
      <c r="L167" s="16">
        <v>1</v>
      </c>
      <c r="M167" s="16"/>
      <c r="N167" s="16"/>
      <c r="O167" s="16">
        <v>1</v>
      </c>
    </row>
    <row r="168" spans="1:15" ht="14">
      <c r="A168" s="96">
        <v>46160</v>
      </c>
      <c r="B168" s="16">
        <v>7002233256</v>
      </c>
      <c r="C168" s="16" t="s">
        <v>477</v>
      </c>
      <c r="D168" s="16" t="s">
        <v>495</v>
      </c>
      <c r="E168" s="16" t="s">
        <v>481</v>
      </c>
      <c r="F168" s="16" t="s">
        <v>90</v>
      </c>
      <c r="G168" s="16">
        <v>4</v>
      </c>
      <c r="H168" s="16" t="s">
        <v>475</v>
      </c>
      <c r="I168" s="16" t="s">
        <v>505</v>
      </c>
      <c r="K168" s="16" t="s">
        <v>453</v>
      </c>
      <c r="L168" s="16"/>
      <c r="M168" s="16">
        <v>1</v>
      </c>
      <c r="N168" s="16"/>
      <c r="O168" s="16">
        <v>1</v>
      </c>
    </row>
    <row r="169" spans="1:15" ht="14">
      <c r="K169" s="16" t="s">
        <v>512</v>
      </c>
      <c r="L169" s="16"/>
      <c r="M169" s="16">
        <v>1</v>
      </c>
      <c r="N169" s="16"/>
      <c r="O169" s="16">
        <v>1</v>
      </c>
    </row>
    <row r="170" spans="1:15" ht="14">
      <c r="K170" s="97" t="s">
        <v>475</v>
      </c>
      <c r="L170" s="97"/>
      <c r="M170" s="97">
        <v>1</v>
      </c>
      <c r="N170" s="97">
        <v>1</v>
      </c>
      <c r="O170" s="97">
        <v>2</v>
      </c>
    </row>
    <row r="171" spans="1:15" ht="14">
      <c r="K171" s="16" t="s">
        <v>477</v>
      </c>
      <c r="L171" s="16"/>
      <c r="M171" s="16">
        <v>1</v>
      </c>
      <c r="N171" s="16">
        <v>1</v>
      </c>
      <c r="O171" s="16">
        <v>2</v>
      </c>
    </row>
    <row r="172" spans="1:15" ht="14">
      <c r="K172" s="54" t="s">
        <v>84</v>
      </c>
      <c r="L172" s="54">
        <v>1</v>
      </c>
      <c r="M172" s="54">
        <v>3</v>
      </c>
      <c r="N172" s="54">
        <v>1</v>
      </c>
      <c r="O172" s="54">
        <v>5</v>
      </c>
    </row>
    <row r="178" spans="1:15" ht="14">
      <c r="A178" s="91" t="s">
        <v>1</v>
      </c>
      <c r="B178" s="91" t="s">
        <v>445</v>
      </c>
      <c r="C178" s="91" t="s">
        <v>446</v>
      </c>
      <c r="D178" s="91" t="s">
        <v>465</v>
      </c>
      <c r="E178" s="91" t="s">
        <v>70</v>
      </c>
      <c r="F178" s="91" t="s">
        <v>447</v>
      </c>
      <c r="G178" s="91" t="s">
        <v>71</v>
      </c>
      <c r="H178" s="91" t="s">
        <v>466</v>
      </c>
      <c r="I178" s="91" t="s">
        <v>448</v>
      </c>
      <c r="K178" s="213">
        <v>46161</v>
      </c>
      <c r="L178" s="196"/>
      <c r="M178" s="196"/>
      <c r="N178" s="196"/>
      <c r="O178" s="197"/>
    </row>
    <row r="179" spans="1:15" ht="14">
      <c r="A179" s="100">
        <v>46161</v>
      </c>
      <c r="B179" s="87">
        <v>7002460164</v>
      </c>
      <c r="C179" s="87" t="s">
        <v>514</v>
      </c>
      <c r="D179" s="87" t="s">
        <v>474</v>
      </c>
      <c r="E179" s="87" t="s">
        <v>85</v>
      </c>
      <c r="F179" s="87" t="s">
        <v>122</v>
      </c>
      <c r="G179" s="87">
        <v>8</v>
      </c>
      <c r="H179" s="87" t="s">
        <v>472</v>
      </c>
      <c r="I179" s="87" t="s">
        <v>82</v>
      </c>
      <c r="K179" s="54" t="s">
        <v>473</v>
      </c>
      <c r="L179" s="54" t="s">
        <v>74</v>
      </c>
      <c r="M179" s="54"/>
      <c r="N179" s="54"/>
      <c r="O179" s="54"/>
    </row>
    <row r="180" spans="1:15" ht="14">
      <c r="A180" s="100">
        <v>46161</v>
      </c>
      <c r="B180" s="87">
        <v>7002462665</v>
      </c>
      <c r="C180" s="87" t="s">
        <v>514</v>
      </c>
      <c r="D180" s="87" t="s">
        <v>474</v>
      </c>
      <c r="E180" s="87" t="s">
        <v>461</v>
      </c>
      <c r="F180" s="87" t="s">
        <v>122</v>
      </c>
      <c r="G180" s="87">
        <v>1</v>
      </c>
      <c r="H180" s="87" t="s">
        <v>472</v>
      </c>
      <c r="I180" s="87" t="s">
        <v>82</v>
      </c>
      <c r="K180" s="54" t="s">
        <v>62</v>
      </c>
      <c r="L180" s="54" t="s">
        <v>503</v>
      </c>
      <c r="M180" s="54" t="s">
        <v>82</v>
      </c>
      <c r="N180" s="54" t="s">
        <v>505</v>
      </c>
      <c r="O180" s="54" t="s">
        <v>84</v>
      </c>
    </row>
    <row r="181" spans="1:15" ht="14">
      <c r="A181" s="100">
        <v>46161</v>
      </c>
      <c r="B181" s="87">
        <v>7002421297</v>
      </c>
      <c r="C181" s="87" t="s">
        <v>514</v>
      </c>
      <c r="D181" s="87" t="s">
        <v>474</v>
      </c>
      <c r="E181" s="87" t="s">
        <v>454</v>
      </c>
      <c r="F181" s="87" t="s">
        <v>122</v>
      </c>
      <c r="G181" s="87">
        <v>12</v>
      </c>
      <c r="H181" s="87" t="s">
        <v>472</v>
      </c>
      <c r="I181" s="87" t="s">
        <v>505</v>
      </c>
      <c r="K181" s="97" t="s">
        <v>472</v>
      </c>
      <c r="L181" s="97">
        <v>1</v>
      </c>
      <c r="M181" s="97">
        <v>2</v>
      </c>
      <c r="N181" s="97">
        <v>1</v>
      </c>
      <c r="O181" s="97">
        <v>4</v>
      </c>
    </row>
    <row r="182" spans="1:15" ht="14">
      <c r="A182" s="100">
        <v>46161</v>
      </c>
      <c r="B182" s="87">
        <v>7002370379</v>
      </c>
      <c r="C182" s="87" t="s">
        <v>487</v>
      </c>
      <c r="D182" s="87" t="s">
        <v>476</v>
      </c>
      <c r="E182" s="87" t="s">
        <v>470</v>
      </c>
      <c r="F182" s="87" t="s">
        <v>102</v>
      </c>
      <c r="G182" s="87">
        <v>1</v>
      </c>
      <c r="H182" s="87" t="s">
        <v>472</v>
      </c>
      <c r="I182" s="87" t="s">
        <v>503</v>
      </c>
      <c r="K182" s="16" t="s">
        <v>487</v>
      </c>
      <c r="L182" s="16">
        <v>1</v>
      </c>
      <c r="M182" s="16"/>
      <c r="N182" s="16"/>
      <c r="O182" s="16">
        <v>1</v>
      </c>
    </row>
    <row r="183" spans="1:15" ht="14">
      <c r="A183" s="100">
        <v>46161</v>
      </c>
      <c r="B183" s="87">
        <v>7002386353</v>
      </c>
      <c r="C183" s="87" t="s">
        <v>477</v>
      </c>
      <c r="D183" s="87" t="s">
        <v>476</v>
      </c>
      <c r="E183" s="87" t="s">
        <v>513</v>
      </c>
      <c r="F183" s="87" t="s">
        <v>90</v>
      </c>
      <c r="G183" s="87">
        <v>45</v>
      </c>
      <c r="H183" s="87" t="s">
        <v>475</v>
      </c>
      <c r="I183" s="87" t="s">
        <v>505</v>
      </c>
      <c r="K183" s="16" t="s">
        <v>514</v>
      </c>
      <c r="L183" s="16"/>
      <c r="M183" s="16">
        <v>2</v>
      </c>
      <c r="N183" s="16">
        <v>1</v>
      </c>
      <c r="O183" s="16">
        <v>3</v>
      </c>
    </row>
    <row r="184" spans="1:15" ht="14">
      <c r="K184" s="97" t="s">
        <v>475</v>
      </c>
      <c r="L184" s="97"/>
      <c r="M184" s="97"/>
      <c r="N184" s="97">
        <v>1</v>
      </c>
      <c r="O184" s="97">
        <v>1</v>
      </c>
    </row>
    <row r="185" spans="1:15" ht="14">
      <c r="K185" s="16" t="s">
        <v>477</v>
      </c>
      <c r="L185" s="16"/>
      <c r="M185" s="16"/>
      <c r="N185" s="16">
        <v>1</v>
      </c>
      <c r="O185" s="16">
        <v>1</v>
      </c>
    </row>
    <row r="186" spans="1:15" ht="14">
      <c r="K186" s="54" t="s">
        <v>84</v>
      </c>
      <c r="L186" s="54">
        <v>1</v>
      </c>
      <c r="M186" s="54">
        <v>2</v>
      </c>
      <c r="N186" s="54">
        <v>2</v>
      </c>
      <c r="O186" s="54">
        <v>5</v>
      </c>
    </row>
    <row r="189" spans="1:15" ht="14">
      <c r="A189" s="91" t="s">
        <v>1</v>
      </c>
      <c r="B189" s="91" t="s">
        <v>445</v>
      </c>
      <c r="C189" s="91" t="s">
        <v>446</v>
      </c>
      <c r="D189" s="91" t="s">
        <v>465</v>
      </c>
      <c r="E189" s="91" t="s">
        <v>70</v>
      </c>
      <c r="F189" s="91" t="s">
        <v>447</v>
      </c>
      <c r="G189" s="91" t="s">
        <v>71</v>
      </c>
      <c r="H189" s="91" t="s">
        <v>466</v>
      </c>
      <c r="I189" s="91" t="s">
        <v>448</v>
      </c>
      <c r="K189" s="213">
        <v>46162</v>
      </c>
      <c r="L189" s="196"/>
      <c r="M189" s="196"/>
      <c r="N189" s="197"/>
    </row>
    <row r="190" spans="1:15" ht="14">
      <c r="A190" s="100">
        <v>46162</v>
      </c>
      <c r="B190" s="87">
        <v>7002482836</v>
      </c>
      <c r="C190" s="87" t="s">
        <v>514</v>
      </c>
      <c r="D190" s="87" t="s">
        <v>515</v>
      </c>
      <c r="E190" s="87" t="s">
        <v>470</v>
      </c>
      <c r="F190" s="87" t="s">
        <v>121</v>
      </c>
      <c r="G190" s="87">
        <v>10</v>
      </c>
      <c r="H190" s="87" t="s">
        <v>472</v>
      </c>
      <c r="I190" s="87" t="s">
        <v>82</v>
      </c>
      <c r="K190" s="54" t="s">
        <v>473</v>
      </c>
      <c r="L190" s="54" t="s">
        <v>74</v>
      </c>
      <c r="M190" s="54"/>
      <c r="N190" s="54"/>
    </row>
    <row r="191" spans="1:15" ht="14">
      <c r="A191" s="100">
        <v>46162</v>
      </c>
      <c r="B191" s="87">
        <v>7002480838</v>
      </c>
      <c r="C191" s="87" t="s">
        <v>514</v>
      </c>
      <c r="D191" s="87" t="s">
        <v>474</v>
      </c>
      <c r="E191" s="87" t="s">
        <v>454</v>
      </c>
      <c r="F191" s="87" t="s">
        <v>121</v>
      </c>
      <c r="G191" s="87">
        <v>11</v>
      </c>
      <c r="H191" s="87" t="s">
        <v>472</v>
      </c>
      <c r="I191" s="87" t="s">
        <v>82</v>
      </c>
      <c r="K191" s="49" t="s">
        <v>62</v>
      </c>
      <c r="L191" s="49" t="s">
        <v>503</v>
      </c>
      <c r="M191" s="49" t="s">
        <v>82</v>
      </c>
      <c r="N191" s="49" t="s">
        <v>84</v>
      </c>
    </row>
    <row r="192" spans="1:15" ht="14">
      <c r="A192" s="100">
        <v>46162</v>
      </c>
      <c r="B192" s="87">
        <v>7002479844</v>
      </c>
      <c r="C192" s="87" t="s">
        <v>514</v>
      </c>
      <c r="D192" s="87" t="s">
        <v>474</v>
      </c>
      <c r="E192" s="87" t="s">
        <v>91</v>
      </c>
      <c r="F192" s="87" t="s">
        <v>121</v>
      </c>
      <c r="G192" s="87">
        <v>1</v>
      </c>
      <c r="H192" s="87" t="s">
        <v>472</v>
      </c>
      <c r="I192" s="87" t="s">
        <v>82</v>
      </c>
      <c r="K192" s="97" t="s">
        <v>472</v>
      </c>
      <c r="L192" s="97"/>
      <c r="M192" s="97">
        <v>6</v>
      </c>
      <c r="N192" s="97">
        <v>6</v>
      </c>
    </row>
    <row r="193" spans="1:14" ht="14">
      <c r="A193" s="100">
        <v>46162</v>
      </c>
      <c r="B193" s="87">
        <v>7002478782</v>
      </c>
      <c r="C193" s="87" t="s">
        <v>514</v>
      </c>
      <c r="D193" s="87" t="s">
        <v>474</v>
      </c>
      <c r="E193" s="87" t="s">
        <v>454</v>
      </c>
      <c r="F193" s="87" t="s">
        <v>121</v>
      </c>
      <c r="G193" s="87">
        <v>2</v>
      </c>
      <c r="H193" s="87" t="s">
        <v>472</v>
      </c>
      <c r="I193" s="87" t="s">
        <v>82</v>
      </c>
      <c r="K193" s="16" t="s">
        <v>516</v>
      </c>
      <c r="L193" s="16"/>
      <c r="M193" s="16">
        <v>6</v>
      </c>
      <c r="N193" s="16">
        <v>6</v>
      </c>
    </row>
    <row r="194" spans="1:14" ht="14">
      <c r="A194" s="100">
        <v>46162</v>
      </c>
      <c r="B194" s="87">
        <v>7002477243</v>
      </c>
      <c r="C194" s="87" t="s">
        <v>514</v>
      </c>
      <c r="D194" s="87" t="s">
        <v>474</v>
      </c>
      <c r="E194" s="87" t="s">
        <v>454</v>
      </c>
      <c r="F194" s="87" t="s">
        <v>121</v>
      </c>
      <c r="G194" s="87">
        <v>1</v>
      </c>
      <c r="H194" s="87" t="s">
        <v>472</v>
      </c>
      <c r="I194" s="87" t="s">
        <v>82</v>
      </c>
      <c r="K194" s="97" t="s">
        <v>475</v>
      </c>
      <c r="L194" s="97">
        <v>1</v>
      </c>
      <c r="M194" s="97"/>
      <c r="N194" s="97">
        <v>1</v>
      </c>
    </row>
    <row r="195" spans="1:14" ht="14">
      <c r="A195" s="100">
        <v>46162</v>
      </c>
      <c r="B195" s="87">
        <v>7002472210</v>
      </c>
      <c r="C195" s="87" t="s">
        <v>514</v>
      </c>
      <c r="D195" s="87" t="s">
        <v>474</v>
      </c>
      <c r="E195" s="87" t="s">
        <v>454</v>
      </c>
      <c r="F195" s="87" t="s">
        <v>121</v>
      </c>
      <c r="G195" s="87">
        <v>18</v>
      </c>
      <c r="H195" s="87" t="s">
        <v>472</v>
      </c>
      <c r="I195" s="87" t="s">
        <v>82</v>
      </c>
      <c r="K195" s="16" t="s">
        <v>517</v>
      </c>
      <c r="L195" s="16">
        <v>1</v>
      </c>
      <c r="M195" s="16"/>
      <c r="N195" s="16">
        <v>1</v>
      </c>
    </row>
    <row r="196" spans="1:14" ht="14">
      <c r="A196" s="100">
        <v>46162</v>
      </c>
      <c r="B196" s="87">
        <v>7002386353</v>
      </c>
      <c r="C196" s="87" t="s">
        <v>477</v>
      </c>
      <c r="D196" s="87" t="s">
        <v>476</v>
      </c>
      <c r="E196" s="87" t="s">
        <v>513</v>
      </c>
      <c r="F196" s="87" t="s">
        <v>90</v>
      </c>
      <c r="G196" s="87">
        <v>45</v>
      </c>
      <c r="H196" s="87" t="s">
        <v>475</v>
      </c>
      <c r="I196" s="87" t="s">
        <v>503</v>
      </c>
      <c r="K196" s="54" t="s">
        <v>84</v>
      </c>
      <c r="L196" s="54">
        <v>1</v>
      </c>
      <c r="M196" s="54">
        <v>6</v>
      </c>
      <c r="N196" s="54">
        <v>7</v>
      </c>
    </row>
    <row r="199" spans="1:14" ht="14">
      <c r="A199" s="91" t="s">
        <v>1</v>
      </c>
      <c r="B199" s="91" t="s">
        <v>445</v>
      </c>
      <c r="C199" s="91" t="s">
        <v>446</v>
      </c>
      <c r="D199" s="91" t="s">
        <v>465</v>
      </c>
      <c r="E199" s="91" t="s">
        <v>70</v>
      </c>
      <c r="F199" s="91" t="s">
        <v>447</v>
      </c>
      <c r="G199" s="91" t="s">
        <v>71</v>
      </c>
      <c r="H199" s="91" t="s">
        <v>466</v>
      </c>
      <c r="I199" s="91" t="s">
        <v>448</v>
      </c>
      <c r="K199" s="213">
        <v>46163</v>
      </c>
      <c r="L199" s="196"/>
      <c r="M199" s="196"/>
      <c r="N199" s="197"/>
    </row>
    <row r="200" spans="1:14" ht="14">
      <c r="A200" s="100">
        <v>46163</v>
      </c>
      <c r="B200" s="87">
        <v>7002386353</v>
      </c>
      <c r="C200" s="87" t="s">
        <v>477</v>
      </c>
      <c r="D200" s="87" t="s">
        <v>476</v>
      </c>
      <c r="E200" s="87" t="s">
        <v>513</v>
      </c>
      <c r="F200" s="87" t="s">
        <v>90</v>
      </c>
      <c r="G200" s="87">
        <v>44</v>
      </c>
      <c r="H200" s="87" t="s">
        <v>475</v>
      </c>
      <c r="I200" s="87" t="s">
        <v>503</v>
      </c>
      <c r="K200" s="54" t="s">
        <v>473</v>
      </c>
      <c r="L200" s="54" t="s">
        <v>74</v>
      </c>
      <c r="M200" s="54"/>
      <c r="N200" s="54"/>
    </row>
    <row r="201" spans="1:14" ht="14">
      <c r="A201" s="100">
        <v>46163</v>
      </c>
      <c r="B201" s="87">
        <v>7002491044</v>
      </c>
      <c r="C201" s="87" t="s">
        <v>468</v>
      </c>
      <c r="D201" s="87" t="s">
        <v>474</v>
      </c>
      <c r="E201" s="87" t="s">
        <v>461</v>
      </c>
      <c r="F201" s="87" t="s">
        <v>486</v>
      </c>
      <c r="G201" s="87">
        <v>1</v>
      </c>
      <c r="H201" s="87" t="s">
        <v>472</v>
      </c>
      <c r="I201" s="87" t="s">
        <v>82</v>
      </c>
      <c r="K201" s="54" t="s">
        <v>62</v>
      </c>
      <c r="L201" s="54" t="s">
        <v>503</v>
      </c>
      <c r="M201" s="54" t="s">
        <v>82</v>
      </c>
      <c r="N201" s="54" t="s">
        <v>84</v>
      </c>
    </row>
    <row r="202" spans="1:14" ht="14">
      <c r="K202" s="97" t="s">
        <v>475</v>
      </c>
      <c r="L202" s="97">
        <v>1</v>
      </c>
      <c r="M202" s="97"/>
      <c r="N202" s="97">
        <v>1</v>
      </c>
    </row>
    <row r="203" spans="1:14" ht="14">
      <c r="K203" s="16" t="s">
        <v>477</v>
      </c>
      <c r="L203" s="16">
        <v>1</v>
      </c>
      <c r="M203" s="16"/>
      <c r="N203" s="16">
        <v>1</v>
      </c>
    </row>
    <row r="204" spans="1:14" ht="14">
      <c r="K204" s="97" t="s">
        <v>472</v>
      </c>
      <c r="L204" s="97"/>
      <c r="M204" s="97">
        <v>1</v>
      </c>
      <c r="N204" s="97">
        <v>1</v>
      </c>
    </row>
    <row r="205" spans="1:14" ht="14">
      <c r="K205" s="16" t="s">
        <v>468</v>
      </c>
      <c r="L205" s="16"/>
      <c r="M205" s="16">
        <v>1</v>
      </c>
      <c r="N205" s="16">
        <v>1</v>
      </c>
    </row>
    <row r="206" spans="1:14" ht="14">
      <c r="K206" s="54" t="s">
        <v>84</v>
      </c>
      <c r="L206" s="54">
        <v>1</v>
      </c>
      <c r="M206" s="54">
        <v>1</v>
      </c>
      <c r="N206" s="54">
        <v>2</v>
      </c>
    </row>
    <row r="209" spans="1:14" ht="14">
      <c r="K209" s="214">
        <v>46164</v>
      </c>
      <c r="L209" s="196"/>
      <c r="M209" s="196"/>
      <c r="N209" s="197"/>
    </row>
    <row r="210" spans="1:14" ht="14">
      <c r="K210" s="104" t="s">
        <v>473</v>
      </c>
      <c r="L210" s="104" t="s">
        <v>74</v>
      </c>
      <c r="M210" s="104"/>
      <c r="N210" s="104"/>
    </row>
    <row r="211" spans="1:14" ht="14">
      <c r="A211" s="91" t="s">
        <v>1</v>
      </c>
      <c r="B211" s="91" t="s">
        <v>445</v>
      </c>
      <c r="C211" s="91" t="s">
        <v>446</v>
      </c>
      <c r="D211" s="91" t="s">
        <v>465</v>
      </c>
      <c r="E211" s="91" t="s">
        <v>70</v>
      </c>
      <c r="F211" s="91" t="s">
        <v>447</v>
      </c>
      <c r="G211" s="91" t="s">
        <v>71</v>
      </c>
      <c r="H211" s="91" t="s">
        <v>466</v>
      </c>
      <c r="I211" s="91" t="s">
        <v>448</v>
      </c>
      <c r="K211" s="104" t="s">
        <v>62</v>
      </c>
      <c r="L211" s="104" t="s">
        <v>503</v>
      </c>
      <c r="M211" s="104" t="s">
        <v>82</v>
      </c>
      <c r="N211" s="104" t="s">
        <v>84</v>
      </c>
    </row>
    <row r="212" spans="1:14" ht="14">
      <c r="A212" s="100">
        <v>46164</v>
      </c>
      <c r="B212" s="87">
        <v>7002531120</v>
      </c>
      <c r="C212" s="87" t="s">
        <v>487</v>
      </c>
      <c r="D212" s="87" t="s">
        <v>489</v>
      </c>
      <c r="E212" s="87" t="s">
        <v>470</v>
      </c>
      <c r="F212" s="87" t="s">
        <v>108</v>
      </c>
      <c r="G212" s="87">
        <v>51</v>
      </c>
      <c r="H212" s="87" t="s">
        <v>472</v>
      </c>
      <c r="I212" s="87" t="s">
        <v>82</v>
      </c>
      <c r="K212" s="97" t="s">
        <v>472</v>
      </c>
      <c r="L212" s="97"/>
      <c r="M212" s="97">
        <v>2</v>
      </c>
      <c r="N212" s="97">
        <v>2</v>
      </c>
    </row>
    <row r="213" spans="1:14" ht="14">
      <c r="A213" s="100">
        <v>46164</v>
      </c>
      <c r="B213" s="87">
        <v>7002496959</v>
      </c>
      <c r="C213" s="87" t="s">
        <v>518</v>
      </c>
      <c r="D213" s="87" t="s">
        <v>479</v>
      </c>
      <c r="E213" s="87" t="s">
        <v>470</v>
      </c>
      <c r="F213" s="87" t="s">
        <v>122</v>
      </c>
      <c r="G213" s="87">
        <v>12</v>
      </c>
      <c r="H213" s="87" t="s">
        <v>472</v>
      </c>
      <c r="I213" s="87" t="s">
        <v>82</v>
      </c>
      <c r="K213" s="16" t="s">
        <v>487</v>
      </c>
      <c r="L213" s="16"/>
      <c r="M213" s="16">
        <v>1</v>
      </c>
      <c r="N213" s="16">
        <v>1</v>
      </c>
    </row>
    <row r="214" spans="1:14" ht="14">
      <c r="A214" s="100">
        <v>46164</v>
      </c>
      <c r="B214" s="87">
        <v>7002386353</v>
      </c>
      <c r="C214" s="87" t="s">
        <v>477</v>
      </c>
      <c r="D214" s="87" t="s">
        <v>476</v>
      </c>
      <c r="E214" s="87" t="s">
        <v>513</v>
      </c>
      <c r="F214" s="87" t="s">
        <v>90</v>
      </c>
      <c r="G214" s="87">
        <v>45</v>
      </c>
      <c r="H214" s="87" t="s">
        <v>475</v>
      </c>
      <c r="I214" s="87" t="s">
        <v>503</v>
      </c>
      <c r="K214" s="16" t="s">
        <v>518</v>
      </c>
      <c r="L214" s="16"/>
      <c r="M214" s="16">
        <v>1</v>
      </c>
      <c r="N214" s="16">
        <v>1</v>
      </c>
    </row>
    <row r="215" spans="1:14" ht="14">
      <c r="K215" s="97" t="s">
        <v>475</v>
      </c>
      <c r="L215" s="97">
        <v>1</v>
      </c>
      <c r="M215" s="97"/>
      <c r="N215" s="97">
        <v>1</v>
      </c>
    </row>
    <row r="216" spans="1:14" ht="14">
      <c r="K216" s="16" t="s">
        <v>477</v>
      </c>
      <c r="L216" s="16">
        <v>1</v>
      </c>
      <c r="M216" s="16"/>
      <c r="N216" s="16">
        <v>1</v>
      </c>
    </row>
    <row r="217" spans="1:14" ht="14">
      <c r="K217" s="104" t="s">
        <v>84</v>
      </c>
      <c r="L217" s="104">
        <v>1</v>
      </c>
      <c r="M217" s="104">
        <v>2</v>
      </c>
      <c r="N217" s="104">
        <v>3</v>
      </c>
    </row>
    <row r="220" spans="1:14" ht="14">
      <c r="A220" s="105" t="s">
        <v>1</v>
      </c>
      <c r="B220" s="105" t="s">
        <v>445</v>
      </c>
      <c r="C220" s="105" t="s">
        <v>446</v>
      </c>
      <c r="D220" s="105" t="s">
        <v>465</v>
      </c>
      <c r="E220" s="105" t="s">
        <v>70</v>
      </c>
      <c r="F220" s="105" t="s">
        <v>447</v>
      </c>
      <c r="G220" s="105" t="s">
        <v>71</v>
      </c>
      <c r="H220" s="105" t="s">
        <v>466</v>
      </c>
      <c r="I220" s="105" t="s">
        <v>448</v>
      </c>
      <c r="K220" s="214">
        <v>46167</v>
      </c>
      <c r="L220" s="196"/>
      <c r="M220" s="196"/>
      <c r="N220" s="197"/>
    </row>
    <row r="221" spans="1:14" ht="14">
      <c r="A221" s="106">
        <v>46167</v>
      </c>
      <c r="B221" s="107">
        <v>7002546215</v>
      </c>
      <c r="C221" s="107" t="s">
        <v>519</v>
      </c>
      <c r="D221" s="108" t="s">
        <v>476</v>
      </c>
      <c r="E221" s="108" t="s">
        <v>91</v>
      </c>
      <c r="F221" s="108" t="s">
        <v>462</v>
      </c>
      <c r="G221" s="108">
        <v>1</v>
      </c>
      <c r="H221" s="108" t="s">
        <v>472</v>
      </c>
      <c r="I221" s="108" t="s">
        <v>505</v>
      </c>
      <c r="K221" s="54" t="s">
        <v>473</v>
      </c>
      <c r="L221" s="54" t="s">
        <v>74</v>
      </c>
      <c r="M221" s="54"/>
      <c r="N221" s="54"/>
    </row>
    <row r="222" spans="1:14" ht="14">
      <c r="A222" s="106">
        <v>46167</v>
      </c>
      <c r="B222" s="107">
        <v>7002598975</v>
      </c>
      <c r="C222" s="107" t="s">
        <v>520</v>
      </c>
      <c r="D222" s="108" t="s">
        <v>474</v>
      </c>
      <c r="E222" s="108" t="s">
        <v>91</v>
      </c>
      <c r="F222" s="108" t="s">
        <v>96</v>
      </c>
      <c r="G222" s="108">
        <v>2</v>
      </c>
      <c r="H222" s="108" t="s">
        <v>472</v>
      </c>
      <c r="I222" s="108" t="s">
        <v>82</v>
      </c>
      <c r="K222" s="54" t="s">
        <v>62</v>
      </c>
      <c r="L222" s="54" t="s">
        <v>82</v>
      </c>
      <c r="M222" s="54" t="s">
        <v>505</v>
      </c>
      <c r="N222" s="54" t="s">
        <v>84</v>
      </c>
    </row>
    <row r="223" spans="1:14" ht="14">
      <c r="A223" s="106">
        <v>46167</v>
      </c>
      <c r="B223" s="107">
        <v>7002526980</v>
      </c>
      <c r="C223" s="107" t="s">
        <v>521</v>
      </c>
      <c r="D223" s="108" t="s">
        <v>479</v>
      </c>
      <c r="E223" s="108" t="s">
        <v>470</v>
      </c>
      <c r="F223" s="108" t="s">
        <v>96</v>
      </c>
      <c r="G223" s="108">
        <v>27</v>
      </c>
      <c r="H223" s="108" t="s">
        <v>472</v>
      </c>
      <c r="I223" s="108" t="s">
        <v>505</v>
      </c>
      <c r="K223" s="97" t="s">
        <v>475</v>
      </c>
      <c r="L223" s="97">
        <v>20</v>
      </c>
      <c r="M223" s="97"/>
      <c r="N223" s="97">
        <v>20</v>
      </c>
    </row>
    <row r="224" spans="1:14" ht="14">
      <c r="A224" s="106">
        <v>46167</v>
      </c>
      <c r="B224" s="107">
        <v>7002606411</v>
      </c>
      <c r="C224" s="107" t="s">
        <v>453</v>
      </c>
      <c r="D224" s="108" t="s">
        <v>474</v>
      </c>
      <c r="E224" s="108" t="s">
        <v>91</v>
      </c>
      <c r="F224" s="108" t="s">
        <v>108</v>
      </c>
      <c r="G224" s="108">
        <v>1</v>
      </c>
      <c r="H224" s="108" t="s">
        <v>472</v>
      </c>
      <c r="I224" s="108" t="s">
        <v>82</v>
      </c>
      <c r="K224" s="16" t="s">
        <v>522</v>
      </c>
      <c r="L224" s="16">
        <v>20</v>
      </c>
      <c r="M224" s="16"/>
      <c r="N224" s="16">
        <v>20</v>
      </c>
    </row>
    <row r="225" spans="1:14" ht="14">
      <c r="A225" s="106">
        <v>46167</v>
      </c>
      <c r="B225" s="107">
        <v>7002599881</v>
      </c>
      <c r="C225" s="107" t="s">
        <v>520</v>
      </c>
      <c r="D225" s="108" t="s">
        <v>474</v>
      </c>
      <c r="E225" s="108" t="s">
        <v>463</v>
      </c>
      <c r="F225" s="108" t="s">
        <v>102</v>
      </c>
      <c r="G225" s="108">
        <v>4</v>
      </c>
      <c r="H225" s="108" t="s">
        <v>472</v>
      </c>
      <c r="I225" s="108" t="s">
        <v>82</v>
      </c>
      <c r="K225" s="97" t="s">
        <v>472</v>
      </c>
      <c r="L225" s="97">
        <v>8</v>
      </c>
      <c r="M225" s="97">
        <v>2</v>
      </c>
      <c r="N225" s="97">
        <v>10</v>
      </c>
    </row>
    <row r="226" spans="1:14" ht="14">
      <c r="A226" s="106">
        <v>46167</v>
      </c>
      <c r="B226" s="107">
        <v>7002590185</v>
      </c>
      <c r="C226" s="107" t="s">
        <v>520</v>
      </c>
      <c r="D226" s="108" t="s">
        <v>474</v>
      </c>
      <c r="E226" s="108" t="s">
        <v>98</v>
      </c>
      <c r="F226" s="108" t="s">
        <v>102</v>
      </c>
      <c r="G226" s="108">
        <v>1</v>
      </c>
      <c r="H226" s="108" t="s">
        <v>472</v>
      </c>
      <c r="I226" s="108" t="s">
        <v>82</v>
      </c>
      <c r="K226" s="16" t="s">
        <v>521</v>
      </c>
      <c r="L226" s="16"/>
      <c r="M226" s="16">
        <v>1</v>
      </c>
      <c r="N226" s="16">
        <v>1</v>
      </c>
    </row>
    <row r="227" spans="1:14" ht="14">
      <c r="A227" s="106">
        <v>46167</v>
      </c>
      <c r="B227" s="107">
        <v>7002578504</v>
      </c>
      <c r="C227" s="107" t="s">
        <v>520</v>
      </c>
      <c r="D227" s="108" t="s">
        <v>474</v>
      </c>
      <c r="E227" s="108" t="s">
        <v>463</v>
      </c>
      <c r="F227" s="108" t="s">
        <v>102</v>
      </c>
      <c r="G227" s="108">
        <v>5</v>
      </c>
      <c r="H227" s="108" t="s">
        <v>472</v>
      </c>
      <c r="I227" s="108" t="s">
        <v>82</v>
      </c>
      <c r="K227" s="16" t="s">
        <v>453</v>
      </c>
      <c r="L227" s="16">
        <v>1</v>
      </c>
      <c r="M227" s="16"/>
      <c r="N227" s="16">
        <v>1</v>
      </c>
    </row>
    <row r="228" spans="1:14" ht="14">
      <c r="A228" s="106">
        <v>46167</v>
      </c>
      <c r="B228" s="107">
        <v>7002565778</v>
      </c>
      <c r="C228" s="107" t="s">
        <v>520</v>
      </c>
      <c r="D228" s="108" t="s">
        <v>474</v>
      </c>
      <c r="E228" s="108" t="s">
        <v>454</v>
      </c>
      <c r="F228" s="108" t="s">
        <v>102</v>
      </c>
      <c r="G228" s="108">
        <v>1</v>
      </c>
      <c r="H228" s="108" t="s">
        <v>472</v>
      </c>
      <c r="I228" s="108" t="s">
        <v>82</v>
      </c>
      <c r="K228" s="16" t="s">
        <v>519</v>
      </c>
      <c r="L228" s="16"/>
      <c r="M228" s="16">
        <v>1</v>
      </c>
      <c r="N228" s="16">
        <v>1</v>
      </c>
    </row>
    <row r="229" spans="1:14" ht="14">
      <c r="A229" s="106">
        <v>46167</v>
      </c>
      <c r="B229" s="107">
        <v>7002561230</v>
      </c>
      <c r="C229" s="107" t="s">
        <v>520</v>
      </c>
      <c r="D229" s="108" t="s">
        <v>474</v>
      </c>
      <c r="E229" s="108" t="s">
        <v>463</v>
      </c>
      <c r="F229" s="108" t="s">
        <v>102</v>
      </c>
      <c r="G229" s="108">
        <v>2</v>
      </c>
      <c r="H229" s="108" t="s">
        <v>472</v>
      </c>
      <c r="I229" s="108" t="s">
        <v>82</v>
      </c>
      <c r="K229" s="16" t="s">
        <v>520</v>
      </c>
      <c r="L229" s="16">
        <v>7</v>
      </c>
      <c r="M229" s="16"/>
      <c r="N229" s="16">
        <v>7</v>
      </c>
    </row>
    <row r="230" spans="1:14" ht="14">
      <c r="A230" s="106">
        <v>46167</v>
      </c>
      <c r="B230" s="107">
        <v>7002556495</v>
      </c>
      <c r="C230" s="107" t="s">
        <v>520</v>
      </c>
      <c r="D230" s="108" t="s">
        <v>474</v>
      </c>
      <c r="E230" s="108" t="s">
        <v>485</v>
      </c>
      <c r="F230" s="108" t="s">
        <v>102</v>
      </c>
      <c r="G230" s="108">
        <v>4</v>
      </c>
      <c r="H230" s="108" t="s">
        <v>472</v>
      </c>
      <c r="I230" s="108" t="s">
        <v>82</v>
      </c>
      <c r="K230" s="54" t="s">
        <v>84</v>
      </c>
      <c r="L230" s="54">
        <v>28</v>
      </c>
      <c r="M230" s="54">
        <v>2</v>
      </c>
      <c r="N230" s="54">
        <v>30</v>
      </c>
    </row>
    <row r="231" spans="1:14" ht="14">
      <c r="A231" s="106">
        <v>46167</v>
      </c>
      <c r="B231" s="77">
        <v>7002589802</v>
      </c>
      <c r="C231" s="16" t="s">
        <v>522</v>
      </c>
      <c r="D231" s="77" t="s">
        <v>474</v>
      </c>
      <c r="E231" s="77" t="s">
        <v>454</v>
      </c>
      <c r="F231" s="77" t="s">
        <v>90</v>
      </c>
      <c r="G231" s="77">
        <v>5</v>
      </c>
      <c r="H231" s="77" t="s">
        <v>475</v>
      </c>
      <c r="I231" s="77" t="s">
        <v>82</v>
      </c>
    </row>
    <row r="232" spans="1:14" ht="14">
      <c r="A232" s="106">
        <v>46167</v>
      </c>
      <c r="B232" s="77">
        <v>7002589751</v>
      </c>
      <c r="C232" s="16" t="s">
        <v>522</v>
      </c>
      <c r="D232" s="77" t="s">
        <v>474</v>
      </c>
      <c r="E232" s="77" t="s">
        <v>454</v>
      </c>
      <c r="F232" s="77" t="s">
        <v>90</v>
      </c>
      <c r="G232" s="77">
        <v>4</v>
      </c>
      <c r="H232" s="77" t="s">
        <v>475</v>
      </c>
      <c r="I232" s="77" t="s">
        <v>82</v>
      </c>
    </row>
    <row r="233" spans="1:14" ht="14">
      <c r="A233" s="106">
        <v>46167</v>
      </c>
      <c r="B233" s="77">
        <v>7002589746</v>
      </c>
      <c r="C233" s="16" t="s">
        <v>522</v>
      </c>
      <c r="D233" s="77" t="s">
        <v>474</v>
      </c>
      <c r="E233" s="77" t="s">
        <v>454</v>
      </c>
      <c r="F233" s="77" t="s">
        <v>90</v>
      </c>
      <c r="G233" s="77">
        <v>2</v>
      </c>
      <c r="H233" s="77" t="s">
        <v>475</v>
      </c>
      <c r="I233" s="77" t="s">
        <v>82</v>
      </c>
    </row>
    <row r="234" spans="1:14" ht="14">
      <c r="A234" s="106">
        <v>46167</v>
      </c>
      <c r="B234" s="77">
        <v>7002588750</v>
      </c>
      <c r="C234" s="16" t="s">
        <v>522</v>
      </c>
      <c r="D234" s="77" t="s">
        <v>474</v>
      </c>
      <c r="E234" s="77" t="s">
        <v>454</v>
      </c>
      <c r="F234" s="77" t="s">
        <v>90</v>
      </c>
      <c r="G234" s="77">
        <v>2</v>
      </c>
      <c r="H234" s="77" t="s">
        <v>475</v>
      </c>
      <c r="I234" s="77" t="s">
        <v>82</v>
      </c>
    </row>
    <row r="235" spans="1:14" ht="14">
      <c r="A235" s="106">
        <v>46167</v>
      </c>
      <c r="B235" s="77">
        <v>7002588709</v>
      </c>
      <c r="C235" s="16" t="s">
        <v>522</v>
      </c>
      <c r="D235" s="77" t="s">
        <v>474</v>
      </c>
      <c r="E235" s="77" t="s">
        <v>463</v>
      </c>
      <c r="F235" s="77" t="s">
        <v>90</v>
      </c>
      <c r="G235" s="77">
        <v>5</v>
      </c>
      <c r="H235" s="77" t="s">
        <v>475</v>
      </c>
      <c r="I235" s="77" t="s">
        <v>82</v>
      </c>
    </row>
    <row r="236" spans="1:14" ht="14">
      <c r="A236" s="106">
        <v>46167</v>
      </c>
      <c r="B236" s="77">
        <v>7002587754</v>
      </c>
      <c r="C236" s="16" t="s">
        <v>522</v>
      </c>
      <c r="D236" s="77" t="s">
        <v>474</v>
      </c>
      <c r="E236" s="77" t="s">
        <v>454</v>
      </c>
      <c r="F236" s="77" t="s">
        <v>90</v>
      </c>
      <c r="G236" s="77">
        <v>2</v>
      </c>
      <c r="H236" s="77" t="s">
        <v>475</v>
      </c>
      <c r="I236" s="77" t="s">
        <v>82</v>
      </c>
    </row>
    <row r="237" spans="1:14" ht="14">
      <c r="A237" s="106">
        <v>46167</v>
      </c>
      <c r="B237" s="77">
        <v>7002587749</v>
      </c>
      <c r="C237" s="16" t="s">
        <v>522</v>
      </c>
      <c r="D237" s="77" t="s">
        <v>474</v>
      </c>
      <c r="E237" s="77" t="s">
        <v>454</v>
      </c>
      <c r="F237" s="77" t="s">
        <v>90</v>
      </c>
      <c r="G237" s="77">
        <v>3</v>
      </c>
      <c r="H237" s="77" t="s">
        <v>475</v>
      </c>
      <c r="I237" s="77" t="s">
        <v>82</v>
      </c>
    </row>
    <row r="238" spans="1:14" ht="14">
      <c r="A238" s="106">
        <v>46167</v>
      </c>
      <c r="B238" s="77">
        <v>7002586748</v>
      </c>
      <c r="C238" s="16" t="s">
        <v>522</v>
      </c>
      <c r="D238" s="77" t="s">
        <v>474</v>
      </c>
      <c r="E238" s="77" t="s">
        <v>454</v>
      </c>
      <c r="F238" s="77" t="s">
        <v>90</v>
      </c>
      <c r="G238" s="77">
        <v>9</v>
      </c>
      <c r="H238" s="77" t="s">
        <v>475</v>
      </c>
      <c r="I238" s="77" t="s">
        <v>82</v>
      </c>
    </row>
    <row r="239" spans="1:14" ht="14">
      <c r="A239" s="106">
        <v>46167</v>
      </c>
      <c r="B239" s="77">
        <v>7002585752</v>
      </c>
      <c r="C239" s="16" t="s">
        <v>522</v>
      </c>
      <c r="D239" s="77" t="s">
        <v>474</v>
      </c>
      <c r="E239" s="77" t="s">
        <v>454</v>
      </c>
      <c r="F239" s="77" t="s">
        <v>90</v>
      </c>
      <c r="G239" s="77">
        <v>3</v>
      </c>
      <c r="H239" s="77" t="s">
        <v>475</v>
      </c>
      <c r="I239" s="77" t="s">
        <v>82</v>
      </c>
    </row>
    <row r="240" spans="1:14" ht="14">
      <c r="A240" s="106">
        <v>46167</v>
      </c>
      <c r="B240" s="77">
        <v>7002585747</v>
      </c>
      <c r="C240" s="16" t="s">
        <v>522</v>
      </c>
      <c r="D240" s="77" t="s">
        <v>474</v>
      </c>
      <c r="E240" s="77" t="s">
        <v>454</v>
      </c>
      <c r="F240" s="77" t="s">
        <v>90</v>
      </c>
      <c r="G240" s="77">
        <v>2</v>
      </c>
      <c r="H240" s="77" t="s">
        <v>475</v>
      </c>
      <c r="I240" s="77" t="s">
        <v>82</v>
      </c>
    </row>
    <row r="241" spans="1:15" ht="14">
      <c r="A241" s="106">
        <v>46167</v>
      </c>
      <c r="B241" s="77">
        <v>7002584759</v>
      </c>
      <c r="C241" s="16" t="s">
        <v>522</v>
      </c>
      <c r="D241" s="77" t="s">
        <v>474</v>
      </c>
      <c r="E241" s="77" t="s">
        <v>454</v>
      </c>
      <c r="F241" s="77" t="s">
        <v>90</v>
      </c>
      <c r="G241" s="77">
        <v>2</v>
      </c>
      <c r="H241" s="77" t="s">
        <v>475</v>
      </c>
      <c r="I241" s="77" t="s">
        <v>82</v>
      </c>
    </row>
    <row r="242" spans="1:15" ht="14">
      <c r="A242" s="106">
        <v>46167</v>
      </c>
      <c r="B242" s="77">
        <v>7002584744</v>
      </c>
      <c r="C242" s="16" t="s">
        <v>522</v>
      </c>
      <c r="D242" s="77" t="s">
        <v>474</v>
      </c>
      <c r="E242" s="77" t="s">
        <v>454</v>
      </c>
      <c r="F242" s="77" t="s">
        <v>90</v>
      </c>
      <c r="G242" s="77">
        <v>2</v>
      </c>
      <c r="H242" s="77" t="s">
        <v>475</v>
      </c>
      <c r="I242" s="77" t="s">
        <v>82</v>
      </c>
    </row>
    <row r="243" spans="1:15" ht="14">
      <c r="A243" s="106">
        <v>46167</v>
      </c>
      <c r="B243" s="77">
        <v>7002583809</v>
      </c>
      <c r="C243" s="16" t="s">
        <v>522</v>
      </c>
      <c r="D243" s="77" t="s">
        <v>474</v>
      </c>
      <c r="E243" s="77" t="s">
        <v>454</v>
      </c>
      <c r="F243" s="77" t="s">
        <v>90</v>
      </c>
      <c r="G243" s="77">
        <v>2</v>
      </c>
      <c r="H243" s="77" t="s">
        <v>475</v>
      </c>
      <c r="I243" s="77" t="s">
        <v>82</v>
      </c>
    </row>
    <row r="244" spans="1:15" ht="14">
      <c r="A244" s="106">
        <v>46167</v>
      </c>
      <c r="B244" s="77">
        <v>7002583755</v>
      </c>
      <c r="C244" s="16" t="s">
        <v>522</v>
      </c>
      <c r="D244" s="77" t="s">
        <v>474</v>
      </c>
      <c r="E244" s="77" t="s">
        <v>454</v>
      </c>
      <c r="F244" s="77" t="s">
        <v>90</v>
      </c>
      <c r="G244" s="77">
        <v>2</v>
      </c>
      <c r="H244" s="77" t="s">
        <v>475</v>
      </c>
      <c r="I244" s="77" t="s">
        <v>82</v>
      </c>
    </row>
    <row r="245" spans="1:15" ht="14">
      <c r="A245" s="106">
        <v>46167</v>
      </c>
      <c r="B245" s="77">
        <v>7002582760</v>
      </c>
      <c r="C245" s="16" t="s">
        <v>522</v>
      </c>
      <c r="D245" s="77" t="s">
        <v>474</v>
      </c>
      <c r="E245" s="77" t="s">
        <v>454</v>
      </c>
      <c r="F245" s="77" t="s">
        <v>90</v>
      </c>
      <c r="G245" s="77">
        <v>2</v>
      </c>
      <c r="H245" s="77" t="s">
        <v>475</v>
      </c>
      <c r="I245" s="77" t="s">
        <v>82</v>
      </c>
    </row>
    <row r="246" spans="1:15" ht="14">
      <c r="A246" s="106">
        <v>46167</v>
      </c>
      <c r="B246" s="77">
        <v>7002582756</v>
      </c>
      <c r="C246" s="16" t="s">
        <v>522</v>
      </c>
      <c r="D246" s="77" t="s">
        <v>474</v>
      </c>
      <c r="E246" s="77" t="s">
        <v>454</v>
      </c>
      <c r="F246" s="77" t="s">
        <v>90</v>
      </c>
      <c r="G246" s="77">
        <v>4</v>
      </c>
      <c r="H246" s="77" t="s">
        <v>475</v>
      </c>
      <c r="I246" s="77" t="s">
        <v>82</v>
      </c>
    </row>
    <row r="247" spans="1:15" ht="14">
      <c r="A247" s="106">
        <v>46167</v>
      </c>
      <c r="B247" s="77">
        <v>7002581735</v>
      </c>
      <c r="C247" s="16" t="s">
        <v>522</v>
      </c>
      <c r="D247" s="77" t="s">
        <v>474</v>
      </c>
      <c r="E247" s="77" t="s">
        <v>463</v>
      </c>
      <c r="F247" s="77" t="s">
        <v>90</v>
      </c>
      <c r="G247" s="77">
        <v>1</v>
      </c>
      <c r="H247" s="77" t="s">
        <v>475</v>
      </c>
      <c r="I247" s="77" t="s">
        <v>82</v>
      </c>
    </row>
    <row r="248" spans="1:15" ht="14">
      <c r="A248" s="106">
        <v>46167</v>
      </c>
      <c r="B248" s="77">
        <v>7002581726</v>
      </c>
      <c r="C248" s="16" t="s">
        <v>522</v>
      </c>
      <c r="D248" s="77" t="s">
        <v>474</v>
      </c>
      <c r="E248" s="77" t="s">
        <v>454</v>
      </c>
      <c r="F248" s="77" t="s">
        <v>90</v>
      </c>
      <c r="G248" s="77">
        <v>3</v>
      </c>
      <c r="H248" s="77" t="s">
        <v>475</v>
      </c>
      <c r="I248" s="77" t="s">
        <v>82</v>
      </c>
    </row>
    <row r="249" spans="1:15" ht="14">
      <c r="A249" s="106">
        <v>46167</v>
      </c>
      <c r="B249" s="77">
        <v>7002580758</v>
      </c>
      <c r="C249" s="16" t="s">
        <v>522</v>
      </c>
      <c r="D249" s="77" t="s">
        <v>474</v>
      </c>
      <c r="E249" s="77" t="s">
        <v>454</v>
      </c>
      <c r="F249" s="77" t="s">
        <v>90</v>
      </c>
      <c r="G249" s="77">
        <v>8</v>
      </c>
      <c r="H249" s="77" t="s">
        <v>475</v>
      </c>
      <c r="I249" s="77" t="s">
        <v>82</v>
      </c>
    </row>
    <row r="250" spans="1:15" ht="14">
      <c r="A250" s="106">
        <v>46167</v>
      </c>
      <c r="B250" s="77">
        <v>7002580743</v>
      </c>
      <c r="C250" s="16" t="s">
        <v>522</v>
      </c>
      <c r="D250" s="77" t="s">
        <v>474</v>
      </c>
      <c r="E250" s="77" t="s">
        <v>454</v>
      </c>
      <c r="F250" s="77" t="s">
        <v>90</v>
      </c>
      <c r="G250" s="77">
        <v>5</v>
      </c>
      <c r="H250" s="77" t="s">
        <v>475</v>
      </c>
      <c r="I250" s="77" t="s">
        <v>82</v>
      </c>
    </row>
    <row r="253" spans="1:15" ht="13">
      <c r="A253" s="105" t="s">
        <v>1</v>
      </c>
      <c r="B253" s="105" t="s">
        <v>445</v>
      </c>
      <c r="C253" s="105" t="s">
        <v>446</v>
      </c>
      <c r="D253" s="105" t="s">
        <v>465</v>
      </c>
      <c r="E253" s="105" t="s">
        <v>70</v>
      </c>
      <c r="F253" s="105" t="s">
        <v>447</v>
      </c>
      <c r="G253" s="105" t="s">
        <v>71</v>
      </c>
      <c r="H253" s="105" t="s">
        <v>466</v>
      </c>
      <c r="I253" s="105" t="s">
        <v>448</v>
      </c>
    </row>
    <row r="254" spans="1:15" ht="14">
      <c r="A254" s="109">
        <v>46168</v>
      </c>
      <c r="B254" s="110">
        <v>7002526980</v>
      </c>
      <c r="C254" s="110" t="s">
        <v>523</v>
      </c>
      <c r="D254" s="111" t="s">
        <v>479</v>
      </c>
      <c r="E254" s="110" t="s">
        <v>470</v>
      </c>
      <c r="F254" s="110" t="s">
        <v>96</v>
      </c>
      <c r="G254" s="111"/>
      <c r="H254" s="110" t="s">
        <v>472</v>
      </c>
      <c r="I254" s="111" t="s">
        <v>503</v>
      </c>
      <c r="K254" s="214">
        <v>46168</v>
      </c>
      <c r="L254" s="196"/>
      <c r="M254" s="196"/>
      <c r="N254" s="196"/>
      <c r="O254" s="197"/>
    </row>
    <row r="255" spans="1:15" ht="14.5">
      <c r="A255" s="109">
        <v>46168</v>
      </c>
      <c r="B255" s="110">
        <v>7002551844</v>
      </c>
      <c r="C255" s="110" t="s">
        <v>524</v>
      </c>
      <c r="D255" s="111" t="s">
        <v>474</v>
      </c>
      <c r="E255" s="110" t="s">
        <v>525</v>
      </c>
      <c r="F255" s="110" t="s">
        <v>112</v>
      </c>
      <c r="G255" s="111">
        <v>16</v>
      </c>
      <c r="H255" s="110" t="s">
        <v>472</v>
      </c>
      <c r="I255" s="111" t="s">
        <v>82</v>
      </c>
      <c r="K255" s="112" t="s">
        <v>62</v>
      </c>
      <c r="L255" s="112" t="s">
        <v>503</v>
      </c>
      <c r="M255" s="112" t="s">
        <v>82</v>
      </c>
      <c r="N255" s="112" t="s">
        <v>505</v>
      </c>
      <c r="O255" s="112" t="s">
        <v>84</v>
      </c>
    </row>
    <row r="256" spans="1:15" ht="14.5">
      <c r="A256" s="109">
        <v>46168</v>
      </c>
      <c r="B256" s="110">
        <v>7002551943</v>
      </c>
      <c r="C256" s="110" t="s">
        <v>524</v>
      </c>
      <c r="D256" s="111" t="s">
        <v>474</v>
      </c>
      <c r="E256" s="110" t="s">
        <v>85</v>
      </c>
      <c r="F256" s="110" t="s">
        <v>112</v>
      </c>
      <c r="G256" s="111">
        <v>1</v>
      </c>
      <c r="H256" s="110" t="s">
        <v>472</v>
      </c>
      <c r="I256" s="111" t="s">
        <v>82</v>
      </c>
      <c r="K256" s="113" t="s">
        <v>472</v>
      </c>
      <c r="L256" s="113">
        <v>1</v>
      </c>
      <c r="M256" s="113">
        <v>17</v>
      </c>
      <c r="N256" s="113">
        <v>7</v>
      </c>
      <c r="O256" s="113">
        <v>25</v>
      </c>
    </row>
    <row r="257" spans="1:15" ht="14.5">
      <c r="A257" s="109">
        <v>46168</v>
      </c>
      <c r="B257" s="110">
        <v>7002618023</v>
      </c>
      <c r="C257" s="110" t="s">
        <v>526</v>
      </c>
      <c r="D257" s="111" t="s">
        <v>474</v>
      </c>
      <c r="E257" s="110" t="s">
        <v>91</v>
      </c>
      <c r="F257" s="110" t="s">
        <v>102</v>
      </c>
      <c r="G257" s="111">
        <v>1</v>
      </c>
      <c r="H257" s="110" t="s">
        <v>472</v>
      </c>
      <c r="I257" s="111" t="s">
        <v>82</v>
      </c>
      <c r="K257" s="103" t="s">
        <v>526</v>
      </c>
      <c r="L257" s="103"/>
      <c r="M257" s="103">
        <v>13</v>
      </c>
      <c r="N257" s="103">
        <v>6</v>
      </c>
      <c r="O257" s="103">
        <v>19</v>
      </c>
    </row>
    <row r="258" spans="1:15" ht="14.5">
      <c r="A258" s="109">
        <v>46168</v>
      </c>
      <c r="B258" s="110">
        <v>7002576421</v>
      </c>
      <c r="C258" s="110" t="s">
        <v>526</v>
      </c>
      <c r="D258" s="111" t="s">
        <v>474</v>
      </c>
      <c r="E258" s="110" t="s">
        <v>454</v>
      </c>
      <c r="F258" s="110" t="s">
        <v>108</v>
      </c>
      <c r="G258" s="111">
        <v>5</v>
      </c>
      <c r="H258" s="110" t="s">
        <v>472</v>
      </c>
      <c r="I258" s="111" t="s">
        <v>82</v>
      </c>
      <c r="K258" s="103" t="s">
        <v>523</v>
      </c>
      <c r="L258" s="103">
        <v>1</v>
      </c>
      <c r="M258" s="103"/>
      <c r="N258" s="103"/>
      <c r="O258" s="103">
        <v>1</v>
      </c>
    </row>
    <row r="259" spans="1:15" ht="14.5">
      <c r="A259" s="109">
        <v>46168</v>
      </c>
      <c r="B259" s="110">
        <v>7002578813</v>
      </c>
      <c r="C259" s="110" t="s">
        <v>526</v>
      </c>
      <c r="D259" s="111" t="s">
        <v>474</v>
      </c>
      <c r="E259" s="110" t="s">
        <v>454</v>
      </c>
      <c r="F259" s="110" t="s">
        <v>102</v>
      </c>
      <c r="G259" s="111">
        <v>2</v>
      </c>
      <c r="H259" s="110" t="s">
        <v>472</v>
      </c>
      <c r="I259" s="111" t="s">
        <v>82</v>
      </c>
      <c r="K259" s="103" t="s">
        <v>453</v>
      </c>
      <c r="L259" s="103"/>
      <c r="M259" s="103"/>
      <c r="N259" s="103">
        <v>1</v>
      </c>
      <c r="O259" s="103">
        <v>1</v>
      </c>
    </row>
    <row r="260" spans="1:15" ht="14.5">
      <c r="A260" s="109">
        <v>46168</v>
      </c>
      <c r="B260" s="110">
        <v>7002580895</v>
      </c>
      <c r="C260" s="110" t="s">
        <v>526</v>
      </c>
      <c r="D260" s="111" t="s">
        <v>474</v>
      </c>
      <c r="E260" s="110" t="s">
        <v>454</v>
      </c>
      <c r="F260" s="110" t="s">
        <v>102</v>
      </c>
      <c r="G260" s="111">
        <v>56</v>
      </c>
      <c r="H260" s="110" t="s">
        <v>472</v>
      </c>
      <c r="I260" s="111" t="s">
        <v>82</v>
      </c>
      <c r="K260" s="103" t="s">
        <v>524</v>
      </c>
      <c r="L260" s="103"/>
      <c r="M260" s="103">
        <v>4</v>
      </c>
      <c r="N260" s="103"/>
      <c r="O260" s="103">
        <v>4</v>
      </c>
    </row>
    <row r="261" spans="1:15" ht="14.5">
      <c r="A261" s="109">
        <v>46168</v>
      </c>
      <c r="B261" s="110">
        <v>7002582154</v>
      </c>
      <c r="C261" s="110" t="s">
        <v>526</v>
      </c>
      <c r="D261" s="111" t="s">
        <v>474</v>
      </c>
      <c r="E261" s="110" t="s">
        <v>454</v>
      </c>
      <c r="F261" s="110" t="s">
        <v>108</v>
      </c>
      <c r="G261" s="111">
        <v>1</v>
      </c>
      <c r="H261" s="110" t="s">
        <v>472</v>
      </c>
      <c r="I261" s="111" t="s">
        <v>82</v>
      </c>
      <c r="K261" s="112" t="s">
        <v>84</v>
      </c>
      <c r="L261" s="112">
        <v>1</v>
      </c>
      <c r="M261" s="112">
        <v>17</v>
      </c>
      <c r="N261" s="112">
        <v>7</v>
      </c>
      <c r="O261" s="112">
        <v>25</v>
      </c>
    </row>
    <row r="262" spans="1:15" ht="13">
      <c r="A262" s="109">
        <v>46168</v>
      </c>
      <c r="B262" s="110">
        <v>7002587915</v>
      </c>
      <c r="C262" s="110" t="s">
        <v>524</v>
      </c>
      <c r="D262" s="111" t="s">
        <v>474</v>
      </c>
      <c r="E262" s="110" t="s">
        <v>486</v>
      </c>
      <c r="F262" s="110" t="s">
        <v>112</v>
      </c>
      <c r="G262" s="111">
        <v>1</v>
      </c>
      <c r="H262" s="110" t="s">
        <v>472</v>
      </c>
      <c r="I262" s="111" t="s">
        <v>82</v>
      </c>
    </row>
    <row r="263" spans="1:15" ht="13">
      <c r="A263" s="109">
        <v>46168</v>
      </c>
      <c r="B263" s="110">
        <v>7002588893</v>
      </c>
      <c r="C263" s="110" t="s">
        <v>524</v>
      </c>
      <c r="D263" s="111" t="s">
        <v>474</v>
      </c>
      <c r="E263" s="110" t="s">
        <v>454</v>
      </c>
      <c r="F263" s="110" t="s">
        <v>122</v>
      </c>
      <c r="G263" s="111">
        <v>3</v>
      </c>
      <c r="H263" s="110" t="s">
        <v>472</v>
      </c>
      <c r="I263" s="111" t="s">
        <v>82</v>
      </c>
    </row>
    <row r="264" spans="1:15" ht="13">
      <c r="A264" s="109">
        <v>46168</v>
      </c>
      <c r="B264" s="110">
        <v>7002590613</v>
      </c>
      <c r="C264" s="110" t="s">
        <v>526</v>
      </c>
      <c r="D264" s="111" t="s">
        <v>474</v>
      </c>
      <c r="E264" s="110" t="s">
        <v>454</v>
      </c>
      <c r="F264" s="110" t="s">
        <v>108</v>
      </c>
      <c r="G264" s="111">
        <v>1</v>
      </c>
      <c r="H264" s="110" t="s">
        <v>472</v>
      </c>
      <c r="I264" s="111" t="s">
        <v>82</v>
      </c>
    </row>
    <row r="265" spans="1:15" ht="13">
      <c r="A265" s="109">
        <v>46168</v>
      </c>
      <c r="B265" s="110">
        <v>7002592855</v>
      </c>
      <c r="C265" s="110" t="s">
        <v>526</v>
      </c>
      <c r="D265" s="111" t="s">
        <v>474</v>
      </c>
      <c r="E265" s="110" t="s">
        <v>98</v>
      </c>
      <c r="F265" s="110" t="s">
        <v>102</v>
      </c>
      <c r="G265" s="111">
        <v>3</v>
      </c>
      <c r="H265" s="110" t="s">
        <v>472</v>
      </c>
      <c r="I265" s="111" t="s">
        <v>82</v>
      </c>
    </row>
    <row r="266" spans="1:15" ht="13">
      <c r="A266" s="109">
        <v>46168</v>
      </c>
      <c r="B266" s="110">
        <v>7002609301</v>
      </c>
      <c r="C266" s="110" t="s">
        <v>526</v>
      </c>
      <c r="D266" s="111" t="s">
        <v>474</v>
      </c>
      <c r="E266" s="110" t="s">
        <v>454</v>
      </c>
      <c r="F266" s="110" t="s">
        <v>108</v>
      </c>
      <c r="G266" s="111">
        <v>6</v>
      </c>
      <c r="H266" s="110" t="s">
        <v>472</v>
      </c>
      <c r="I266" s="111" t="s">
        <v>82</v>
      </c>
    </row>
    <row r="267" spans="1:15" ht="13">
      <c r="A267" s="109">
        <v>46168</v>
      </c>
      <c r="B267" s="110">
        <v>7002606725</v>
      </c>
      <c r="C267" s="110" t="s">
        <v>526</v>
      </c>
      <c r="D267" s="111" t="s">
        <v>474</v>
      </c>
      <c r="E267" s="110" t="s">
        <v>91</v>
      </c>
      <c r="F267" s="110" t="s">
        <v>102</v>
      </c>
      <c r="G267" s="111">
        <v>80</v>
      </c>
      <c r="H267" s="110" t="s">
        <v>472</v>
      </c>
      <c r="I267" s="111" t="s">
        <v>82</v>
      </c>
    </row>
    <row r="268" spans="1:15" ht="13">
      <c r="A268" s="109">
        <v>46168</v>
      </c>
      <c r="B268" s="110">
        <v>7002603752</v>
      </c>
      <c r="C268" s="110" t="s">
        <v>526</v>
      </c>
      <c r="D268" s="111" t="s">
        <v>474</v>
      </c>
      <c r="E268" s="110" t="s">
        <v>454</v>
      </c>
      <c r="F268" s="110" t="s">
        <v>108</v>
      </c>
      <c r="G268" s="111">
        <v>1</v>
      </c>
      <c r="H268" s="110" t="s">
        <v>472</v>
      </c>
      <c r="I268" s="111" t="s">
        <v>82</v>
      </c>
    </row>
    <row r="269" spans="1:15" ht="13">
      <c r="A269" s="109">
        <v>46168</v>
      </c>
      <c r="B269" s="110">
        <v>7002601382</v>
      </c>
      <c r="C269" s="110" t="s">
        <v>526</v>
      </c>
      <c r="D269" s="111" t="s">
        <v>474</v>
      </c>
      <c r="E269" s="110" t="s">
        <v>454</v>
      </c>
      <c r="F269" s="110" t="s">
        <v>108</v>
      </c>
      <c r="G269" s="111">
        <v>1</v>
      </c>
      <c r="H269" s="110" t="s">
        <v>472</v>
      </c>
      <c r="I269" s="111" t="s">
        <v>82</v>
      </c>
    </row>
    <row r="270" spans="1:15" ht="13">
      <c r="A270" s="109">
        <v>46168</v>
      </c>
      <c r="B270" s="110">
        <v>7002600778</v>
      </c>
      <c r="C270" s="110" t="s">
        <v>526</v>
      </c>
      <c r="D270" s="111" t="s">
        <v>474</v>
      </c>
      <c r="E270" s="110" t="s">
        <v>454</v>
      </c>
      <c r="F270" s="110" t="s">
        <v>108</v>
      </c>
      <c r="G270" s="111">
        <v>1</v>
      </c>
      <c r="H270" s="110" t="s">
        <v>472</v>
      </c>
      <c r="I270" s="111" t="s">
        <v>82</v>
      </c>
    </row>
    <row r="271" spans="1:15" ht="13">
      <c r="A271" s="109">
        <v>46168</v>
      </c>
      <c r="B271" s="110">
        <v>7002600568</v>
      </c>
      <c r="C271" s="110" t="s">
        <v>526</v>
      </c>
      <c r="D271" s="111" t="s">
        <v>474</v>
      </c>
      <c r="E271" s="110" t="s">
        <v>454</v>
      </c>
      <c r="F271" s="110" t="s">
        <v>108</v>
      </c>
      <c r="G271" s="111">
        <v>1</v>
      </c>
      <c r="H271" s="110" t="s">
        <v>472</v>
      </c>
      <c r="I271" s="111" t="s">
        <v>82</v>
      </c>
    </row>
    <row r="272" spans="1:15" ht="13">
      <c r="A272" s="109">
        <v>46168</v>
      </c>
      <c r="B272" s="110">
        <v>7002556495</v>
      </c>
      <c r="C272" s="110" t="s">
        <v>526</v>
      </c>
      <c r="D272" s="111" t="s">
        <v>474</v>
      </c>
      <c r="E272" s="110" t="s">
        <v>485</v>
      </c>
      <c r="F272" s="110" t="s">
        <v>102</v>
      </c>
      <c r="G272" s="111">
        <v>4</v>
      </c>
      <c r="H272" s="110" t="s">
        <v>472</v>
      </c>
      <c r="I272" s="111" t="s">
        <v>505</v>
      </c>
    </row>
    <row r="273" spans="1:15" ht="13">
      <c r="A273" s="109">
        <v>46168</v>
      </c>
      <c r="B273" s="110">
        <v>7002561230</v>
      </c>
      <c r="C273" s="110" t="s">
        <v>526</v>
      </c>
      <c r="D273" s="111" t="s">
        <v>474</v>
      </c>
      <c r="E273" s="110" t="s">
        <v>463</v>
      </c>
      <c r="F273" s="110" t="s">
        <v>102</v>
      </c>
      <c r="G273" s="111">
        <v>2</v>
      </c>
      <c r="H273" s="110" t="s">
        <v>472</v>
      </c>
      <c r="I273" s="111" t="s">
        <v>505</v>
      </c>
    </row>
    <row r="274" spans="1:15" ht="13">
      <c r="A274" s="109">
        <v>46168</v>
      </c>
      <c r="B274" s="110">
        <v>7002565778</v>
      </c>
      <c r="C274" s="110" t="s">
        <v>526</v>
      </c>
      <c r="D274" s="111" t="s">
        <v>474</v>
      </c>
      <c r="E274" s="110" t="s">
        <v>454</v>
      </c>
      <c r="F274" s="110" t="s">
        <v>102</v>
      </c>
      <c r="G274" s="111">
        <v>1</v>
      </c>
      <c r="H274" s="110" t="s">
        <v>472</v>
      </c>
      <c r="I274" s="111" t="s">
        <v>505</v>
      </c>
    </row>
    <row r="275" spans="1:15" ht="13">
      <c r="A275" s="109">
        <v>46168</v>
      </c>
      <c r="B275" s="110">
        <v>7002578504</v>
      </c>
      <c r="C275" s="110" t="s">
        <v>526</v>
      </c>
      <c r="D275" s="111" t="s">
        <v>474</v>
      </c>
      <c r="E275" s="110" t="s">
        <v>463</v>
      </c>
      <c r="F275" s="110" t="s">
        <v>102</v>
      </c>
      <c r="G275" s="111">
        <v>5</v>
      </c>
      <c r="H275" s="110" t="s">
        <v>472</v>
      </c>
      <c r="I275" s="111" t="s">
        <v>505</v>
      </c>
    </row>
    <row r="276" spans="1:15" ht="13">
      <c r="A276" s="109">
        <v>46168</v>
      </c>
      <c r="B276" s="110">
        <v>7002590185</v>
      </c>
      <c r="C276" s="110" t="s">
        <v>526</v>
      </c>
      <c r="D276" s="111" t="s">
        <v>474</v>
      </c>
      <c r="E276" s="110" t="s">
        <v>98</v>
      </c>
      <c r="F276" s="110" t="s">
        <v>102</v>
      </c>
      <c r="G276" s="111">
        <v>1</v>
      </c>
      <c r="H276" s="110" t="s">
        <v>472</v>
      </c>
      <c r="I276" s="111" t="s">
        <v>505</v>
      </c>
    </row>
    <row r="277" spans="1:15" ht="13">
      <c r="A277" s="109">
        <v>46168</v>
      </c>
      <c r="B277" s="110">
        <v>7002599881</v>
      </c>
      <c r="C277" s="110" t="s">
        <v>526</v>
      </c>
      <c r="D277" s="111" t="s">
        <v>474</v>
      </c>
      <c r="E277" s="110" t="s">
        <v>463</v>
      </c>
      <c r="F277" s="110" t="s">
        <v>102</v>
      </c>
      <c r="G277" s="111">
        <v>4</v>
      </c>
      <c r="H277" s="110" t="s">
        <v>472</v>
      </c>
      <c r="I277" s="111" t="s">
        <v>505</v>
      </c>
    </row>
    <row r="278" spans="1:15" ht="13">
      <c r="A278" s="109">
        <v>46168</v>
      </c>
      <c r="B278" s="110">
        <v>7002598975</v>
      </c>
      <c r="C278" s="110" t="s">
        <v>453</v>
      </c>
      <c r="D278" s="111" t="s">
        <v>474</v>
      </c>
      <c r="E278" s="110" t="s">
        <v>91</v>
      </c>
      <c r="F278" s="110" t="s">
        <v>96</v>
      </c>
      <c r="G278" s="111">
        <v>2</v>
      </c>
      <c r="H278" s="110" t="s">
        <v>472</v>
      </c>
      <c r="I278" s="111" t="s">
        <v>505</v>
      </c>
    </row>
    <row r="281" spans="1:15" ht="14">
      <c r="A281" s="105" t="s">
        <v>1</v>
      </c>
      <c r="B281" s="105" t="s">
        <v>445</v>
      </c>
      <c r="C281" s="105" t="s">
        <v>446</v>
      </c>
      <c r="D281" s="105" t="s">
        <v>465</v>
      </c>
      <c r="E281" s="105" t="s">
        <v>70</v>
      </c>
      <c r="F281" s="105" t="s">
        <v>447</v>
      </c>
      <c r="G281" s="105" t="s">
        <v>71</v>
      </c>
      <c r="H281" s="105" t="s">
        <v>466</v>
      </c>
      <c r="I281" s="105" t="s">
        <v>448</v>
      </c>
      <c r="K281" s="214">
        <v>46169</v>
      </c>
      <c r="L281" s="196"/>
      <c r="M281" s="196"/>
      <c r="N281" s="196"/>
      <c r="O281" s="197"/>
    </row>
    <row r="282" spans="1:15" ht="14">
      <c r="A282" s="114">
        <v>46169</v>
      </c>
      <c r="B282" s="115">
        <v>7002622985</v>
      </c>
      <c r="C282" s="115" t="s">
        <v>527</v>
      </c>
      <c r="D282" s="115" t="s">
        <v>474</v>
      </c>
      <c r="E282" s="115" t="s">
        <v>528</v>
      </c>
      <c r="F282" s="115" t="s">
        <v>96</v>
      </c>
      <c r="G282" s="115">
        <v>8</v>
      </c>
      <c r="H282" s="115" t="s">
        <v>472</v>
      </c>
      <c r="I282" s="115" t="s">
        <v>82</v>
      </c>
      <c r="K282" s="54" t="s">
        <v>529</v>
      </c>
      <c r="L282" s="54" t="s">
        <v>74</v>
      </c>
      <c r="M282" s="54"/>
      <c r="N282" s="54"/>
      <c r="O282" s="54"/>
    </row>
    <row r="283" spans="1:15" ht="14">
      <c r="A283" s="114">
        <v>46169</v>
      </c>
      <c r="B283" s="115">
        <v>7002520143</v>
      </c>
      <c r="C283" s="115" t="s">
        <v>530</v>
      </c>
      <c r="D283" s="115" t="s">
        <v>474</v>
      </c>
      <c r="E283" s="115" t="s">
        <v>98</v>
      </c>
      <c r="F283" s="115" t="s">
        <v>108</v>
      </c>
      <c r="G283" s="115">
        <v>4</v>
      </c>
      <c r="H283" s="115" t="s">
        <v>472</v>
      </c>
      <c r="I283" s="115" t="s">
        <v>82</v>
      </c>
      <c r="K283" s="54" t="s">
        <v>62</v>
      </c>
      <c r="L283" s="54" t="s">
        <v>503</v>
      </c>
      <c r="M283" s="54" t="s">
        <v>82</v>
      </c>
      <c r="N283" s="54" t="s">
        <v>505</v>
      </c>
      <c r="O283" s="54" t="s">
        <v>84</v>
      </c>
    </row>
    <row r="284" spans="1:15" ht="14">
      <c r="A284" s="114">
        <v>46169</v>
      </c>
      <c r="B284" s="115">
        <v>7002631087</v>
      </c>
      <c r="C284" s="115" t="s">
        <v>530</v>
      </c>
      <c r="D284" s="115" t="s">
        <v>474</v>
      </c>
      <c r="E284" s="115" t="s">
        <v>98</v>
      </c>
      <c r="F284" s="115" t="s">
        <v>108</v>
      </c>
      <c r="G284" s="115">
        <v>1</v>
      </c>
      <c r="H284" s="115" t="s">
        <v>472</v>
      </c>
      <c r="I284" s="115" t="s">
        <v>82</v>
      </c>
      <c r="K284" s="97" t="s">
        <v>475</v>
      </c>
      <c r="L284" s="97"/>
      <c r="M284" s="97">
        <v>2</v>
      </c>
      <c r="N284" s="97"/>
      <c r="O284" s="97">
        <v>2</v>
      </c>
    </row>
    <row r="285" spans="1:15" ht="14">
      <c r="A285" s="114">
        <v>46169</v>
      </c>
      <c r="B285" s="115">
        <v>7002638079</v>
      </c>
      <c r="C285" s="115" t="s">
        <v>530</v>
      </c>
      <c r="D285" s="115" t="s">
        <v>479</v>
      </c>
      <c r="E285" s="115" t="s">
        <v>470</v>
      </c>
      <c r="F285" s="115" t="s">
        <v>108</v>
      </c>
      <c r="G285" s="115">
        <v>3</v>
      </c>
      <c r="H285" s="115" t="s">
        <v>472</v>
      </c>
      <c r="I285" s="115" t="s">
        <v>82</v>
      </c>
      <c r="K285" s="16" t="s">
        <v>531</v>
      </c>
      <c r="L285" s="16"/>
      <c r="M285" s="16">
        <v>1</v>
      </c>
      <c r="N285" s="16"/>
      <c r="O285" s="16">
        <v>1</v>
      </c>
    </row>
    <row r="286" spans="1:15" ht="14">
      <c r="A286" s="114">
        <v>46169</v>
      </c>
      <c r="B286" s="115">
        <v>7002635069</v>
      </c>
      <c r="C286" s="115" t="s">
        <v>530</v>
      </c>
      <c r="D286" s="115" t="s">
        <v>474</v>
      </c>
      <c r="E286" s="115" t="s">
        <v>528</v>
      </c>
      <c r="F286" s="115" t="s">
        <v>108</v>
      </c>
      <c r="G286" s="115">
        <v>4</v>
      </c>
      <c r="H286" s="115" t="s">
        <v>472</v>
      </c>
      <c r="I286" s="115" t="s">
        <v>82</v>
      </c>
      <c r="K286" s="16" t="s">
        <v>532</v>
      </c>
      <c r="L286" s="16"/>
      <c r="M286" s="16">
        <v>1</v>
      </c>
      <c r="N286" s="16"/>
      <c r="O286" s="16">
        <v>1</v>
      </c>
    </row>
    <row r="287" spans="1:15" ht="14">
      <c r="A287" s="114">
        <v>46169</v>
      </c>
      <c r="B287" s="115">
        <v>7002631039</v>
      </c>
      <c r="C287" s="115" t="s">
        <v>530</v>
      </c>
      <c r="D287" s="115" t="s">
        <v>474</v>
      </c>
      <c r="E287" s="115" t="s">
        <v>98</v>
      </c>
      <c r="F287" s="115" t="s">
        <v>108</v>
      </c>
      <c r="G287" s="115">
        <v>3</v>
      </c>
      <c r="H287" s="115" t="s">
        <v>472</v>
      </c>
      <c r="I287" s="115" t="s">
        <v>82</v>
      </c>
      <c r="K287" s="116" t="s">
        <v>472</v>
      </c>
      <c r="L287" s="116">
        <v>6</v>
      </c>
      <c r="M287" s="116">
        <v>244</v>
      </c>
      <c r="N287" s="116">
        <v>13</v>
      </c>
      <c r="O287" s="116">
        <v>263</v>
      </c>
    </row>
    <row r="288" spans="1:15" ht="14">
      <c r="A288" s="114">
        <v>46169</v>
      </c>
      <c r="B288" s="115">
        <v>7002635024</v>
      </c>
      <c r="C288" s="115" t="s">
        <v>530</v>
      </c>
      <c r="D288" s="115" t="s">
        <v>474</v>
      </c>
      <c r="E288" s="115" t="s">
        <v>91</v>
      </c>
      <c r="F288" s="115" t="s">
        <v>108</v>
      </c>
      <c r="G288" s="115">
        <v>5</v>
      </c>
      <c r="H288" s="115" t="s">
        <v>472</v>
      </c>
      <c r="I288" s="115" t="s">
        <v>82</v>
      </c>
      <c r="K288" s="117" t="s">
        <v>530</v>
      </c>
      <c r="L288" s="117">
        <v>6</v>
      </c>
      <c r="M288" s="117">
        <v>243</v>
      </c>
      <c r="N288" s="117">
        <v>13</v>
      </c>
      <c r="O288" s="117">
        <v>262</v>
      </c>
    </row>
    <row r="289" spans="1:15" ht="14">
      <c r="A289" s="114">
        <v>46169</v>
      </c>
      <c r="B289" s="115">
        <v>7002637021</v>
      </c>
      <c r="C289" s="115" t="s">
        <v>530</v>
      </c>
      <c r="D289" s="115" t="s">
        <v>474</v>
      </c>
      <c r="E289" s="115" t="s">
        <v>533</v>
      </c>
      <c r="F289" s="115" t="s">
        <v>108</v>
      </c>
      <c r="G289" s="115">
        <v>2</v>
      </c>
      <c r="H289" s="115" t="s">
        <v>472</v>
      </c>
      <c r="I289" s="115" t="s">
        <v>82</v>
      </c>
      <c r="K289" s="117" t="s">
        <v>527</v>
      </c>
      <c r="L289" s="117"/>
      <c r="M289" s="117">
        <v>1</v>
      </c>
      <c r="N289" s="117"/>
      <c r="O289" s="117">
        <v>1</v>
      </c>
    </row>
    <row r="290" spans="1:15" ht="14">
      <c r="A290" s="114">
        <v>46169</v>
      </c>
      <c r="B290" s="115">
        <v>7002630019</v>
      </c>
      <c r="C290" s="115" t="s">
        <v>530</v>
      </c>
      <c r="D290" s="115" t="s">
        <v>474</v>
      </c>
      <c r="E290" s="115" t="s">
        <v>98</v>
      </c>
      <c r="F290" s="115" t="s">
        <v>108</v>
      </c>
      <c r="G290" s="115">
        <v>1</v>
      </c>
      <c r="H290" s="115" t="s">
        <v>472</v>
      </c>
      <c r="I290" s="115" t="s">
        <v>82</v>
      </c>
      <c r="K290" s="54" t="s">
        <v>84</v>
      </c>
      <c r="L290" s="54">
        <v>6</v>
      </c>
      <c r="M290" s="54">
        <v>246</v>
      </c>
      <c r="N290" s="54">
        <v>13</v>
      </c>
      <c r="O290" s="54">
        <v>265</v>
      </c>
    </row>
    <row r="291" spans="1:15" ht="13">
      <c r="A291" s="114">
        <v>46169</v>
      </c>
      <c r="B291" s="115">
        <v>7002621986</v>
      </c>
      <c r="C291" s="115" t="s">
        <v>530</v>
      </c>
      <c r="D291" s="115" t="s">
        <v>474</v>
      </c>
      <c r="E291" s="115" t="s">
        <v>454</v>
      </c>
      <c r="F291" s="115" t="s">
        <v>108</v>
      </c>
      <c r="G291" s="115">
        <v>22</v>
      </c>
      <c r="H291" s="115" t="s">
        <v>472</v>
      </c>
      <c r="I291" s="115" t="s">
        <v>82</v>
      </c>
    </row>
    <row r="292" spans="1:15" ht="13">
      <c r="A292" s="114">
        <v>46169</v>
      </c>
      <c r="B292" s="115">
        <v>7002620987</v>
      </c>
      <c r="C292" s="115" t="s">
        <v>530</v>
      </c>
      <c r="D292" s="115" t="s">
        <v>474</v>
      </c>
      <c r="E292" s="115" t="s">
        <v>91</v>
      </c>
      <c r="F292" s="115" t="s">
        <v>108</v>
      </c>
      <c r="G292" s="115">
        <v>1</v>
      </c>
      <c r="H292" s="115" t="s">
        <v>472</v>
      </c>
      <c r="I292" s="115" t="s">
        <v>82</v>
      </c>
    </row>
    <row r="293" spans="1:15" ht="13">
      <c r="A293" s="114">
        <v>46169</v>
      </c>
      <c r="B293" s="115">
        <v>7002629976</v>
      </c>
      <c r="C293" s="115" t="s">
        <v>530</v>
      </c>
      <c r="D293" s="115" t="s">
        <v>474</v>
      </c>
      <c r="E293" s="115" t="s">
        <v>454</v>
      </c>
      <c r="F293" s="115" t="s">
        <v>108</v>
      </c>
      <c r="G293" s="115">
        <v>1</v>
      </c>
      <c r="H293" s="115" t="s">
        <v>472</v>
      </c>
      <c r="I293" s="115" t="s">
        <v>82</v>
      </c>
    </row>
    <row r="294" spans="1:15" ht="13">
      <c r="A294" s="114">
        <v>46169</v>
      </c>
      <c r="B294" s="115">
        <v>7002622963</v>
      </c>
      <c r="C294" s="115" t="s">
        <v>530</v>
      </c>
      <c r="D294" s="115" t="s">
        <v>474</v>
      </c>
      <c r="E294" s="115" t="s">
        <v>528</v>
      </c>
      <c r="F294" s="115" t="s">
        <v>108</v>
      </c>
      <c r="G294" s="115">
        <v>6</v>
      </c>
      <c r="H294" s="115" t="s">
        <v>472</v>
      </c>
      <c r="I294" s="115" t="s">
        <v>82</v>
      </c>
      <c r="K294" s="220" t="s">
        <v>534</v>
      </c>
      <c r="L294" s="221"/>
      <c r="M294" s="221"/>
      <c r="N294" s="221"/>
    </row>
    <row r="295" spans="1:15" ht="13">
      <c r="A295" s="114">
        <v>46169</v>
      </c>
      <c r="B295" s="115">
        <v>7002622944</v>
      </c>
      <c r="C295" s="115" t="s">
        <v>530</v>
      </c>
      <c r="D295" s="115" t="s">
        <v>474</v>
      </c>
      <c r="E295" s="115" t="s">
        <v>98</v>
      </c>
      <c r="F295" s="115" t="s">
        <v>108</v>
      </c>
      <c r="G295" s="115">
        <v>2</v>
      </c>
      <c r="H295" s="115" t="s">
        <v>472</v>
      </c>
      <c r="I295" s="115" t="s">
        <v>82</v>
      </c>
      <c r="K295" s="222"/>
      <c r="L295" s="222"/>
      <c r="M295" s="222"/>
      <c r="N295" s="222"/>
    </row>
    <row r="296" spans="1:15" ht="14">
      <c r="A296" s="114">
        <v>46169</v>
      </c>
      <c r="B296" s="115">
        <v>7002629924</v>
      </c>
      <c r="C296" s="115" t="s">
        <v>530</v>
      </c>
      <c r="D296" s="115" t="s">
        <v>474</v>
      </c>
      <c r="E296" s="115" t="s">
        <v>98</v>
      </c>
      <c r="F296" s="115" t="s">
        <v>108</v>
      </c>
      <c r="G296" s="115">
        <v>27</v>
      </c>
      <c r="H296" s="115" t="s">
        <v>472</v>
      </c>
      <c r="I296" s="115" t="s">
        <v>82</v>
      </c>
      <c r="K296" s="54" t="s">
        <v>529</v>
      </c>
      <c r="L296" s="54" t="s">
        <v>74</v>
      </c>
      <c r="M296" s="54"/>
      <c r="N296" s="54"/>
    </row>
    <row r="297" spans="1:15" ht="14">
      <c r="A297" s="114">
        <v>46169</v>
      </c>
      <c r="B297" s="115">
        <v>7002622893</v>
      </c>
      <c r="C297" s="115" t="s">
        <v>530</v>
      </c>
      <c r="D297" s="115" t="s">
        <v>474</v>
      </c>
      <c r="E297" s="115" t="s">
        <v>454</v>
      </c>
      <c r="F297" s="115" t="s">
        <v>108</v>
      </c>
      <c r="G297" s="115">
        <v>2</v>
      </c>
      <c r="H297" s="115" t="s">
        <v>472</v>
      </c>
      <c r="I297" s="115" t="s">
        <v>82</v>
      </c>
      <c r="K297" s="54" t="s">
        <v>62</v>
      </c>
      <c r="L297" s="54" t="s">
        <v>82</v>
      </c>
      <c r="M297" s="54" t="s">
        <v>505</v>
      </c>
      <c r="N297" s="54" t="s">
        <v>84</v>
      </c>
    </row>
    <row r="298" spans="1:15" ht="14">
      <c r="A298" s="114">
        <v>46169</v>
      </c>
      <c r="B298" s="115">
        <v>7002621887</v>
      </c>
      <c r="C298" s="115" t="s">
        <v>530</v>
      </c>
      <c r="D298" s="115" t="s">
        <v>474</v>
      </c>
      <c r="E298" s="115" t="s">
        <v>98</v>
      </c>
      <c r="F298" s="115" t="s">
        <v>108</v>
      </c>
      <c r="G298" s="115">
        <v>6</v>
      </c>
      <c r="H298" s="115" t="s">
        <v>472</v>
      </c>
      <c r="I298" s="115" t="s">
        <v>82</v>
      </c>
      <c r="K298" s="97" t="s">
        <v>486</v>
      </c>
      <c r="L298" s="97">
        <v>22</v>
      </c>
      <c r="M298" s="97">
        <v>1</v>
      </c>
      <c r="N298" s="97">
        <v>23</v>
      </c>
    </row>
    <row r="299" spans="1:15" ht="14">
      <c r="A299" s="114">
        <v>46169</v>
      </c>
      <c r="B299" s="115">
        <v>7002620888</v>
      </c>
      <c r="C299" s="115" t="s">
        <v>530</v>
      </c>
      <c r="D299" s="115" t="s">
        <v>474</v>
      </c>
      <c r="E299" s="115" t="s">
        <v>98</v>
      </c>
      <c r="F299" s="115" t="s">
        <v>108</v>
      </c>
      <c r="G299" s="115">
        <v>3</v>
      </c>
      <c r="H299" s="115" t="s">
        <v>472</v>
      </c>
      <c r="I299" s="115" t="s">
        <v>82</v>
      </c>
      <c r="K299" s="16" t="s">
        <v>535</v>
      </c>
      <c r="L299" s="16">
        <v>18</v>
      </c>
      <c r="M299" s="16">
        <v>1</v>
      </c>
      <c r="N299" s="16">
        <v>19</v>
      </c>
    </row>
    <row r="300" spans="1:15" ht="14">
      <c r="A300" s="114">
        <v>46169</v>
      </c>
      <c r="B300" s="115">
        <v>7002628879</v>
      </c>
      <c r="C300" s="115" t="s">
        <v>530</v>
      </c>
      <c r="D300" s="115" t="s">
        <v>474</v>
      </c>
      <c r="E300" s="115" t="s">
        <v>91</v>
      </c>
      <c r="F300" s="115" t="s">
        <v>108</v>
      </c>
      <c r="G300" s="115">
        <v>2</v>
      </c>
      <c r="H300" s="115" t="s">
        <v>472</v>
      </c>
      <c r="I300" s="115" t="s">
        <v>82</v>
      </c>
      <c r="K300" s="16" t="s">
        <v>536</v>
      </c>
      <c r="L300" s="16">
        <v>4</v>
      </c>
      <c r="M300" s="16"/>
      <c r="N300" s="16">
        <v>4</v>
      </c>
    </row>
    <row r="301" spans="1:15" ht="14">
      <c r="A301" s="114">
        <v>46169</v>
      </c>
      <c r="B301" s="115">
        <v>7002625869</v>
      </c>
      <c r="C301" s="115" t="s">
        <v>530</v>
      </c>
      <c r="D301" s="115" t="s">
        <v>474</v>
      </c>
      <c r="E301" s="115" t="s">
        <v>91</v>
      </c>
      <c r="F301" s="115" t="s">
        <v>108</v>
      </c>
      <c r="G301" s="115">
        <v>2</v>
      </c>
      <c r="H301" s="115" t="s">
        <v>472</v>
      </c>
      <c r="I301" s="115" t="s">
        <v>82</v>
      </c>
      <c r="K301" s="97" t="s">
        <v>461</v>
      </c>
      <c r="L301" s="97">
        <v>1</v>
      </c>
      <c r="M301" s="97"/>
      <c r="N301" s="97">
        <v>1</v>
      </c>
    </row>
    <row r="302" spans="1:15" ht="14">
      <c r="A302" s="114">
        <v>46169</v>
      </c>
      <c r="B302" s="115">
        <v>7002624862</v>
      </c>
      <c r="C302" s="115" t="s">
        <v>530</v>
      </c>
      <c r="D302" s="115" t="s">
        <v>515</v>
      </c>
      <c r="E302" s="115" t="s">
        <v>470</v>
      </c>
      <c r="F302" s="115" t="s">
        <v>108</v>
      </c>
      <c r="G302" s="115">
        <v>4</v>
      </c>
      <c r="H302" s="115" t="s">
        <v>472</v>
      </c>
      <c r="I302" s="115" t="s">
        <v>82</v>
      </c>
      <c r="K302" s="16" t="s">
        <v>537</v>
      </c>
      <c r="L302" s="16">
        <v>1</v>
      </c>
      <c r="M302" s="16"/>
      <c r="N302" s="16">
        <v>1</v>
      </c>
    </row>
    <row r="303" spans="1:15" ht="14">
      <c r="A303" s="114">
        <v>46169</v>
      </c>
      <c r="B303" s="115">
        <v>7002625853</v>
      </c>
      <c r="C303" s="115" t="s">
        <v>530</v>
      </c>
      <c r="D303" s="115" t="s">
        <v>474</v>
      </c>
      <c r="E303" s="115" t="s">
        <v>538</v>
      </c>
      <c r="F303" s="115" t="s">
        <v>108</v>
      </c>
      <c r="G303" s="115">
        <v>2</v>
      </c>
      <c r="H303" s="115" t="s">
        <v>472</v>
      </c>
      <c r="I303" s="115" t="s">
        <v>82</v>
      </c>
      <c r="K303" s="54" t="s">
        <v>84</v>
      </c>
      <c r="L303" s="54">
        <v>23</v>
      </c>
      <c r="M303" s="54">
        <v>1</v>
      </c>
      <c r="N303" s="54">
        <v>24</v>
      </c>
    </row>
    <row r="304" spans="1:15" ht="13">
      <c r="A304" s="114">
        <v>46169</v>
      </c>
      <c r="B304" s="115">
        <v>7002623828</v>
      </c>
      <c r="C304" s="115" t="s">
        <v>530</v>
      </c>
      <c r="D304" s="115" t="s">
        <v>474</v>
      </c>
      <c r="E304" s="115" t="s">
        <v>454</v>
      </c>
      <c r="F304" s="115" t="s">
        <v>108</v>
      </c>
      <c r="G304" s="115">
        <v>3</v>
      </c>
      <c r="H304" s="115" t="s">
        <v>472</v>
      </c>
      <c r="I304" s="115" t="s">
        <v>82</v>
      </c>
    </row>
    <row r="305" spans="1:9" ht="13">
      <c r="A305" s="114">
        <v>46169</v>
      </c>
      <c r="B305" s="115">
        <v>7002588051</v>
      </c>
      <c r="C305" s="115" t="s">
        <v>530</v>
      </c>
      <c r="D305" s="115" t="s">
        <v>474</v>
      </c>
      <c r="E305" s="115" t="s">
        <v>463</v>
      </c>
      <c r="F305" s="115" t="s">
        <v>108</v>
      </c>
      <c r="G305" s="115">
        <v>1</v>
      </c>
      <c r="H305" s="115" t="s">
        <v>472</v>
      </c>
      <c r="I305" s="115" t="s">
        <v>82</v>
      </c>
    </row>
    <row r="306" spans="1:9" ht="13">
      <c r="A306" s="114">
        <v>46169</v>
      </c>
      <c r="B306" s="115">
        <v>7002629788</v>
      </c>
      <c r="C306" s="115" t="s">
        <v>530</v>
      </c>
      <c r="D306" s="115" t="s">
        <v>474</v>
      </c>
      <c r="E306" s="115" t="s">
        <v>528</v>
      </c>
      <c r="F306" s="115" t="s">
        <v>108</v>
      </c>
      <c r="G306" s="115">
        <v>10</v>
      </c>
      <c r="H306" s="115" t="s">
        <v>472</v>
      </c>
      <c r="I306" s="115" t="s">
        <v>82</v>
      </c>
    </row>
    <row r="307" spans="1:9" ht="13">
      <c r="A307" s="114">
        <v>46169</v>
      </c>
      <c r="B307" s="115">
        <v>7002587647</v>
      </c>
      <c r="C307" s="115" t="s">
        <v>530</v>
      </c>
      <c r="D307" s="115" t="s">
        <v>474</v>
      </c>
      <c r="E307" s="115" t="s">
        <v>454</v>
      </c>
      <c r="F307" s="115" t="s">
        <v>108</v>
      </c>
      <c r="G307" s="115">
        <v>13</v>
      </c>
      <c r="H307" s="115" t="s">
        <v>472</v>
      </c>
      <c r="I307" s="115" t="s">
        <v>82</v>
      </c>
    </row>
    <row r="308" spans="1:9" ht="13">
      <c r="A308" s="114">
        <v>46169</v>
      </c>
      <c r="B308" s="115">
        <v>7002624782</v>
      </c>
      <c r="C308" s="115" t="s">
        <v>530</v>
      </c>
      <c r="D308" s="115" t="s">
        <v>474</v>
      </c>
      <c r="E308" s="115" t="s">
        <v>463</v>
      </c>
      <c r="F308" s="115" t="s">
        <v>108</v>
      </c>
      <c r="G308" s="115">
        <v>1</v>
      </c>
      <c r="H308" s="115" t="s">
        <v>472</v>
      </c>
      <c r="I308" s="115" t="s">
        <v>82</v>
      </c>
    </row>
    <row r="309" spans="1:9" ht="13">
      <c r="A309" s="114">
        <v>46169</v>
      </c>
      <c r="B309" s="115">
        <v>7002622778</v>
      </c>
      <c r="C309" s="115" t="s">
        <v>530</v>
      </c>
      <c r="D309" s="115" t="s">
        <v>474</v>
      </c>
      <c r="E309" s="115" t="s">
        <v>463</v>
      </c>
      <c r="F309" s="115" t="s">
        <v>108</v>
      </c>
      <c r="G309" s="115">
        <v>1</v>
      </c>
      <c r="H309" s="115" t="s">
        <v>472</v>
      </c>
      <c r="I309" s="115" t="s">
        <v>82</v>
      </c>
    </row>
    <row r="310" spans="1:9" ht="13">
      <c r="A310" s="114">
        <v>46169</v>
      </c>
      <c r="B310" s="115">
        <v>7002620781</v>
      </c>
      <c r="C310" s="115" t="s">
        <v>530</v>
      </c>
      <c r="D310" s="115" t="s">
        <v>474</v>
      </c>
      <c r="E310" s="115" t="s">
        <v>463</v>
      </c>
      <c r="F310" s="115" t="s">
        <v>108</v>
      </c>
      <c r="G310" s="115">
        <v>2</v>
      </c>
      <c r="H310" s="115" t="s">
        <v>472</v>
      </c>
      <c r="I310" s="115" t="s">
        <v>82</v>
      </c>
    </row>
    <row r="311" spans="1:9" ht="13">
      <c r="A311" s="114">
        <v>46169</v>
      </c>
      <c r="B311" s="115">
        <v>7002624776</v>
      </c>
      <c r="C311" s="115" t="s">
        <v>530</v>
      </c>
      <c r="D311" s="115" t="s">
        <v>474</v>
      </c>
      <c r="E311" s="115" t="s">
        <v>463</v>
      </c>
      <c r="F311" s="115" t="s">
        <v>108</v>
      </c>
      <c r="G311" s="115">
        <v>1</v>
      </c>
      <c r="H311" s="115" t="s">
        <v>472</v>
      </c>
      <c r="I311" s="115" t="s">
        <v>82</v>
      </c>
    </row>
    <row r="312" spans="1:9" ht="13">
      <c r="A312" s="114">
        <v>46169</v>
      </c>
      <c r="B312" s="115">
        <v>7002623777</v>
      </c>
      <c r="C312" s="115" t="s">
        <v>530</v>
      </c>
      <c r="D312" s="115" t="s">
        <v>474</v>
      </c>
      <c r="E312" s="115" t="s">
        <v>463</v>
      </c>
      <c r="F312" s="115" t="s">
        <v>108</v>
      </c>
      <c r="G312" s="115">
        <v>1</v>
      </c>
      <c r="H312" s="115" t="s">
        <v>472</v>
      </c>
      <c r="I312" s="115" t="s">
        <v>82</v>
      </c>
    </row>
    <row r="313" spans="1:9" ht="13">
      <c r="A313" s="114">
        <v>46169</v>
      </c>
      <c r="B313" s="115">
        <v>7002628773</v>
      </c>
      <c r="C313" s="115" t="s">
        <v>530</v>
      </c>
      <c r="D313" s="115" t="s">
        <v>479</v>
      </c>
      <c r="E313" s="115" t="s">
        <v>103</v>
      </c>
      <c r="F313" s="115" t="s">
        <v>108</v>
      </c>
      <c r="G313" s="115">
        <v>4</v>
      </c>
      <c r="H313" s="115" t="s">
        <v>472</v>
      </c>
      <c r="I313" s="115" t="s">
        <v>82</v>
      </c>
    </row>
    <row r="314" spans="1:9" ht="13">
      <c r="A314" s="114">
        <v>46169</v>
      </c>
      <c r="B314" s="115">
        <v>7002587989</v>
      </c>
      <c r="C314" s="115" t="s">
        <v>530</v>
      </c>
      <c r="D314" s="115" t="s">
        <v>474</v>
      </c>
      <c r="E314" s="115" t="s">
        <v>91</v>
      </c>
      <c r="F314" s="115" t="s">
        <v>108</v>
      </c>
      <c r="G314" s="115">
        <v>11</v>
      </c>
      <c r="H314" s="115" t="s">
        <v>472</v>
      </c>
      <c r="I314" s="115" t="s">
        <v>82</v>
      </c>
    </row>
    <row r="315" spans="1:9" ht="13">
      <c r="A315" s="114">
        <v>46169</v>
      </c>
      <c r="B315" s="115">
        <v>7002622713</v>
      </c>
      <c r="C315" s="115" t="s">
        <v>530</v>
      </c>
      <c r="D315" s="115" t="s">
        <v>474</v>
      </c>
      <c r="E315" s="115" t="s">
        <v>98</v>
      </c>
      <c r="F315" s="115" t="s">
        <v>108</v>
      </c>
      <c r="G315" s="115">
        <v>16</v>
      </c>
      <c r="H315" s="115" t="s">
        <v>472</v>
      </c>
      <c r="I315" s="115" t="s">
        <v>82</v>
      </c>
    </row>
    <row r="316" spans="1:9" ht="13">
      <c r="A316" s="114">
        <v>46169</v>
      </c>
      <c r="B316" s="115">
        <v>7002598055</v>
      </c>
      <c r="C316" s="115" t="s">
        <v>530</v>
      </c>
      <c r="D316" s="115" t="s">
        <v>474</v>
      </c>
      <c r="E316" s="115" t="s">
        <v>463</v>
      </c>
      <c r="F316" s="115" t="s">
        <v>108</v>
      </c>
      <c r="G316" s="115">
        <v>5</v>
      </c>
      <c r="H316" s="115" t="s">
        <v>472</v>
      </c>
      <c r="I316" s="115" t="s">
        <v>82</v>
      </c>
    </row>
    <row r="317" spans="1:9" ht="13">
      <c r="A317" s="114">
        <v>46169</v>
      </c>
      <c r="B317" s="115">
        <v>7002590100</v>
      </c>
      <c r="C317" s="115" t="s">
        <v>530</v>
      </c>
      <c r="D317" s="115" t="s">
        <v>474</v>
      </c>
      <c r="E317" s="115" t="s">
        <v>463</v>
      </c>
      <c r="F317" s="115" t="s">
        <v>108</v>
      </c>
      <c r="G317" s="115">
        <v>17</v>
      </c>
      <c r="H317" s="115" t="s">
        <v>472</v>
      </c>
      <c r="I317" s="115" t="s">
        <v>82</v>
      </c>
    </row>
    <row r="318" spans="1:9" ht="13">
      <c r="A318" s="114">
        <v>46169</v>
      </c>
      <c r="B318" s="115">
        <v>7002593102</v>
      </c>
      <c r="C318" s="115" t="s">
        <v>530</v>
      </c>
      <c r="D318" s="115" t="s">
        <v>474</v>
      </c>
      <c r="E318" s="115" t="s">
        <v>463</v>
      </c>
      <c r="F318" s="115" t="s">
        <v>108</v>
      </c>
      <c r="G318" s="115">
        <v>72</v>
      </c>
      <c r="H318" s="115" t="s">
        <v>472</v>
      </c>
      <c r="I318" s="115" t="s">
        <v>82</v>
      </c>
    </row>
    <row r="319" spans="1:9" ht="13">
      <c r="A319" s="114">
        <v>46169</v>
      </c>
      <c r="B319" s="115">
        <v>7002599094</v>
      </c>
      <c r="C319" s="115" t="s">
        <v>530</v>
      </c>
      <c r="D319" s="115" t="s">
        <v>474</v>
      </c>
      <c r="E319" s="115" t="s">
        <v>463</v>
      </c>
      <c r="F319" s="115" t="s">
        <v>108</v>
      </c>
      <c r="G319" s="115">
        <v>15</v>
      </c>
      <c r="H319" s="115" t="s">
        <v>472</v>
      </c>
      <c r="I319" s="115" t="s">
        <v>82</v>
      </c>
    </row>
    <row r="320" spans="1:9" ht="13">
      <c r="A320" s="114">
        <v>46169</v>
      </c>
      <c r="B320" s="115">
        <v>7002590128</v>
      </c>
      <c r="C320" s="115" t="s">
        <v>530</v>
      </c>
      <c r="D320" s="115" t="s">
        <v>474</v>
      </c>
      <c r="E320" s="115" t="s">
        <v>461</v>
      </c>
      <c r="F320" s="115" t="s">
        <v>108</v>
      </c>
      <c r="G320" s="115">
        <v>1</v>
      </c>
      <c r="H320" s="115" t="s">
        <v>472</v>
      </c>
      <c r="I320" s="115" t="s">
        <v>82</v>
      </c>
    </row>
    <row r="321" spans="1:9" ht="13">
      <c r="A321" s="114">
        <v>46169</v>
      </c>
      <c r="B321" s="115">
        <v>7002598149</v>
      </c>
      <c r="C321" s="115" t="s">
        <v>530</v>
      </c>
      <c r="D321" s="115" t="s">
        <v>474</v>
      </c>
      <c r="E321" s="115" t="s">
        <v>461</v>
      </c>
      <c r="F321" s="115" t="s">
        <v>108</v>
      </c>
      <c r="G321" s="115">
        <v>1</v>
      </c>
      <c r="H321" s="115" t="s">
        <v>472</v>
      </c>
      <c r="I321" s="115" t="s">
        <v>82</v>
      </c>
    </row>
    <row r="322" spans="1:9" ht="13">
      <c r="A322" s="114">
        <v>46169</v>
      </c>
      <c r="B322" s="115">
        <v>7002598165</v>
      </c>
      <c r="C322" s="115" t="s">
        <v>530</v>
      </c>
      <c r="D322" s="115" t="s">
        <v>474</v>
      </c>
      <c r="E322" s="115" t="s">
        <v>461</v>
      </c>
      <c r="F322" s="115" t="s">
        <v>108</v>
      </c>
      <c r="G322" s="115">
        <v>2</v>
      </c>
      <c r="H322" s="115" t="s">
        <v>472</v>
      </c>
      <c r="I322" s="115" t="s">
        <v>82</v>
      </c>
    </row>
    <row r="323" spans="1:9" ht="13">
      <c r="A323" s="114">
        <v>46169</v>
      </c>
      <c r="B323" s="115">
        <v>7002591219</v>
      </c>
      <c r="C323" s="115" t="s">
        <v>530</v>
      </c>
      <c r="D323" s="115" t="s">
        <v>474</v>
      </c>
      <c r="E323" s="115" t="s">
        <v>461</v>
      </c>
      <c r="F323" s="115" t="s">
        <v>108</v>
      </c>
      <c r="G323" s="115">
        <v>2</v>
      </c>
      <c r="H323" s="115" t="s">
        <v>472</v>
      </c>
      <c r="I323" s="115" t="s">
        <v>82</v>
      </c>
    </row>
    <row r="324" spans="1:9" ht="13">
      <c r="A324" s="114">
        <v>46169</v>
      </c>
      <c r="B324" s="115">
        <v>7002592225</v>
      </c>
      <c r="C324" s="115" t="s">
        <v>530</v>
      </c>
      <c r="D324" s="115" t="s">
        <v>474</v>
      </c>
      <c r="E324" s="115" t="s">
        <v>461</v>
      </c>
      <c r="F324" s="115" t="s">
        <v>108</v>
      </c>
      <c r="G324" s="115">
        <v>20</v>
      </c>
      <c r="H324" s="115" t="s">
        <v>472</v>
      </c>
      <c r="I324" s="115" t="s">
        <v>82</v>
      </c>
    </row>
    <row r="325" spans="1:9" ht="13">
      <c r="A325" s="114">
        <v>46169</v>
      </c>
      <c r="B325" s="115">
        <v>7002598221</v>
      </c>
      <c r="C325" s="115" t="s">
        <v>530</v>
      </c>
      <c r="D325" s="115" t="s">
        <v>474</v>
      </c>
      <c r="E325" s="115" t="s">
        <v>461</v>
      </c>
      <c r="F325" s="115" t="s">
        <v>108</v>
      </c>
      <c r="G325" s="115">
        <v>4</v>
      </c>
      <c r="H325" s="115" t="s">
        <v>472</v>
      </c>
      <c r="I325" s="115" t="s">
        <v>82</v>
      </c>
    </row>
    <row r="326" spans="1:9" ht="13">
      <c r="A326" s="114">
        <v>46169</v>
      </c>
      <c r="B326" s="115">
        <v>7002599222</v>
      </c>
      <c r="C326" s="115" t="s">
        <v>530</v>
      </c>
      <c r="D326" s="115" t="s">
        <v>474</v>
      </c>
      <c r="E326" s="115" t="s">
        <v>461</v>
      </c>
      <c r="F326" s="115" t="s">
        <v>108</v>
      </c>
      <c r="G326" s="115">
        <v>7</v>
      </c>
      <c r="H326" s="115" t="s">
        <v>472</v>
      </c>
      <c r="I326" s="115" t="s">
        <v>82</v>
      </c>
    </row>
    <row r="327" spans="1:9" ht="13">
      <c r="A327" s="114">
        <v>46169</v>
      </c>
      <c r="B327" s="115">
        <v>7002590243</v>
      </c>
      <c r="C327" s="115" t="s">
        <v>530</v>
      </c>
      <c r="D327" s="115" t="s">
        <v>474</v>
      </c>
      <c r="E327" s="115" t="s">
        <v>461</v>
      </c>
      <c r="F327" s="115" t="s">
        <v>108</v>
      </c>
      <c r="G327" s="115">
        <v>6</v>
      </c>
      <c r="H327" s="115" t="s">
        <v>472</v>
      </c>
      <c r="I327" s="115" t="s">
        <v>82</v>
      </c>
    </row>
    <row r="328" spans="1:9" ht="13">
      <c r="A328" s="114">
        <v>46169</v>
      </c>
      <c r="B328" s="115">
        <v>7002593238</v>
      </c>
      <c r="C328" s="115" t="s">
        <v>530</v>
      </c>
      <c r="D328" s="115" t="s">
        <v>474</v>
      </c>
      <c r="E328" s="115" t="s">
        <v>461</v>
      </c>
      <c r="F328" s="115" t="s">
        <v>108</v>
      </c>
      <c r="G328" s="115">
        <v>1</v>
      </c>
      <c r="H328" s="115" t="s">
        <v>472</v>
      </c>
      <c r="I328" s="115" t="s">
        <v>82</v>
      </c>
    </row>
    <row r="329" spans="1:9" ht="13">
      <c r="A329" s="114">
        <v>46169</v>
      </c>
      <c r="B329" s="115">
        <v>7002595234</v>
      </c>
      <c r="C329" s="115" t="s">
        <v>530</v>
      </c>
      <c r="D329" s="115" t="s">
        <v>474</v>
      </c>
      <c r="E329" s="115" t="s">
        <v>461</v>
      </c>
      <c r="F329" s="115" t="s">
        <v>108</v>
      </c>
      <c r="G329" s="115">
        <v>3</v>
      </c>
      <c r="H329" s="115" t="s">
        <v>472</v>
      </c>
      <c r="I329" s="115" t="s">
        <v>82</v>
      </c>
    </row>
    <row r="330" spans="1:9" ht="13">
      <c r="A330" s="114">
        <v>46169</v>
      </c>
      <c r="B330" s="115">
        <v>7002598232</v>
      </c>
      <c r="C330" s="115" t="s">
        <v>530</v>
      </c>
      <c r="D330" s="115" t="s">
        <v>474</v>
      </c>
      <c r="E330" s="115" t="s">
        <v>461</v>
      </c>
      <c r="F330" s="115" t="s">
        <v>108</v>
      </c>
      <c r="G330" s="115">
        <v>2</v>
      </c>
      <c r="H330" s="115" t="s">
        <v>472</v>
      </c>
      <c r="I330" s="115" t="s">
        <v>82</v>
      </c>
    </row>
    <row r="331" spans="1:9" ht="13">
      <c r="A331" s="114">
        <v>46169</v>
      </c>
      <c r="B331" s="115">
        <v>7002597249</v>
      </c>
      <c r="C331" s="115" t="s">
        <v>530</v>
      </c>
      <c r="D331" s="115" t="s">
        <v>474</v>
      </c>
      <c r="E331" s="115" t="s">
        <v>461</v>
      </c>
      <c r="F331" s="115" t="s">
        <v>108</v>
      </c>
      <c r="G331" s="115">
        <v>2</v>
      </c>
      <c r="H331" s="115" t="s">
        <v>472</v>
      </c>
      <c r="I331" s="115" t="s">
        <v>82</v>
      </c>
    </row>
    <row r="332" spans="1:9" ht="13">
      <c r="A332" s="114">
        <v>46169</v>
      </c>
      <c r="B332" s="115">
        <v>7002595275</v>
      </c>
      <c r="C332" s="115" t="s">
        <v>530</v>
      </c>
      <c r="D332" s="115" t="s">
        <v>474</v>
      </c>
      <c r="E332" s="115" t="s">
        <v>461</v>
      </c>
      <c r="F332" s="115" t="s">
        <v>108</v>
      </c>
      <c r="G332" s="115">
        <v>2</v>
      </c>
      <c r="H332" s="115" t="s">
        <v>472</v>
      </c>
      <c r="I332" s="115" t="s">
        <v>82</v>
      </c>
    </row>
    <row r="333" spans="1:9" ht="13">
      <c r="A333" s="114">
        <v>46169</v>
      </c>
      <c r="B333" s="115">
        <v>7002598266</v>
      </c>
      <c r="C333" s="115" t="s">
        <v>530</v>
      </c>
      <c r="D333" s="115" t="s">
        <v>474</v>
      </c>
      <c r="E333" s="115" t="s">
        <v>461</v>
      </c>
      <c r="F333" s="115" t="s">
        <v>108</v>
      </c>
      <c r="G333" s="115">
        <v>3</v>
      </c>
      <c r="H333" s="115" t="s">
        <v>472</v>
      </c>
      <c r="I333" s="115" t="s">
        <v>82</v>
      </c>
    </row>
    <row r="334" spans="1:9" ht="13">
      <c r="A334" s="114">
        <v>46169</v>
      </c>
      <c r="B334" s="115">
        <v>7002598278</v>
      </c>
      <c r="C334" s="115" t="s">
        <v>530</v>
      </c>
      <c r="D334" s="115" t="s">
        <v>474</v>
      </c>
      <c r="E334" s="115" t="s">
        <v>461</v>
      </c>
      <c r="F334" s="115" t="s">
        <v>108</v>
      </c>
      <c r="G334" s="115">
        <v>1</v>
      </c>
      <c r="H334" s="115" t="s">
        <v>472</v>
      </c>
      <c r="I334" s="115" t="s">
        <v>82</v>
      </c>
    </row>
    <row r="335" spans="1:9" ht="13">
      <c r="A335" s="114">
        <v>46169</v>
      </c>
      <c r="B335" s="115">
        <v>7002596295</v>
      </c>
      <c r="C335" s="115" t="s">
        <v>530</v>
      </c>
      <c r="D335" s="115" t="s">
        <v>474</v>
      </c>
      <c r="E335" s="115" t="s">
        <v>461</v>
      </c>
      <c r="F335" s="115" t="s">
        <v>108</v>
      </c>
      <c r="G335" s="115">
        <v>2</v>
      </c>
      <c r="H335" s="115" t="s">
        <v>472</v>
      </c>
      <c r="I335" s="115" t="s">
        <v>82</v>
      </c>
    </row>
    <row r="336" spans="1:9" ht="13">
      <c r="A336" s="114">
        <v>46169</v>
      </c>
      <c r="B336" s="115">
        <v>7002599370</v>
      </c>
      <c r="C336" s="115" t="s">
        <v>530</v>
      </c>
      <c r="D336" s="115" t="s">
        <v>474</v>
      </c>
      <c r="E336" s="115" t="s">
        <v>454</v>
      </c>
      <c r="F336" s="115" t="s">
        <v>108</v>
      </c>
      <c r="G336" s="115">
        <v>1</v>
      </c>
      <c r="H336" s="115" t="s">
        <v>472</v>
      </c>
      <c r="I336" s="115" t="s">
        <v>82</v>
      </c>
    </row>
    <row r="337" spans="1:9" ht="13">
      <c r="A337" s="114">
        <v>46169</v>
      </c>
      <c r="B337" s="115">
        <v>7002598390</v>
      </c>
      <c r="C337" s="115" t="s">
        <v>530</v>
      </c>
      <c r="D337" s="115" t="s">
        <v>474</v>
      </c>
      <c r="E337" s="115" t="s">
        <v>461</v>
      </c>
      <c r="F337" s="115" t="s">
        <v>108</v>
      </c>
      <c r="G337" s="115">
        <v>2</v>
      </c>
      <c r="H337" s="115" t="s">
        <v>472</v>
      </c>
      <c r="I337" s="115" t="s">
        <v>82</v>
      </c>
    </row>
    <row r="338" spans="1:9" ht="13">
      <c r="A338" s="114">
        <v>46169</v>
      </c>
      <c r="B338" s="115">
        <v>7002622653</v>
      </c>
      <c r="C338" s="115" t="s">
        <v>530</v>
      </c>
      <c r="D338" s="115" t="s">
        <v>474</v>
      </c>
      <c r="E338" s="115" t="s">
        <v>91</v>
      </c>
      <c r="F338" s="115" t="s">
        <v>108</v>
      </c>
      <c r="G338" s="115">
        <v>6</v>
      </c>
      <c r="H338" s="115" t="s">
        <v>472</v>
      </c>
      <c r="I338" s="115" t="s">
        <v>82</v>
      </c>
    </row>
    <row r="339" spans="1:9" ht="13">
      <c r="A339" s="114">
        <v>46169</v>
      </c>
      <c r="B339" s="115">
        <v>7002623652</v>
      </c>
      <c r="C339" s="115" t="s">
        <v>530</v>
      </c>
      <c r="D339" s="115" t="s">
        <v>474</v>
      </c>
      <c r="E339" s="115" t="s">
        <v>533</v>
      </c>
      <c r="F339" s="115" t="s">
        <v>108</v>
      </c>
      <c r="G339" s="115">
        <v>1</v>
      </c>
      <c r="H339" s="115" t="s">
        <v>472</v>
      </c>
      <c r="I339" s="115" t="s">
        <v>82</v>
      </c>
    </row>
    <row r="340" spans="1:9" ht="13">
      <c r="A340" s="114">
        <v>46169</v>
      </c>
      <c r="B340" s="115">
        <v>7002629644</v>
      </c>
      <c r="C340" s="115" t="s">
        <v>530</v>
      </c>
      <c r="D340" s="115" t="s">
        <v>474</v>
      </c>
      <c r="E340" s="115" t="s">
        <v>98</v>
      </c>
      <c r="F340" s="115" t="s">
        <v>108</v>
      </c>
      <c r="G340" s="115">
        <v>3</v>
      </c>
      <c r="H340" s="115" t="s">
        <v>472</v>
      </c>
      <c r="I340" s="115" t="s">
        <v>82</v>
      </c>
    </row>
    <row r="341" spans="1:9" ht="13">
      <c r="A341" s="114">
        <v>46169</v>
      </c>
      <c r="B341" s="115">
        <v>7002590609</v>
      </c>
      <c r="C341" s="115" t="s">
        <v>530</v>
      </c>
      <c r="D341" s="115" t="s">
        <v>474</v>
      </c>
      <c r="E341" s="115" t="s">
        <v>463</v>
      </c>
      <c r="F341" s="115" t="s">
        <v>108</v>
      </c>
      <c r="G341" s="115">
        <v>6</v>
      </c>
      <c r="H341" s="115" t="s">
        <v>472</v>
      </c>
      <c r="I341" s="115" t="s">
        <v>82</v>
      </c>
    </row>
    <row r="342" spans="1:9" ht="13">
      <c r="A342" s="114">
        <v>46169</v>
      </c>
      <c r="B342" s="115">
        <v>7002626625</v>
      </c>
      <c r="C342" s="115" t="s">
        <v>530</v>
      </c>
      <c r="D342" s="115" t="s">
        <v>479</v>
      </c>
      <c r="E342" s="115" t="s">
        <v>470</v>
      </c>
      <c r="F342" s="115" t="s">
        <v>108</v>
      </c>
      <c r="G342" s="115">
        <v>1</v>
      </c>
      <c r="H342" s="115" t="s">
        <v>472</v>
      </c>
      <c r="I342" s="115" t="s">
        <v>82</v>
      </c>
    </row>
    <row r="343" spans="1:9" ht="13">
      <c r="A343" s="114">
        <v>46169</v>
      </c>
      <c r="B343" s="115">
        <v>7002621612</v>
      </c>
      <c r="C343" s="115" t="s">
        <v>530</v>
      </c>
      <c r="D343" s="115" t="s">
        <v>474</v>
      </c>
      <c r="E343" s="115" t="s">
        <v>98</v>
      </c>
      <c r="F343" s="115" t="s">
        <v>108</v>
      </c>
      <c r="G343" s="115">
        <v>3</v>
      </c>
      <c r="H343" s="115" t="s">
        <v>472</v>
      </c>
      <c r="I343" s="115" t="s">
        <v>82</v>
      </c>
    </row>
    <row r="344" spans="1:9" ht="13">
      <c r="A344" s="114">
        <v>46169</v>
      </c>
      <c r="B344" s="115">
        <v>7002623606</v>
      </c>
      <c r="C344" s="115" t="s">
        <v>530</v>
      </c>
      <c r="D344" s="115" t="s">
        <v>474</v>
      </c>
      <c r="E344" s="115" t="s">
        <v>91</v>
      </c>
      <c r="F344" s="115" t="s">
        <v>108</v>
      </c>
      <c r="G344" s="115">
        <v>6</v>
      </c>
      <c r="H344" s="115" t="s">
        <v>472</v>
      </c>
      <c r="I344" s="115" t="s">
        <v>82</v>
      </c>
    </row>
    <row r="345" spans="1:9" ht="13">
      <c r="A345" s="114">
        <v>46169</v>
      </c>
      <c r="B345" s="115">
        <v>7002593989</v>
      </c>
      <c r="C345" s="115" t="s">
        <v>530</v>
      </c>
      <c r="D345" s="115" t="s">
        <v>474</v>
      </c>
      <c r="E345" s="115" t="s">
        <v>485</v>
      </c>
      <c r="F345" s="115" t="s">
        <v>108</v>
      </c>
      <c r="G345" s="115">
        <v>50</v>
      </c>
      <c r="H345" s="115" t="s">
        <v>472</v>
      </c>
      <c r="I345" s="115" t="s">
        <v>82</v>
      </c>
    </row>
    <row r="346" spans="1:9" ht="13">
      <c r="A346" s="114">
        <v>46169</v>
      </c>
      <c r="B346" s="115">
        <v>7002604023</v>
      </c>
      <c r="C346" s="115" t="s">
        <v>530</v>
      </c>
      <c r="D346" s="115" t="s">
        <v>474</v>
      </c>
      <c r="E346" s="115" t="s">
        <v>463</v>
      </c>
      <c r="F346" s="115" t="s">
        <v>108</v>
      </c>
      <c r="G346" s="115">
        <v>2</v>
      </c>
      <c r="H346" s="115" t="s">
        <v>472</v>
      </c>
      <c r="I346" s="115" t="s">
        <v>82</v>
      </c>
    </row>
    <row r="347" spans="1:9" ht="13">
      <c r="A347" s="114">
        <v>46169</v>
      </c>
      <c r="B347" s="115">
        <v>7002606131</v>
      </c>
      <c r="C347" s="115" t="s">
        <v>530</v>
      </c>
      <c r="D347" s="115" t="s">
        <v>474</v>
      </c>
      <c r="E347" s="115" t="s">
        <v>485</v>
      </c>
      <c r="F347" s="115" t="s">
        <v>108</v>
      </c>
      <c r="G347" s="115">
        <v>5</v>
      </c>
      <c r="H347" s="115" t="s">
        <v>472</v>
      </c>
      <c r="I347" s="115" t="s">
        <v>82</v>
      </c>
    </row>
    <row r="348" spans="1:9" ht="13">
      <c r="A348" s="114">
        <v>46169</v>
      </c>
      <c r="B348" s="115">
        <v>7002600260</v>
      </c>
      <c r="C348" s="115" t="s">
        <v>530</v>
      </c>
      <c r="D348" s="115" t="s">
        <v>474</v>
      </c>
      <c r="E348" s="115" t="s">
        <v>91</v>
      </c>
      <c r="F348" s="115" t="s">
        <v>108</v>
      </c>
      <c r="G348" s="115">
        <v>5</v>
      </c>
      <c r="H348" s="115" t="s">
        <v>472</v>
      </c>
      <c r="I348" s="115" t="s">
        <v>82</v>
      </c>
    </row>
    <row r="349" spans="1:9" ht="13">
      <c r="A349" s="114">
        <v>46169</v>
      </c>
      <c r="B349" s="115">
        <v>7002606411</v>
      </c>
      <c r="C349" s="115" t="s">
        <v>530</v>
      </c>
      <c r="D349" s="115" t="s">
        <v>478</v>
      </c>
      <c r="E349" s="115" t="s">
        <v>91</v>
      </c>
      <c r="F349" s="115" t="s">
        <v>108</v>
      </c>
      <c r="G349" s="115">
        <v>1</v>
      </c>
      <c r="H349" s="115" t="s">
        <v>472</v>
      </c>
      <c r="I349" s="115" t="s">
        <v>82</v>
      </c>
    </row>
    <row r="350" spans="1:9" ht="13">
      <c r="A350" s="114">
        <v>46169</v>
      </c>
      <c r="B350" s="115">
        <v>7002604485</v>
      </c>
      <c r="C350" s="115" t="s">
        <v>530</v>
      </c>
      <c r="D350" s="115" t="s">
        <v>474</v>
      </c>
      <c r="E350" s="115" t="s">
        <v>485</v>
      </c>
      <c r="F350" s="115" t="s">
        <v>108</v>
      </c>
      <c r="G350" s="115">
        <v>3</v>
      </c>
      <c r="H350" s="115" t="s">
        <v>472</v>
      </c>
      <c r="I350" s="115" t="s">
        <v>82</v>
      </c>
    </row>
    <row r="351" spans="1:9" ht="13">
      <c r="A351" s="114">
        <v>46169</v>
      </c>
      <c r="B351" s="115">
        <v>7002605536</v>
      </c>
      <c r="C351" s="115" t="s">
        <v>530</v>
      </c>
      <c r="D351" s="115" t="s">
        <v>474</v>
      </c>
      <c r="E351" s="115" t="s">
        <v>461</v>
      </c>
      <c r="F351" s="115" t="s">
        <v>108</v>
      </c>
      <c r="G351" s="115">
        <v>4</v>
      </c>
      <c r="H351" s="115" t="s">
        <v>472</v>
      </c>
      <c r="I351" s="115" t="s">
        <v>82</v>
      </c>
    </row>
    <row r="352" spans="1:9" ht="13">
      <c r="A352" s="114">
        <v>46169</v>
      </c>
      <c r="B352" s="115">
        <v>7002605543</v>
      </c>
      <c r="C352" s="115" t="s">
        <v>530</v>
      </c>
      <c r="D352" s="115" t="s">
        <v>474</v>
      </c>
      <c r="E352" s="115" t="s">
        <v>461</v>
      </c>
      <c r="F352" s="115" t="s">
        <v>108</v>
      </c>
      <c r="G352" s="115">
        <v>4</v>
      </c>
      <c r="H352" s="115" t="s">
        <v>472</v>
      </c>
      <c r="I352" s="115" t="s">
        <v>82</v>
      </c>
    </row>
    <row r="353" spans="1:9" ht="13">
      <c r="A353" s="114">
        <v>46169</v>
      </c>
      <c r="B353" s="115">
        <v>7002601551</v>
      </c>
      <c r="C353" s="115" t="s">
        <v>530</v>
      </c>
      <c r="D353" s="115" t="s">
        <v>474</v>
      </c>
      <c r="E353" s="115" t="s">
        <v>461</v>
      </c>
      <c r="F353" s="115" t="s">
        <v>108</v>
      </c>
      <c r="G353" s="115">
        <v>4</v>
      </c>
      <c r="H353" s="115" t="s">
        <v>472</v>
      </c>
      <c r="I353" s="115" t="s">
        <v>82</v>
      </c>
    </row>
    <row r="354" spans="1:9" ht="13">
      <c r="A354" s="114">
        <v>46169</v>
      </c>
      <c r="B354" s="115">
        <v>7002607628</v>
      </c>
      <c r="C354" s="115" t="s">
        <v>530</v>
      </c>
      <c r="D354" s="115" t="s">
        <v>478</v>
      </c>
      <c r="E354" s="115" t="s">
        <v>91</v>
      </c>
      <c r="F354" s="115" t="s">
        <v>108</v>
      </c>
      <c r="G354" s="115">
        <v>12</v>
      </c>
      <c r="H354" s="115" t="s">
        <v>472</v>
      </c>
      <c r="I354" s="115" t="s">
        <v>82</v>
      </c>
    </row>
    <row r="355" spans="1:9" ht="13">
      <c r="A355" s="114">
        <v>46169</v>
      </c>
      <c r="B355" s="115">
        <v>7002601634</v>
      </c>
      <c r="C355" s="115" t="s">
        <v>530</v>
      </c>
      <c r="D355" s="115" t="s">
        <v>474</v>
      </c>
      <c r="E355" s="115" t="s">
        <v>463</v>
      </c>
      <c r="F355" s="115" t="s">
        <v>108</v>
      </c>
      <c r="G355" s="115">
        <v>16</v>
      </c>
      <c r="H355" s="115" t="s">
        <v>472</v>
      </c>
      <c r="I355" s="115" t="s">
        <v>82</v>
      </c>
    </row>
    <row r="356" spans="1:9" ht="13">
      <c r="A356" s="114">
        <v>46169</v>
      </c>
      <c r="B356" s="115">
        <v>7002607637</v>
      </c>
      <c r="C356" s="115" t="s">
        <v>530</v>
      </c>
      <c r="D356" s="115" t="s">
        <v>474</v>
      </c>
      <c r="E356" s="115" t="s">
        <v>91</v>
      </c>
      <c r="F356" s="115" t="s">
        <v>108</v>
      </c>
      <c r="G356" s="115">
        <v>159</v>
      </c>
      <c r="H356" s="115" t="s">
        <v>472</v>
      </c>
      <c r="I356" s="115" t="s">
        <v>82</v>
      </c>
    </row>
    <row r="357" spans="1:9" ht="13">
      <c r="A357" s="114">
        <v>46169</v>
      </c>
      <c r="B357" s="115">
        <v>7002602679</v>
      </c>
      <c r="C357" s="115" t="s">
        <v>530</v>
      </c>
      <c r="D357" s="115" t="s">
        <v>478</v>
      </c>
      <c r="E357" s="115" t="s">
        <v>470</v>
      </c>
      <c r="F357" s="115" t="s">
        <v>108</v>
      </c>
      <c r="G357" s="115">
        <v>11</v>
      </c>
      <c r="H357" s="115" t="s">
        <v>472</v>
      </c>
      <c r="I357" s="115" t="s">
        <v>82</v>
      </c>
    </row>
    <row r="358" spans="1:9" ht="13">
      <c r="A358" s="114">
        <v>46169</v>
      </c>
      <c r="B358" s="115">
        <v>7002605690</v>
      </c>
      <c r="C358" s="115" t="s">
        <v>530</v>
      </c>
      <c r="D358" s="115" t="s">
        <v>474</v>
      </c>
      <c r="E358" s="115" t="s">
        <v>91</v>
      </c>
      <c r="F358" s="115" t="s">
        <v>108</v>
      </c>
      <c r="G358" s="115">
        <v>4</v>
      </c>
      <c r="H358" s="115" t="s">
        <v>472</v>
      </c>
      <c r="I358" s="115" t="s">
        <v>82</v>
      </c>
    </row>
    <row r="359" spans="1:9" ht="13">
      <c r="A359" s="114">
        <v>46169</v>
      </c>
      <c r="B359" s="115">
        <v>7002605688</v>
      </c>
      <c r="C359" s="115" t="s">
        <v>530</v>
      </c>
      <c r="D359" s="115" t="s">
        <v>474</v>
      </c>
      <c r="E359" s="115" t="s">
        <v>463</v>
      </c>
      <c r="F359" s="115" t="s">
        <v>108</v>
      </c>
      <c r="G359" s="115">
        <v>8</v>
      </c>
      <c r="H359" s="115" t="s">
        <v>472</v>
      </c>
      <c r="I359" s="115" t="s">
        <v>82</v>
      </c>
    </row>
    <row r="360" spans="1:9" ht="13">
      <c r="A360" s="114">
        <v>46169</v>
      </c>
      <c r="B360" s="115">
        <v>7002602698</v>
      </c>
      <c r="C360" s="115" t="s">
        <v>530</v>
      </c>
      <c r="D360" s="115" t="s">
        <v>474</v>
      </c>
      <c r="E360" s="115" t="s">
        <v>454</v>
      </c>
      <c r="F360" s="115" t="s">
        <v>108</v>
      </c>
      <c r="G360" s="115">
        <v>19</v>
      </c>
      <c r="H360" s="115" t="s">
        <v>472</v>
      </c>
      <c r="I360" s="115" t="s">
        <v>82</v>
      </c>
    </row>
    <row r="361" spans="1:9" ht="13">
      <c r="A361" s="114">
        <v>46169</v>
      </c>
      <c r="B361" s="115">
        <v>7002628469</v>
      </c>
      <c r="C361" s="115" t="s">
        <v>530</v>
      </c>
      <c r="D361" s="115" t="s">
        <v>474</v>
      </c>
      <c r="E361" s="115" t="s">
        <v>91</v>
      </c>
      <c r="F361" s="115" t="s">
        <v>108</v>
      </c>
      <c r="G361" s="115">
        <v>2</v>
      </c>
      <c r="H361" s="115" t="s">
        <v>472</v>
      </c>
      <c r="I361" s="115" t="s">
        <v>82</v>
      </c>
    </row>
    <row r="362" spans="1:9" ht="13">
      <c r="A362" s="114">
        <v>46169</v>
      </c>
      <c r="B362" s="115">
        <v>7002600709</v>
      </c>
      <c r="C362" s="115" t="s">
        <v>530</v>
      </c>
      <c r="D362" s="115" t="s">
        <v>474</v>
      </c>
      <c r="E362" s="115" t="s">
        <v>454</v>
      </c>
      <c r="F362" s="115" t="s">
        <v>108</v>
      </c>
      <c r="G362" s="115">
        <v>1</v>
      </c>
      <c r="H362" s="115" t="s">
        <v>472</v>
      </c>
      <c r="I362" s="115" t="s">
        <v>82</v>
      </c>
    </row>
    <row r="363" spans="1:9" ht="13">
      <c r="A363" s="114">
        <v>46169</v>
      </c>
      <c r="B363" s="115">
        <v>7002602707</v>
      </c>
      <c r="C363" s="115" t="s">
        <v>530</v>
      </c>
      <c r="D363" s="115" t="s">
        <v>474</v>
      </c>
      <c r="E363" s="115" t="s">
        <v>454</v>
      </c>
      <c r="F363" s="115" t="s">
        <v>108</v>
      </c>
      <c r="G363" s="115">
        <v>1</v>
      </c>
      <c r="H363" s="115" t="s">
        <v>472</v>
      </c>
      <c r="I363" s="115" t="s">
        <v>82</v>
      </c>
    </row>
    <row r="364" spans="1:9" ht="13">
      <c r="A364" s="114">
        <v>46169</v>
      </c>
      <c r="B364" s="115">
        <v>7002604705</v>
      </c>
      <c r="C364" s="115" t="s">
        <v>530</v>
      </c>
      <c r="D364" s="115" t="s">
        <v>474</v>
      </c>
      <c r="E364" s="115" t="s">
        <v>454</v>
      </c>
      <c r="F364" s="115" t="s">
        <v>108</v>
      </c>
      <c r="G364" s="115">
        <v>3</v>
      </c>
      <c r="H364" s="115" t="s">
        <v>472</v>
      </c>
      <c r="I364" s="115" t="s">
        <v>82</v>
      </c>
    </row>
    <row r="365" spans="1:9" ht="13">
      <c r="A365" s="114">
        <v>46169</v>
      </c>
      <c r="B365" s="115">
        <v>7002609716</v>
      </c>
      <c r="C365" s="115" t="s">
        <v>530</v>
      </c>
      <c r="D365" s="115" t="s">
        <v>474</v>
      </c>
      <c r="E365" s="115" t="s">
        <v>454</v>
      </c>
      <c r="F365" s="115" t="s">
        <v>108</v>
      </c>
      <c r="G365" s="115">
        <v>1</v>
      </c>
      <c r="H365" s="115" t="s">
        <v>472</v>
      </c>
      <c r="I365" s="115" t="s">
        <v>82</v>
      </c>
    </row>
    <row r="366" spans="1:9" ht="13">
      <c r="A366" s="114">
        <v>46169</v>
      </c>
      <c r="B366" s="115">
        <v>7002603723</v>
      </c>
      <c r="C366" s="115" t="s">
        <v>530</v>
      </c>
      <c r="D366" s="115" t="s">
        <v>474</v>
      </c>
      <c r="E366" s="115" t="s">
        <v>463</v>
      </c>
      <c r="F366" s="115" t="s">
        <v>108</v>
      </c>
      <c r="G366" s="115">
        <v>2</v>
      </c>
      <c r="H366" s="115" t="s">
        <v>472</v>
      </c>
      <c r="I366" s="115" t="s">
        <v>82</v>
      </c>
    </row>
    <row r="367" spans="1:9" ht="13">
      <c r="A367" s="114">
        <v>46169</v>
      </c>
      <c r="B367" s="115">
        <v>7002606718</v>
      </c>
      <c r="C367" s="115" t="s">
        <v>530</v>
      </c>
      <c r="D367" s="115" t="s">
        <v>474</v>
      </c>
      <c r="E367" s="115" t="s">
        <v>454</v>
      </c>
      <c r="F367" s="115" t="s">
        <v>108</v>
      </c>
      <c r="G367" s="115">
        <v>1</v>
      </c>
      <c r="H367" s="115" t="s">
        <v>472</v>
      </c>
      <c r="I367" s="115" t="s">
        <v>82</v>
      </c>
    </row>
    <row r="368" spans="1:9" ht="13">
      <c r="A368" s="114">
        <v>46169</v>
      </c>
      <c r="B368" s="115">
        <v>7002606741</v>
      </c>
      <c r="C368" s="115" t="s">
        <v>530</v>
      </c>
      <c r="D368" s="115" t="s">
        <v>474</v>
      </c>
      <c r="E368" s="115" t="s">
        <v>463</v>
      </c>
      <c r="F368" s="115" t="s">
        <v>108</v>
      </c>
      <c r="G368" s="115">
        <v>5</v>
      </c>
      <c r="H368" s="115" t="s">
        <v>472</v>
      </c>
      <c r="I368" s="115" t="s">
        <v>82</v>
      </c>
    </row>
    <row r="369" spans="1:9" ht="13">
      <c r="A369" s="114">
        <v>46169</v>
      </c>
      <c r="B369" s="115">
        <v>7002626467</v>
      </c>
      <c r="C369" s="115" t="s">
        <v>530</v>
      </c>
      <c r="D369" s="115" t="s">
        <v>474</v>
      </c>
      <c r="E369" s="115" t="s">
        <v>91</v>
      </c>
      <c r="F369" s="115" t="s">
        <v>108</v>
      </c>
      <c r="G369" s="115">
        <v>3</v>
      </c>
      <c r="H369" s="115" t="s">
        <v>472</v>
      </c>
      <c r="I369" s="115" t="s">
        <v>82</v>
      </c>
    </row>
    <row r="370" spans="1:9" ht="13">
      <c r="A370" s="114">
        <v>46169</v>
      </c>
      <c r="B370" s="115">
        <v>7002607757</v>
      </c>
      <c r="C370" s="115" t="s">
        <v>530</v>
      </c>
      <c r="D370" s="115" t="s">
        <v>474</v>
      </c>
      <c r="E370" s="115" t="s">
        <v>98</v>
      </c>
      <c r="F370" s="115" t="s">
        <v>108</v>
      </c>
      <c r="G370" s="115">
        <v>11</v>
      </c>
      <c r="H370" s="115" t="s">
        <v>472</v>
      </c>
      <c r="I370" s="115" t="s">
        <v>82</v>
      </c>
    </row>
    <row r="371" spans="1:9" ht="13">
      <c r="A371" s="114">
        <v>46169</v>
      </c>
      <c r="B371" s="115">
        <v>7002600766</v>
      </c>
      <c r="C371" s="115" t="s">
        <v>530</v>
      </c>
      <c r="D371" s="115" t="s">
        <v>474</v>
      </c>
      <c r="E371" s="115" t="s">
        <v>463</v>
      </c>
      <c r="F371" s="115" t="s">
        <v>108</v>
      </c>
      <c r="G371" s="115">
        <v>25</v>
      </c>
      <c r="H371" s="115" t="s">
        <v>472</v>
      </c>
      <c r="I371" s="115" t="s">
        <v>82</v>
      </c>
    </row>
    <row r="372" spans="1:9" ht="13">
      <c r="A372" s="114">
        <v>46169</v>
      </c>
      <c r="B372" s="115">
        <v>7002606760</v>
      </c>
      <c r="C372" s="115" t="s">
        <v>530</v>
      </c>
      <c r="D372" s="115" t="s">
        <v>474</v>
      </c>
      <c r="E372" s="115" t="s">
        <v>454</v>
      </c>
      <c r="F372" s="115" t="s">
        <v>108</v>
      </c>
      <c r="G372" s="115">
        <v>1</v>
      </c>
      <c r="H372" s="115" t="s">
        <v>472</v>
      </c>
      <c r="I372" s="115" t="s">
        <v>82</v>
      </c>
    </row>
    <row r="373" spans="1:9" ht="13">
      <c r="A373" s="114">
        <v>46169</v>
      </c>
      <c r="B373" s="115">
        <v>7002620464</v>
      </c>
      <c r="C373" s="115" t="s">
        <v>530</v>
      </c>
      <c r="D373" s="115" t="s">
        <v>474</v>
      </c>
      <c r="E373" s="115" t="s">
        <v>98</v>
      </c>
      <c r="F373" s="115" t="s">
        <v>108</v>
      </c>
      <c r="G373" s="115">
        <v>6</v>
      </c>
      <c r="H373" s="115" t="s">
        <v>472</v>
      </c>
      <c r="I373" s="115" t="s">
        <v>82</v>
      </c>
    </row>
    <row r="374" spans="1:9" ht="13">
      <c r="A374" s="114">
        <v>46169</v>
      </c>
      <c r="B374" s="115">
        <v>7002612037</v>
      </c>
      <c r="C374" s="115" t="s">
        <v>530</v>
      </c>
      <c r="D374" s="115" t="s">
        <v>474</v>
      </c>
      <c r="E374" s="115" t="s">
        <v>463</v>
      </c>
      <c r="F374" s="115" t="s">
        <v>108</v>
      </c>
      <c r="G374" s="115">
        <v>2</v>
      </c>
      <c r="H374" s="115" t="s">
        <v>472</v>
      </c>
      <c r="I374" s="115" t="s">
        <v>82</v>
      </c>
    </row>
    <row r="375" spans="1:9" ht="13">
      <c r="A375" s="114">
        <v>46169</v>
      </c>
      <c r="B375" s="115">
        <v>7002611064</v>
      </c>
      <c r="C375" s="115" t="s">
        <v>530</v>
      </c>
      <c r="D375" s="115" t="s">
        <v>478</v>
      </c>
      <c r="E375" s="115" t="s">
        <v>463</v>
      </c>
      <c r="F375" s="115" t="s">
        <v>108</v>
      </c>
      <c r="G375" s="115">
        <v>17</v>
      </c>
      <c r="H375" s="115" t="s">
        <v>472</v>
      </c>
      <c r="I375" s="115" t="s">
        <v>82</v>
      </c>
    </row>
    <row r="376" spans="1:9" ht="13">
      <c r="A376" s="114">
        <v>46169</v>
      </c>
      <c r="B376" s="115">
        <v>7002616066</v>
      </c>
      <c r="C376" s="115" t="s">
        <v>530</v>
      </c>
      <c r="D376" s="115" t="s">
        <v>474</v>
      </c>
      <c r="E376" s="115" t="s">
        <v>463</v>
      </c>
      <c r="F376" s="115" t="s">
        <v>108</v>
      </c>
      <c r="G376" s="115">
        <v>17</v>
      </c>
      <c r="H376" s="115" t="s">
        <v>472</v>
      </c>
      <c r="I376" s="115" t="s">
        <v>82</v>
      </c>
    </row>
    <row r="377" spans="1:9" ht="13">
      <c r="A377" s="114">
        <v>46169</v>
      </c>
      <c r="B377" s="115">
        <v>7002613070</v>
      </c>
      <c r="C377" s="115" t="s">
        <v>530</v>
      </c>
      <c r="D377" s="115" t="s">
        <v>479</v>
      </c>
      <c r="E377" s="115" t="s">
        <v>470</v>
      </c>
      <c r="F377" s="115" t="s">
        <v>108</v>
      </c>
      <c r="G377" s="115">
        <v>27</v>
      </c>
      <c r="H377" s="115" t="s">
        <v>472</v>
      </c>
      <c r="I377" s="115" t="s">
        <v>82</v>
      </c>
    </row>
    <row r="378" spans="1:9" ht="13">
      <c r="A378" s="114">
        <v>46169</v>
      </c>
      <c r="B378" s="115">
        <v>7002611072</v>
      </c>
      <c r="C378" s="115" t="s">
        <v>530</v>
      </c>
      <c r="D378" s="115" t="s">
        <v>479</v>
      </c>
      <c r="E378" s="115" t="s">
        <v>470</v>
      </c>
      <c r="F378" s="115" t="s">
        <v>108</v>
      </c>
      <c r="G378" s="115">
        <v>27</v>
      </c>
      <c r="H378" s="115" t="s">
        <v>472</v>
      </c>
      <c r="I378" s="115" t="s">
        <v>82</v>
      </c>
    </row>
    <row r="379" spans="1:9" ht="13">
      <c r="A379" s="114">
        <v>46169</v>
      </c>
      <c r="B379" s="115">
        <v>7002615077</v>
      </c>
      <c r="C379" s="115" t="s">
        <v>530</v>
      </c>
      <c r="D379" s="115" t="s">
        <v>474</v>
      </c>
      <c r="E379" s="115" t="s">
        <v>454</v>
      </c>
      <c r="F379" s="115" t="s">
        <v>108</v>
      </c>
      <c r="G379" s="115">
        <v>2</v>
      </c>
      <c r="H379" s="115" t="s">
        <v>472</v>
      </c>
      <c r="I379" s="115" t="s">
        <v>82</v>
      </c>
    </row>
    <row r="380" spans="1:9" ht="13">
      <c r="A380" s="114">
        <v>46169</v>
      </c>
      <c r="B380" s="115">
        <v>7002617079</v>
      </c>
      <c r="C380" s="115" t="s">
        <v>530</v>
      </c>
      <c r="D380" s="115" t="s">
        <v>479</v>
      </c>
      <c r="E380" s="115" t="s">
        <v>470</v>
      </c>
      <c r="F380" s="115" t="s">
        <v>108</v>
      </c>
      <c r="G380" s="115">
        <v>27</v>
      </c>
      <c r="H380" s="115" t="s">
        <v>472</v>
      </c>
      <c r="I380" s="115" t="s">
        <v>82</v>
      </c>
    </row>
    <row r="381" spans="1:9" ht="13">
      <c r="A381" s="114">
        <v>46169</v>
      </c>
      <c r="B381" s="115">
        <v>7002617080</v>
      </c>
      <c r="C381" s="115" t="s">
        <v>530</v>
      </c>
      <c r="D381" s="115" t="s">
        <v>479</v>
      </c>
      <c r="E381" s="115" t="s">
        <v>470</v>
      </c>
      <c r="F381" s="115" t="s">
        <v>108</v>
      </c>
      <c r="G381" s="115">
        <v>27</v>
      </c>
      <c r="H381" s="115" t="s">
        <v>472</v>
      </c>
      <c r="I381" s="115" t="s">
        <v>82</v>
      </c>
    </row>
    <row r="382" spans="1:9" ht="13">
      <c r="A382" s="114">
        <v>46169</v>
      </c>
      <c r="B382" s="115">
        <v>7002616084</v>
      </c>
      <c r="C382" s="115" t="s">
        <v>530</v>
      </c>
      <c r="D382" s="115" t="s">
        <v>478</v>
      </c>
      <c r="E382" s="115" t="s">
        <v>91</v>
      </c>
      <c r="F382" s="115" t="s">
        <v>108</v>
      </c>
      <c r="G382" s="115">
        <v>13</v>
      </c>
      <c r="H382" s="115" t="s">
        <v>472</v>
      </c>
      <c r="I382" s="115" t="s">
        <v>82</v>
      </c>
    </row>
    <row r="383" spans="1:9" ht="13">
      <c r="A383" s="114">
        <v>46169</v>
      </c>
      <c r="B383" s="115">
        <v>7002612092</v>
      </c>
      <c r="C383" s="115" t="s">
        <v>530</v>
      </c>
      <c r="D383" s="115" t="s">
        <v>474</v>
      </c>
      <c r="E383" s="115" t="s">
        <v>463</v>
      </c>
      <c r="F383" s="115" t="s">
        <v>108</v>
      </c>
      <c r="G383" s="115">
        <v>3</v>
      </c>
      <c r="H383" s="115" t="s">
        <v>472</v>
      </c>
      <c r="I383" s="115" t="s">
        <v>82</v>
      </c>
    </row>
    <row r="384" spans="1:9" ht="13">
      <c r="A384" s="114">
        <v>46169</v>
      </c>
      <c r="B384" s="115">
        <v>7002618099</v>
      </c>
      <c r="C384" s="115" t="s">
        <v>530</v>
      </c>
      <c r="D384" s="115" t="s">
        <v>478</v>
      </c>
      <c r="E384" s="115" t="s">
        <v>91</v>
      </c>
      <c r="F384" s="115" t="s">
        <v>108</v>
      </c>
      <c r="G384" s="115">
        <v>14</v>
      </c>
      <c r="H384" s="115" t="s">
        <v>472</v>
      </c>
      <c r="I384" s="115" t="s">
        <v>82</v>
      </c>
    </row>
    <row r="385" spans="1:9" ht="13">
      <c r="A385" s="114">
        <v>46169</v>
      </c>
      <c r="B385" s="115">
        <v>7002619100</v>
      </c>
      <c r="C385" s="115" t="s">
        <v>530</v>
      </c>
      <c r="D385" s="115" t="s">
        <v>474</v>
      </c>
      <c r="E385" s="115" t="s">
        <v>454</v>
      </c>
      <c r="F385" s="115" t="s">
        <v>108</v>
      </c>
      <c r="G385" s="115">
        <v>1</v>
      </c>
      <c r="H385" s="115" t="s">
        <v>472</v>
      </c>
      <c r="I385" s="115" t="s">
        <v>82</v>
      </c>
    </row>
    <row r="386" spans="1:9" ht="13">
      <c r="A386" s="114">
        <v>46169</v>
      </c>
      <c r="B386" s="115">
        <v>7002617103</v>
      </c>
      <c r="C386" s="115" t="s">
        <v>530</v>
      </c>
      <c r="D386" s="115" t="s">
        <v>474</v>
      </c>
      <c r="E386" s="115" t="s">
        <v>463</v>
      </c>
      <c r="F386" s="115" t="s">
        <v>108</v>
      </c>
      <c r="G386" s="115">
        <v>2</v>
      </c>
      <c r="H386" s="115" t="s">
        <v>472</v>
      </c>
      <c r="I386" s="115" t="s">
        <v>82</v>
      </c>
    </row>
    <row r="387" spans="1:9" ht="13">
      <c r="A387" s="114">
        <v>46169</v>
      </c>
      <c r="B387" s="115">
        <v>7002610109</v>
      </c>
      <c r="C387" s="115" t="s">
        <v>530</v>
      </c>
      <c r="D387" s="115" t="s">
        <v>474</v>
      </c>
      <c r="E387" s="115" t="s">
        <v>454</v>
      </c>
      <c r="F387" s="115" t="s">
        <v>108</v>
      </c>
      <c r="G387" s="115">
        <v>2</v>
      </c>
      <c r="H387" s="115" t="s">
        <v>472</v>
      </c>
      <c r="I387" s="115" t="s">
        <v>82</v>
      </c>
    </row>
    <row r="388" spans="1:9" ht="13">
      <c r="A388" s="114">
        <v>46169</v>
      </c>
      <c r="B388" s="115">
        <v>7002619116</v>
      </c>
      <c r="C388" s="115" t="s">
        <v>530</v>
      </c>
      <c r="D388" s="115" t="s">
        <v>474</v>
      </c>
      <c r="E388" s="115" t="s">
        <v>463</v>
      </c>
      <c r="F388" s="115" t="s">
        <v>108</v>
      </c>
      <c r="G388" s="115">
        <v>2</v>
      </c>
      <c r="H388" s="115" t="s">
        <v>472</v>
      </c>
      <c r="I388" s="115" t="s">
        <v>82</v>
      </c>
    </row>
    <row r="389" spans="1:9" ht="13">
      <c r="A389" s="114">
        <v>46169</v>
      </c>
      <c r="B389" s="115">
        <v>7002616118</v>
      </c>
      <c r="C389" s="115" t="s">
        <v>530</v>
      </c>
      <c r="D389" s="115" t="s">
        <v>474</v>
      </c>
      <c r="E389" s="115" t="s">
        <v>454</v>
      </c>
      <c r="F389" s="115" t="s">
        <v>108</v>
      </c>
      <c r="G389" s="115">
        <v>7</v>
      </c>
      <c r="H389" s="115" t="s">
        <v>472</v>
      </c>
      <c r="I389" s="115" t="s">
        <v>82</v>
      </c>
    </row>
    <row r="390" spans="1:9" ht="13">
      <c r="A390" s="114">
        <v>46169</v>
      </c>
      <c r="B390" s="115">
        <v>7002610121</v>
      </c>
      <c r="C390" s="115" t="s">
        <v>530</v>
      </c>
      <c r="D390" s="115" t="s">
        <v>478</v>
      </c>
      <c r="E390" s="115" t="s">
        <v>463</v>
      </c>
      <c r="F390" s="115" t="s">
        <v>108</v>
      </c>
      <c r="G390" s="115">
        <v>17</v>
      </c>
      <c r="H390" s="115" t="s">
        <v>472</v>
      </c>
      <c r="I390" s="115" t="s">
        <v>82</v>
      </c>
    </row>
    <row r="391" spans="1:9" ht="13">
      <c r="A391" s="114">
        <v>46169</v>
      </c>
      <c r="B391" s="115">
        <v>7002612148</v>
      </c>
      <c r="C391" s="115" t="s">
        <v>530</v>
      </c>
      <c r="D391" s="115" t="s">
        <v>474</v>
      </c>
      <c r="E391" s="115" t="s">
        <v>463</v>
      </c>
      <c r="F391" s="115" t="s">
        <v>108</v>
      </c>
      <c r="G391" s="115">
        <v>2</v>
      </c>
      <c r="H391" s="115" t="s">
        <v>472</v>
      </c>
      <c r="I391" s="115" t="s">
        <v>82</v>
      </c>
    </row>
    <row r="392" spans="1:9" ht="13">
      <c r="A392" s="114">
        <v>46169</v>
      </c>
      <c r="B392" s="115">
        <v>7002618143</v>
      </c>
      <c r="C392" s="115" t="s">
        <v>530</v>
      </c>
      <c r="D392" s="115" t="s">
        <v>474</v>
      </c>
      <c r="E392" s="115" t="s">
        <v>463</v>
      </c>
      <c r="F392" s="115" t="s">
        <v>108</v>
      </c>
      <c r="G392" s="115">
        <v>4</v>
      </c>
      <c r="H392" s="115" t="s">
        <v>472</v>
      </c>
      <c r="I392" s="115" t="s">
        <v>82</v>
      </c>
    </row>
    <row r="393" spans="1:9" ht="13">
      <c r="A393" s="114">
        <v>46169</v>
      </c>
      <c r="B393" s="115">
        <v>7002610150</v>
      </c>
      <c r="C393" s="115" t="s">
        <v>530</v>
      </c>
      <c r="D393" s="115" t="s">
        <v>474</v>
      </c>
      <c r="E393" s="115" t="s">
        <v>528</v>
      </c>
      <c r="F393" s="115" t="s">
        <v>108</v>
      </c>
      <c r="G393" s="115">
        <v>6</v>
      </c>
      <c r="H393" s="115" t="s">
        <v>472</v>
      </c>
      <c r="I393" s="115" t="s">
        <v>82</v>
      </c>
    </row>
    <row r="394" spans="1:9" ht="13">
      <c r="A394" s="114">
        <v>46169</v>
      </c>
      <c r="B394" s="115">
        <v>7002614198</v>
      </c>
      <c r="C394" s="115" t="s">
        <v>530</v>
      </c>
      <c r="D394" s="115" t="s">
        <v>474</v>
      </c>
      <c r="E394" s="115" t="s">
        <v>98</v>
      </c>
      <c r="F394" s="115" t="s">
        <v>108</v>
      </c>
      <c r="G394" s="115">
        <v>30</v>
      </c>
      <c r="H394" s="115" t="s">
        <v>472</v>
      </c>
      <c r="I394" s="115" t="s">
        <v>82</v>
      </c>
    </row>
    <row r="395" spans="1:9" ht="13">
      <c r="A395" s="114">
        <v>46169</v>
      </c>
      <c r="B395" s="115">
        <v>7002623457</v>
      </c>
      <c r="C395" s="115" t="s">
        <v>530</v>
      </c>
      <c r="D395" s="115" t="s">
        <v>474</v>
      </c>
      <c r="E395" s="115" t="s">
        <v>91</v>
      </c>
      <c r="F395" s="115" t="s">
        <v>108</v>
      </c>
      <c r="G395" s="115">
        <v>1</v>
      </c>
      <c r="H395" s="115" t="s">
        <v>472</v>
      </c>
      <c r="I395" s="115" t="s">
        <v>82</v>
      </c>
    </row>
    <row r="396" spans="1:9" ht="13">
      <c r="A396" s="114">
        <v>46169</v>
      </c>
      <c r="B396" s="115">
        <v>7002623442</v>
      </c>
      <c r="C396" s="115" t="s">
        <v>530</v>
      </c>
      <c r="D396" s="115" t="s">
        <v>474</v>
      </c>
      <c r="E396" s="115" t="s">
        <v>454</v>
      </c>
      <c r="F396" s="115" t="s">
        <v>108</v>
      </c>
      <c r="G396" s="115">
        <v>1</v>
      </c>
      <c r="H396" s="115" t="s">
        <v>472</v>
      </c>
      <c r="I396" s="115" t="s">
        <v>82</v>
      </c>
    </row>
    <row r="397" spans="1:9" ht="13">
      <c r="A397" s="114">
        <v>46169</v>
      </c>
      <c r="B397" s="115">
        <v>7002617256</v>
      </c>
      <c r="C397" s="115" t="s">
        <v>530</v>
      </c>
      <c r="D397" s="115" t="s">
        <v>474</v>
      </c>
      <c r="E397" s="115" t="s">
        <v>91</v>
      </c>
      <c r="F397" s="115" t="s">
        <v>108</v>
      </c>
      <c r="G397" s="115">
        <v>31</v>
      </c>
      <c r="H397" s="115" t="s">
        <v>472</v>
      </c>
      <c r="I397" s="115" t="s">
        <v>82</v>
      </c>
    </row>
    <row r="398" spans="1:9" ht="13">
      <c r="A398" s="114">
        <v>46169</v>
      </c>
      <c r="B398" s="115">
        <v>7002627423</v>
      </c>
      <c r="C398" s="115" t="s">
        <v>530</v>
      </c>
      <c r="D398" s="115" t="s">
        <v>474</v>
      </c>
      <c r="E398" s="115" t="s">
        <v>463</v>
      </c>
      <c r="F398" s="115" t="s">
        <v>108</v>
      </c>
      <c r="G398" s="115">
        <v>1</v>
      </c>
      <c r="H398" s="115" t="s">
        <v>472</v>
      </c>
      <c r="I398" s="115" t="s">
        <v>82</v>
      </c>
    </row>
    <row r="399" spans="1:9" ht="13">
      <c r="A399" s="114">
        <v>46169</v>
      </c>
      <c r="B399" s="115">
        <v>7002615263</v>
      </c>
      <c r="C399" s="115" t="s">
        <v>530</v>
      </c>
      <c r="D399" s="115" t="s">
        <v>474</v>
      </c>
      <c r="E399" s="115" t="s">
        <v>91</v>
      </c>
      <c r="F399" s="115" t="s">
        <v>108</v>
      </c>
      <c r="G399" s="115">
        <v>21</v>
      </c>
      <c r="H399" s="115" t="s">
        <v>472</v>
      </c>
      <c r="I399" s="115" t="s">
        <v>82</v>
      </c>
    </row>
    <row r="400" spans="1:9" ht="13">
      <c r="A400" s="114">
        <v>46169</v>
      </c>
      <c r="B400" s="115">
        <v>7002625385</v>
      </c>
      <c r="C400" s="115" t="s">
        <v>530</v>
      </c>
      <c r="D400" s="115" t="s">
        <v>515</v>
      </c>
      <c r="E400" s="115" t="s">
        <v>470</v>
      </c>
      <c r="F400" s="115" t="s">
        <v>108</v>
      </c>
      <c r="G400" s="115">
        <v>55</v>
      </c>
      <c r="H400" s="115" t="s">
        <v>472</v>
      </c>
      <c r="I400" s="115" t="s">
        <v>82</v>
      </c>
    </row>
    <row r="401" spans="1:9" ht="13">
      <c r="A401" s="114">
        <v>46169</v>
      </c>
      <c r="B401" s="115">
        <v>7002619322</v>
      </c>
      <c r="C401" s="115" t="s">
        <v>530</v>
      </c>
      <c r="D401" s="115" t="s">
        <v>474</v>
      </c>
      <c r="E401" s="115" t="s">
        <v>463</v>
      </c>
      <c r="F401" s="115" t="s">
        <v>108</v>
      </c>
      <c r="G401" s="115">
        <v>84</v>
      </c>
      <c r="H401" s="115" t="s">
        <v>472</v>
      </c>
      <c r="I401" s="115" t="s">
        <v>82</v>
      </c>
    </row>
    <row r="402" spans="1:9" ht="13">
      <c r="A402" s="114">
        <v>46169</v>
      </c>
      <c r="B402" s="115">
        <v>7002621384</v>
      </c>
      <c r="C402" s="115" t="s">
        <v>530</v>
      </c>
      <c r="D402" s="115" t="s">
        <v>515</v>
      </c>
      <c r="E402" s="115" t="s">
        <v>470</v>
      </c>
      <c r="F402" s="115" t="s">
        <v>108</v>
      </c>
      <c r="G402" s="115">
        <v>91</v>
      </c>
      <c r="H402" s="115" t="s">
        <v>472</v>
      </c>
      <c r="I402" s="115" t="s">
        <v>82</v>
      </c>
    </row>
    <row r="403" spans="1:9" ht="13">
      <c r="A403" s="114">
        <v>46169</v>
      </c>
      <c r="B403" s="115">
        <v>7002621366</v>
      </c>
      <c r="C403" s="115" t="s">
        <v>530</v>
      </c>
      <c r="D403" s="115" t="s">
        <v>474</v>
      </c>
      <c r="E403" s="115" t="s">
        <v>533</v>
      </c>
      <c r="F403" s="115" t="s">
        <v>108</v>
      </c>
      <c r="G403" s="115">
        <v>2</v>
      </c>
      <c r="H403" s="115" t="s">
        <v>472</v>
      </c>
      <c r="I403" s="115" t="s">
        <v>82</v>
      </c>
    </row>
    <row r="404" spans="1:9" ht="13">
      <c r="A404" s="114">
        <v>46169</v>
      </c>
      <c r="B404" s="115">
        <v>7002614359</v>
      </c>
      <c r="C404" s="115" t="s">
        <v>530</v>
      </c>
      <c r="D404" s="115" t="s">
        <v>515</v>
      </c>
      <c r="E404" s="115" t="s">
        <v>470</v>
      </c>
      <c r="F404" s="115" t="s">
        <v>108</v>
      </c>
      <c r="G404" s="115">
        <v>2</v>
      </c>
      <c r="H404" s="115" t="s">
        <v>472</v>
      </c>
      <c r="I404" s="115" t="s">
        <v>82</v>
      </c>
    </row>
    <row r="405" spans="1:9" ht="13">
      <c r="A405" s="114">
        <v>46169</v>
      </c>
      <c r="B405" s="115">
        <v>7002612373</v>
      </c>
      <c r="C405" s="115" t="s">
        <v>530</v>
      </c>
      <c r="D405" s="115" t="s">
        <v>474</v>
      </c>
      <c r="E405" s="115" t="s">
        <v>463</v>
      </c>
      <c r="F405" s="115" t="s">
        <v>108</v>
      </c>
      <c r="G405" s="115">
        <v>85</v>
      </c>
      <c r="H405" s="115" t="s">
        <v>472</v>
      </c>
      <c r="I405" s="115" t="s">
        <v>82</v>
      </c>
    </row>
    <row r="406" spans="1:9" ht="13">
      <c r="A406" s="114">
        <v>46169</v>
      </c>
      <c r="B406" s="115">
        <v>7002613386</v>
      </c>
      <c r="C406" s="115" t="s">
        <v>530</v>
      </c>
      <c r="D406" s="115" t="s">
        <v>479</v>
      </c>
      <c r="E406" s="115" t="s">
        <v>470</v>
      </c>
      <c r="F406" s="115" t="s">
        <v>108</v>
      </c>
      <c r="G406" s="115">
        <v>8</v>
      </c>
      <c r="H406" s="115" t="s">
        <v>472</v>
      </c>
      <c r="I406" s="115" t="s">
        <v>82</v>
      </c>
    </row>
    <row r="407" spans="1:9" ht="13">
      <c r="A407" s="114">
        <v>46169</v>
      </c>
      <c r="B407" s="115">
        <v>7002616419</v>
      </c>
      <c r="C407" s="115" t="s">
        <v>530</v>
      </c>
      <c r="D407" s="115" t="s">
        <v>474</v>
      </c>
      <c r="E407" s="115" t="s">
        <v>98</v>
      </c>
      <c r="F407" s="115" t="s">
        <v>108</v>
      </c>
      <c r="G407" s="115">
        <v>14</v>
      </c>
      <c r="H407" s="115" t="s">
        <v>472</v>
      </c>
      <c r="I407" s="115" t="s">
        <v>82</v>
      </c>
    </row>
    <row r="408" spans="1:9" ht="13">
      <c r="A408" s="114">
        <v>46169</v>
      </c>
      <c r="B408" s="115">
        <v>7002611411</v>
      </c>
      <c r="C408" s="115" t="s">
        <v>530</v>
      </c>
      <c r="D408" s="115" t="s">
        <v>474</v>
      </c>
      <c r="E408" s="115" t="s">
        <v>463</v>
      </c>
      <c r="F408" s="115" t="s">
        <v>108</v>
      </c>
      <c r="G408" s="115">
        <v>4</v>
      </c>
      <c r="H408" s="115" t="s">
        <v>472</v>
      </c>
      <c r="I408" s="115" t="s">
        <v>82</v>
      </c>
    </row>
    <row r="409" spans="1:9" ht="13">
      <c r="A409" s="114">
        <v>46169</v>
      </c>
      <c r="B409" s="115">
        <v>7002613414</v>
      </c>
      <c r="C409" s="115" t="s">
        <v>530</v>
      </c>
      <c r="D409" s="115" t="s">
        <v>474</v>
      </c>
      <c r="E409" s="115" t="s">
        <v>463</v>
      </c>
      <c r="F409" s="115" t="s">
        <v>108</v>
      </c>
      <c r="G409" s="115">
        <v>4</v>
      </c>
      <c r="H409" s="115" t="s">
        <v>472</v>
      </c>
      <c r="I409" s="115" t="s">
        <v>82</v>
      </c>
    </row>
    <row r="410" spans="1:9" ht="13">
      <c r="A410" s="114">
        <v>46169</v>
      </c>
      <c r="B410" s="115">
        <v>7002613422</v>
      </c>
      <c r="C410" s="115" t="s">
        <v>530</v>
      </c>
      <c r="D410" s="115" t="s">
        <v>474</v>
      </c>
      <c r="E410" s="115" t="s">
        <v>463</v>
      </c>
      <c r="F410" s="115" t="s">
        <v>108</v>
      </c>
      <c r="G410" s="115">
        <v>4</v>
      </c>
      <c r="H410" s="115" t="s">
        <v>472</v>
      </c>
      <c r="I410" s="115" t="s">
        <v>82</v>
      </c>
    </row>
    <row r="411" spans="1:9" ht="13">
      <c r="A411" s="114">
        <v>46169</v>
      </c>
      <c r="B411" s="115">
        <v>7002614421</v>
      </c>
      <c r="C411" s="115" t="s">
        <v>530</v>
      </c>
      <c r="D411" s="115" t="s">
        <v>474</v>
      </c>
      <c r="E411" s="115" t="s">
        <v>463</v>
      </c>
      <c r="F411" s="115" t="s">
        <v>108</v>
      </c>
      <c r="G411" s="115">
        <v>4</v>
      </c>
      <c r="H411" s="115" t="s">
        <v>472</v>
      </c>
      <c r="I411" s="115" t="s">
        <v>82</v>
      </c>
    </row>
    <row r="412" spans="1:9" ht="13">
      <c r="A412" s="114">
        <v>46169</v>
      </c>
      <c r="B412" s="115">
        <v>7002616426</v>
      </c>
      <c r="C412" s="115" t="s">
        <v>530</v>
      </c>
      <c r="D412" s="115" t="s">
        <v>474</v>
      </c>
      <c r="E412" s="115" t="s">
        <v>463</v>
      </c>
      <c r="F412" s="115" t="s">
        <v>108</v>
      </c>
      <c r="G412" s="115">
        <v>4</v>
      </c>
      <c r="H412" s="115" t="s">
        <v>472</v>
      </c>
      <c r="I412" s="115" t="s">
        <v>82</v>
      </c>
    </row>
    <row r="413" spans="1:9" ht="13">
      <c r="A413" s="114">
        <v>46169</v>
      </c>
      <c r="B413" s="115">
        <v>7002617415</v>
      </c>
      <c r="C413" s="115" t="s">
        <v>530</v>
      </c>
      <c r="D413" s="115" t="s">
        <v>474</v>
      </c>
      <c r="E413" s="115" t="s">
        <v>463</v>
      </c>
      <c r="F413" s="115" t="s">
        <v>108</v>
      </c>
      <c r="G413" s="115">
        <v>4</v>
      </c>
      <c r="H413" s="115" t="s">
        <v>472</v>
      </c>
      <c r="I413" s="115" t="s">
        <v>82</v>
      </c>
    </row>
    <row r="414" spans="1:9" ht="13">
      <c r="A414" s="114">
        <v>46169</v>
      </c>
      <c r="B414" s="115">
        <v>7002618416</v>
      </c>
      <c r="C414" s="115" t="s">
        <v>530</v>
      </c>
      <c r="D414" s="115" t="s">
        <v>474</v>
      </c>
      <c r="E414" s="115" t="s">
        <v>463</v>
      </c>
      <c r="F414" s="115" t="s">
        <v>108</v>
      </c>
      <c r="G414" s="115">
        <v>2</v>
      </c>
      <c r="H414" s="115" t="s">
        <v>472</v>
      </c>
      <c r="I414" s="115" t="s">
        <v>82</v>
      </c>
    </row>
    <row r="415" spans="1:9" ht="13">
      <c r="A415" s="114">
        <v>46169</v>
      </c>
      <c r="B415" s="115">
        <v>7002624334</v>
      </c>
      <c r="C415" s="115" t="s">
        <v>530</v>
      </c>
      <c r="D415" s="115" t="s">
        <v>479</v>
      </c>
      <c r="E415" s="115" t="s">
        <v>470</v>
      </c>
      <c r="F415" s="115" t="s">
        <v>108</v>
      </c>
      <c r="G415" s="115">
        <v>2</v>
      </c>
      <c r="H415" s="115" t="s">
        <v>472</v>
      </c>
      <c r="I415" s="115" t="s">
        <v>82</v>
      </c>
    </row>
    <row r="416" spans="1:9" ht="13">
      <c r="A416" s="114">
        <v>46169</v>
      </c>
      <c r="B416" s="115">
        <v>7002616442</v>
      </c>
      <c r="C416" s="115" t="s">
        <v>530</v>
      </c>
      <c r="D416" s="115" t="s">
        <v>474</v>
      </c>
      <c r="E416" s="115" t="s">
        <v>463</v>
      </c>
      <c r="F416" s="115" t="s">
        <v>108</v>
      </c>
      <c r="G416" s="115">
        <v>4</v>
      </c>
      <c r="H416" s="115" t="s">
        <v>472</v>
      </c>
      <c r="I416" s="115" t="s">
        <v>82</v>
      </c>
    </row>
    <row r="417" spans="1:9" ht="13">
      <c r="A417" s="114">
        <v>46169</v>
      </c>
      <c r="B417" s="115">
        <v>7002618428</v>
      </c>
      <c r="C417" s="115" t="s">
        <v>530</v>
      </c>
      <c r="D417" s="115" t="s">
        <v>474</v>
      </c>
      <c r="E417" s="115" t="s">
        <v>463</v>
      </c>
      <c r="F417" s="115" t="s">
        <v>108</v>
      </c>
      <c r="G417" s="115">
        <v>3</v>
      </c>
      <c r="H417" s="115" t="s">
        <v>472</v>
      </c>
      <c r="I417" s="115" t="s">
        <v>82</v>
      </c>
    </row>
    <row r="418" spans="1:9" ht="13">
      <c r="A418" s="114">
        <v>46169</v>
      </c>
      <c r="B418" s="115">
        <v>7002614432</v>
      </c>
      <c r="C418" s="115" t="s">
        <v>530</v>
      </c>
      <c r="D418" s="115" t="s">
        <v>474</v>
      </c>
      <c r="E418" s="115" t="s">
        <v>454</v>
      </c>
      <c r="F418" s="115" t="s">
        <v>108</v>
      </c>
      <c r="G418" s="115">
        <v>15</v>
      </c>
      <c r="H418" s="115" t="s">
        <v>472</v>
      </c>
      <c r="I418" s="115" t="s">
        <v>82</v>
      </c>
    </row>
    <row r="419" spans="1:9" ht="13">
      <c r="A419" s="114">
        <v>46169</v>
      </c>
      <c r="B419" s="115">
        <v>7002615439</v>
      </c>
      <c r="C419" s="115" t="s">
        <v>530</v>
      </c>
      <c r="D419" s="115" t="s">
        <v>474</v>
      </c>
      <c r="E419" s="115" t="s">
        <v>454</v>
      </c>
      <c r="F419" s="115" t="s">
        <v>108</v>
      </c>
      <c r="G419" s="115">
        <v>30</v>
      </c>
      <c r="H419" s="115" t="s">
        <v>472</v>
      </c>
      <c r="I419" s="115" t="s">
        <v>82</v>
      </c>
    </row>
    <row r="420" spans="1:9" ht="13">
      <c r="A420" s="114">
        <v>46169</v>
      </c>
      <c r="B420" s="115">
        <v>7002618437</v>
      </c>
      <c r="C420" s="115" t="s">
        <v>530</v>
      </c>
      <c r="D420" s="115" t="s">
        <v>474</v>
      </c>
      <c r="E420" s="115" t="s">
        <v>454</v>
      </c>
      <c r="F420" s="115" t="s">
        <v>108</v>
      </c>
      <c r="G420" s="115">
        <v>12</v>
      </c>
      <c r="H420" s="115" t="s">
        <v>472</v>
      </c>
      <c r="I420" s="115" t="s">
        <v>82</v>
      </c>
    </row>
    <row r="421" spans="1:9" ht="13">
      <c r="A421" s="114">
        <v>46169</v>
      </c>
      <c r="B421" s="115">
        <v>7002613433</v>
      </c>
      <c r="C421" s="115" t="s">
        <v>530</v>
      </c>
      <c r="D421" s="115" t="s">
        <v>474</v>
      </c>
      <c r="E421" s="115" t="s">
        <v>528</v>
      </c>
      <c r="F421" s="115" t="s">
        <v>108</v>
      </c>
      <c r="G421" s="115">
        <v>44</v>
      </c>
      <c r="H421" s="115" t="s">
        <v>472</v>
      </c>
      <c r="I421" s="115" t="s">
        <v>82</v>
      </c>
    </row>
    <row r="422" spans="1:9" ht="13">
      <c r="A422" s="114">
        <v>46169</v>
      </c>
      <c r="B422" s="115">
        <v>7002612447</v>
      </c>
      <c r="C422" s="115" t="s">
        <v>530</v>
      </c>
      <c r="D422" s="115" t="s">
        <v>474</v>
      </c>
      <c r="E422" s="115" t="s">
        <v>463</v>
      </c>
      <c r="F422" s="115" t="s">
        <v>108</v>
      </c>
      <c r="G422" s="115">
        <v>1</v>
      </c>
      <c r="H422" s="115" t="s">
        <v>472</v>
      </c>
      <c r="I422" s="115" t="s">
        <v>82</v>
      </c>
    </row>
    <row r="423" spans="1:9" ht="13">
      <c r="A423" s="114">
        <v>46169</v>
      </c>
      <c r="B423" s="115">
        <v>7002615456</v>
      </c>
      <c r="C423" s="115" t="s">
        <v>530</v>
      </c>
      <c r="D423" s="115" t="s">
        <v>474</v>
      </c>
      <c r="E423" s="115" t="s">
        <v>454</v>
      </c>
      <c r="F423" s="115" t="s">
        <v>108</v>
      </c>
      <c r="G423" s="115">
        <v>7</v>
      </c>
      <c r="H423" s="115" t="s">
        <v>472</v>
      </c>
      <c r="I423" s="115" t="s">
        <v>82</v>
      </c>
    </row>
    <row r="424" spans="1:9" ht="13">
      <c r="A424" s="114">
        <v>46169</v>
      </c>
      <c r="B424" s="115">
        <v>7002621332</v>
      </c>
      <c r="C424" s="115" t="s">
        <v>530</v>
      </c>
      <c r="D424" s="115" t="s">
        <v>474</v>
      </c>
      <c r="E424" s="115" t="s">
        <v>463</v>
      </c>
      <c r="F424" s="115" t="s">
        <v>108</v>
      </c>
      <c r="G424" s="115">
        <v>5</v>
      </c>
      <c r="H424" s="115" t="s">
        <v>472</v>
      </c>
      <c r="I424" s="115" t="s">
        <v>82</v>
      </c>
    </row>
    <row r="425" spans="1:9" ht="13">
      <c r="A425" s="114">
        <v>46169</v>
      </c>
      <c r="B425" s="115">
        <v>7002611476</v>
      </c>
      <c r="C425" s="115" t="s">
        <v>530</v>
      </c>
      <c r="D425" s="115" t="s">
        <v>474</v>
      </c>
      <c r="E425" s="115" t="s">
        <v>463</v>
      </c>
      <c r="F425" s="115" t="s">
        <v>108</v>
      </c>
      <c r="G425" s="115">
        <v>1</v>
      </c>
      <c r="H425" s="115" t="s">
        <v>472</v>
      </c>
      <c r="I425" s="115" t="s">
        <v>82</v>
      </c>
    </row>
    <row r="426" spans="1:9" ht="13">
      <c r="A426" s="114">
        <v>46169</v>
      </c>
      <c r="B426" s="115">
        <v>7002618471</v>
      </c>
      <c r="C426" s="115" t="s">
        <v>530</v>
      </c>
      <c r="D426" s="115" t="s">
        <v>474</v>
      </c>
      <c r="E426" s="115" t="s">
        <v>463</v>
      </c>
      <c r="F426" s="115" t="s">
        <v>108</v>
      </c>
      <c r="G426" s="115">
        <v>1</v>
      </c>
      <c r="H426" s="115" t="s">
        <v>472</v>
      </c>
      <c r="I426" s="115" t="s">
        <v>82</v>
      </c>
    </row>
    <row r="427" spans="1:9" ht="13">
      <c r="A427" s="114">
        <v>46169</v>
      </c>
      <c r="B427" s="115">
        <v>7002619472</v>
      </c>
      <c r="C427" s="115" t="s">
        <v>530</v>
      </c>
      <c r="D427" s="115" t="s">
        <v>474</v>
      </c>
      <c r="E427" s="115" t="s">
        <v>463</v>
      </c>
      <c r="F427" s="115" t="s">
        <v>108</v>
      </c>
      <c r="G427" s="115">
        <v>1</v>
      </c>
      <c r="H427" s="115" t="s">
        <v>472</v>
      </c>
      <c r="I427" s="115" t="s">
        <v>82</v>
      </c>
    </row>
    <row r="428" spans="1:9" ht="13">
      <c r="A428" s="114">
        <v>46169</v>
      </c>
      <c r="B428" s="115">
        <v>7002612475</v>
      </c>
      <c r="C428" s="115" t="s">
        <v>530</v>
      </c>
      <c r="D428" s="115" t="s">
        <v>474</v>
      </c>
      <c r="E428" s="115" t="s">
        <v>528</v>
      </c>
      <c r="F428" s="115" t="s">
        <v>108</v>
      </c>
      <c r="G428" s="115">
        <v>7</v>
      </c>
      <c r="H428" s="115" t="s">
        <v>472</v>
      </c>
      <c r="I428" s="115" t="s">
        <v>82</v>
      </c>
    </row>
    <row r="429" spans="1:9" ht="13">
      <c r="A429" s="114">
        <v>46169</v>
      </c>
      <c r="B429" s="115">
        <v>7002628335</v>
      </c>
      <c r="C429" s="115" t="s">
        <v>530</v>
      </c>
      <c r="D429" s="115" t="s">
        <v>479</v>
      </c>
      <c r="E429" s="115" t="s">
        <v>103</v>
      </c>
      <c r="F429" s="115" t="s">
        <v>108</v>
      </c>
      <c r="G429" s="115">
        <v>1</v>
      </c>
      <c r="H429" s="115" t="s">
        <v>472</v>
      </c>
      <c r="I429" s="115" t="s">
        <v>82</v>
      </c>
    </row>
    <row r="430" spans="1:9" ht="13">
      <c r="A430" s="114">
        <v>46169</v>
      </c>
      <c r="B430" s="115">
        <v>7002614484</v>
      </c>
      <c r="C430" s="115" t="s">
        <v>530</v>
      </c>
      <c r="D430" s="115" t="s">
        <v>474</v>
      </c>
      <c r="E430" s="115" t="s">
        <v>463</v>
      </c>
      <c r="F430" s="115" t="s">
        <v>108</v>
      </c>
      <c r="G430" s="115">
        <v>1</v>
      </c>
      <c r="H430" s="115" t="s">
        <v>472</v>
      </c>
      <c r="I430" s="115" t="s">
        <v>82</v>
      </c>
    </row>
    <row r="431" spans="1:9" ht="13">
      <c r="A431" s="114">
        <v>46169</v>
      </c>
      <c r="B431" s="115">
        <v>7002619486</v>
      </c>
      <c r="C431" s="115" t="s">
        <v>530</v>
      </c>
      <c r="D431" s="115" t="s">
        <v>474</v>
      </c>
      <c r="E431" s="115" t="s">
        <v>463</v>
      </c>
      <c r="F431" s="115" t="s">
        <v>108</v>
      </c>
      <c r="G431" s="115">
        <v>1</v>
      </c>
      <c r="H431" s="115" t="s">
        <v>472</v>
      </c>
      <c r="I431" s="115" t="s">
        <v>82</v>
      </c>
    </row>
    <row r="432" spans="1:9" ht="13">
      <c r="A432" s="114">
        <v>46169</v>
      </c>
      <c r="B432" s="115">
        <v>7002610496</v>
      </c>
      <c r="C432" s="115" t="s">
        <v>530</v>
      </c>
      <c r="D432" s="115" t="s">
        <v>474</v>
      </c>
      <c r="E432" s="115" t="s">
        <v>533</v>
      </c>
      <c r="F432" s="115" t="s">
        <v>108</v>
      </c>
      <c r="G432" s="115">
        <v>12</v>
      </c>
      <c r="H432" s="115" t="s">
        <v>472</v>
      </c>
      <c r="I432" s="115" t="s">
        <v>82</v>
      </c>
    </row>
    <row r="433" spans="1:9" ht="13">
      <c r="A433" s="114">
        <v>46169</v>
      </c>
      <c r="B433" s="115">
        <v>7002611500</v>
      </c>
      <c r="C433" s="115" t="s">
        <v>530</v>
      </c>
      <c r="D433" s="115" t="s">
        <v>474</v>
      </c>
      <c r="E433" s="115" t="s">
        <v>463</v>
      </c>
      <c r="F433" s="115" t="s">
        <v>108</v>
      </c>
      <c r="G433" s="115">
        <v>1</v>
      </c>
      <c r="H433" s="115" t="s">
        <v>472</v>
      </c>
      <c r="I433" s="115" t="s">
        <v>82</v>
      </c>
    </row>
    <row r="434" spans="1:9" ht="13">
      <c r="A434" s="114">
        <v>46169</v>
      </c>
      <c r="B434" s="115">
        <v>7002613498</v>
      </c>
      <c r="C434" s="115" t="s">
        <v>530</v>
      </c>
      <c r="D434" s="115" t="s">
        <v>474</v>
      </c>
      <c r="E434" s="115" t="s">
        <v>463</v>
      </c>
      <c r="F434" s="115" t="s">
        <v>108</v>
      </c>
      <c r="G434" s="115">
        <v>1</v>
      </c>
      <c r="H434" s="115" t="s">
        <v>472</v>
      </c>
      <c r="I434" s="115" t="s">
        <v>82</v>
      </c>
    </row>
    <row r="435" spans="1:9" ht="13">
      <c r="A435" s="114">
        <v>46169</v>
      </c>
      <c r="B435" s="115">
        <v>7002617510</v>
      </c>
      <c r="C435" s="115" t="s">
        <v>530</v>
      </c>
      <c r="D435" s="115" t="s">
        <v>479</v>
      </c>
      <c r="E435" s="115" t="s">
        <v>470</v>
      </c>
      <c r="F435" s="115" t="s">
        <v>108</v>
      </c>
      <c r="G435" s="115">
        <v>2</v>
      </c>
      <c r="H435" s="115" t="s">
        <v>472</v>
      </c>
      <c r="I435" s="115" t="s">
        <v>82</v>
      </c>
    </row>
    <row r="436" spans="1:9" ht="13">
      <c r="A436" s="114">
        <v>46169</v>
      </c>
      <c r="B436" s="115">
        <v>7002611528</v>
      </c>
      <c r="C436" s="115" t="s">
        <v>530</v>
      </c>
      <c r="D436" s="115" t="s">
        <v>474</v>
      </c>
      <c r="E436" s="115" t="s">
        <v>463</v>
      </c>
      <c r="F436" s="115" t="s">
        <v>108</v>
      </c>
      <c r="G436" s="115">
        <v>1</v>
      </c>
      <c r="H436" s="115" t="s">
        <v>472</v>
      </c>
      <c r="I436" s="115" t="s">
        <v>82</v>
      </c>
    </row>
    <row r="437" spans="1:9" ht="13">
      <c r="A437" s="114">
        <v>46169</v>
      </c>
      <c r="B437" s="115">
        <v>7002617523</v>
      </c>
      <c r="C437" s="115" t="s">
        <v>530</v>
      </c>
      <c r="D437" s="115" t="s">
        <v>474</v>
      </c>
      <c r="E437" s="115" t="s">
        <v>463</v>
      </c>
      <c r="F437" s="115" t="s">
        <v>108</v>
      </c>
      <c r="G437" s="115">
        <v>20</v>
      </c>
      <c r="H437" s="115" t="s">
        <v>472</v>
      </c>
      <c r="I437" s="115" t="s">
        <v>82</v>
      </c>
    </row>
    <row r="438" spans="1:9" ht="13">
      <c r="A438" s="114">
        <v>46169</v>
      </c>
      <c r="B438" s="115">
        <v>7002615521</v>
      </c>
      <c r="C438" s="115" t="s">
        <v>530</v>
      </c>
      <c r="D438" s="115" t="s">
        <v>479</v>
      </c>
      <c r="E438" s="115" t="s">
        <v>470</v>
      </c>
      <c r="F438" s="115" t="s">
        <v>108</v>
      </c>
      <c r="G438" s="115">
        <v>3</v>
      </c>
      <c r="H438" s="115" t="s">
        <v>472</v>
      </c>
      <c r="I438" s="115" t="s">
        <v>82</v>
      </c>
    </row>
    <row r="439" spans="1:9" ht="13">
      <c r="A439" s="114">
        <v>46169</v>
      </c>
      <c r="B439" s="115">
        <v>7002611544</v>
      </c>
      <c r="C439" s="115" t="s">
        <v>530</v>
      </c>
      <c r="D439" s="115" t="s">
        <v>474</v>
      </c>
      <c r="E439" s="115" t="s">
        <v>463</v>
      </c>
      <c r="F439" s="115" t="s">
        <v>108</v>
      </c>
      <c r="G439" s="115">
        <v>1</v>
      </c>
      <c r="H439" s="115" t="s">
        <v>472</v>
      </c>
      <c r="I439" s="115" t="s">
        <v>82</v>
      </c>
    </row>
    <row r="440" spans="1:9" ht="13">
      <c r="A440" s="114">
        <v>46169</v>
      </c>
      <c r="B440" s="115">
        <v>7002612543</v>
      </c>
      <c r="C440" s="115" t="s">
        <v>530</v>
      </c>
      <c r="D440" s="115" t="s">
        <v>474</v>
      </c>
      <c r="E440" s="115" t="s">
        <v>454</v>
      </c>
      <c r="F440" s="115" t="s">
        <v>108</v>
      </c>
      <c r="G440" s="115">
        <v>2</v>
      </c>
      <c r="H440" s="115" t="s">
        <v>472</v>
      </c>
      <c r="I440" s="115" t="s">
        <v>82</v>
      </c>
    </row>
    <row r="441" spans="1:9" ht="13">
      <c r="A441" s="114">
        <v>46169</v>
      </c>
      <c r="B441" s="115">
        <v>7002619549</v>
      </c>
      <c r="C441" s="115" t="s">
        <v>530</v>
      </c>
      <c r="D441" s="115" t="s">
        <v>479</v>
      </c>
      <c r="E441" s="115" t="s">
        <v>470</v>
      </c>
      <c r="F441" s="115" t="s">
        <v>108</v>
      </c>
      <c r="G441" s="115">
        <v>2</v>
      </c>
      <c r="H441" s="115" t="s">
        <v>472</v>
      </c>
      <c r="I441" s="115" t="s">
        <v>82</v>
      </c>
    </row>
    <row r="442" spans="1:9" ht="13">
      <c r="A442" s="114">
        <v>46169</v>
      </c>
      <c r="B442" s="115">
        <v>7002626317</v>
      </c>
      <c r="C442" s="115" t="s">
        <v>530</v>
      </c>
      <c r="D442" s="115" t="s">
        <v>515</v>
      </c>
      <c r="E442" s="115" t="s">
        <v>470</v>
      </c>
      <c r="F442" s="115" t="s">
        <v>108</v>
      </c>
      <c r="G442" s="115">
        <v>54</v>
      </c>
      <c r="H442" s="115" t="s">
        <v>472</v>
      </c>
      <c r="I442" s="115" t="s">
        <v>82</v>
      </c>
    </row>
    <row r="443" spans="1:9" ht="13">
      <c r="A443" s="114">
        <v>46169</v>
      </c>
      <c r="B443" s="115">
        <v>7002610555</v>
      </c>
      <c r="C443" s="115" t="s">
        <v>530</v>
      </c>
      <c r="D443" s="115" t="s">
        <v>474</v>
      </c>
      <c r="E443" s="115" t="s">
        <v>98</v>
      </c>
      <c r="F443" s="115" t="s">
        <v>108</v>
      </c>
      <c r="G443" s="115">
        <v>5</v>
      </c>
      <c r="H443" s="115" t="s">
        <v>472</v>
      </c>
      <c r="I443" s="115" t="s">
        <v>82</v>
      </c>
    </row>
    <row r="444" spans="1:9" ht="13">
      <c r="A444" s="114">
        <v>46169</v>
      </c>
      <c r="B444" s="115">
        <v>7002619565</v>
      </c>
      <c r="C444" s="115" t="s">
        <v>530</v>
      </c>
      <c r="D444" s="115" t="s">
        <v>474</v>
      </c>
      <c r="E444" s="115" t="s">
        <v>533</v>
      </c>
      <c r="F444" s="115" t="s">
        <v>108</v>
      </c>
      <c r="G444" s="115">
        <v>20</v>
      </c>
      <c r="H444" s="115" t="s">
        <v>472</v>
      </c>
      <c r="I444" s="115" t="s">
        <v>82</v>
      </c>
    </row>
    <row r="445" spans="1:9" ht="13">
      <c r="A445" s="114">
        <v>46169</v>
      </c>
      <c r="B445" s="115">
        <v>7002619577</v>
      </c>
      <c r="C445" s="115" t="s">
        <v>530</v>
      </c>
      <c r="D445" s="115" t="s">
        <v>479</v>
      </c>
      <c r="E445" s="115" t="s">
        <v>103</v>
      </c>
      <c r="F445" s="115" t="s">
        <v>108</v>
      </c>
      <c r="G445" s="115">
        <v>100</v>
      </c>
      <c r="H445" s="115" t="s">
        <v>472</v>
      </c>
      <c r="I445" s="115" t="s">
        <v>82</v>
      </c>
    </row>
    <row r="446" spans="1:9" ht="13">
      <c r="A446" s="114">
        <v>46169</v>
      </c>
      <c r="B446" s="115">
        <v>7002612603</v>
      </c>
      <c r="C446" s="115" t="s">
        <v>530</v>
      </c>
      <c r="D446" s="115" t="s">
        <v>479</v>
      </c>
      <c r="E446" s="115" t="s">
        <v>103</v>
      </c>
      <c r="F446" s="115" t="s">
        <v>108</v>
      </c>
      <c r="G446" s="115">
        <v>28</v>
      </c>
      <c r="H446" s="115" t="s">
        <v>472</v>
      </c>
      <c r="I446" s="115" t="s">
        <v>82</v>
      </c>
    </row>
    <row r="447" spans="1:9" ht="13">
      <c r="A447" s="114">
        <v>46169</v>
      </c>
      <c r="B447" s="115">
        <v>7002618595</v>
      </c>
      <c r="C447" s="115" t="s">
        <v>530</v>
      </c>
      <c r="D447" s="115" t="s">
        <v>474</v>
      </c>
      <c r="E447" s="115" t="s">
        <v>98</v>
      </c>
      <c r="F447" s="115" t="s">
        <v>108</v>
      </c>
      <c r="G447" s="115">
        <v>4</v>
      </c>
      <c r="H447" s="115" t="s">
        <v>472</v>
      </c>
      <c r="I447" s="115" t="s">
        <v>82</v>
      </c>
    </row>
    <row r="448" spans="1:9" ht="13">
      <c r="A448" s="114">
        <v>46169</v>
      </c>
      <c r="B448" s="115">
        <v>7002627302</v>
      </c>
      <c r="C448" s="115" t="s">
        <v>530</v>
      </c>
      <c r="D448" s="115" t="s">
        <v>474</v>
      </c>
      <c r="E448" s="115" t="s">
        <v>98</v>
      </c>
      <c r="F448" s="115" t="s">
        <v>108</v>
      </c>
      <c r="G448" s="115">
        <v>8</v>
      </c>
      <c r="H448" s="115" t="s">
        <v>472</v>
      </c>
      <c r="I448" s="115" t="s">
        <v>82</v>
      </c>
    </row>
    <row r="449" spans="1:9" ht="13">
      <c r="A449" s="114">
        <v>46169</v>
      </c>
      <c r="B449" s="115">
        <v>7002614638</v>
      </c>
      <c r="C449" s="115" t="s">
        <v>530</v>
      </c>
      <c r="D449" s="115" t="s">
        <v>479</v>
      </c>
      <c r="E449" s="115" t="s">
        <v>103</v>
      </c>
      <c r="F449" s="115" t="s">
        <v>108</v>
      </c>
      <c r="G449" s="115">
        <v>5</v>
      </c>
      <c r="H449" s="115" t="s">
        <v>472</v>
      </c>
      <c r="I449" s="115" t="s">
        <v>82</v>
      </c>
    </row>
    <row r="450" spans="1:9" ht="13">
      <c r="A450" s="114">
        <v>46169</v>
      </c>
      <c r="B450" s="115">
        <v>7002622287</v>
      </c>
      <c r="C450" s="115" t="s">
        <v>530</v>
      </c>
      <c r="D450" s="115" t="s">
        <v>474</v>
      </c>
      <c r="E450" s="115" t="s">
        <v>463</v>
      </c>
      <c r="F450" s="115" t="s">
        <v>108</v>
      </c>
      <c r="G450" s="115">
        <v>1</v>
      </c>
      <c r="H450" s="115" t="s">
        <v>472</v>
      </c>
      <c r="I450" s="115" t="s">
        <v>82</v>
      </c>
    </row>
    <row r="451" spans="1:9" ht="13">
      <c r="A451" s="114">
        <v>46169</v>
      </c>
      <c r="B451" s="115">
        <v>7002613660</v>
      </c>
      <c r="C451" s="115" t="s">
        <v>530</v>
      </c>
      <c r="D451" s="115" t="s">
        <v>515</v>
      </c>
      <c r="E451" s="115" t="s">
        <v>470</v>
      </c>
      <c r="F451" s="115" t="s">
        <v>108</v>
      </c>
      <c r="G451" s="115">
        <v>62</v>
      </c>
      <c r="H451" s="115" t="s">
        <v>472</v>
      </c>
      <c r="I451" s="115" t="s">
        <v>82</v>
      </c>
    </row>
    <row r="452" spans="1:9" ht="13">
      <c r="A452" s="114">
        <v>46169</v>
      </c>
      <c r="B452" s="115">
        <v>7002615679</v>
      </c>
      <c r="C452" s="115" t="s">
        <v>530</v>
      </c>
      <c r="D452" s="115" t="s">
        <v>515</v>
      </c>
      <c r="E452" s="115" t="s">
        <v>470</v>
      </c>
      <c r="F452" s="115" t="s">
        <v>108</v>
      </c>
      <c r="G452" s="115">
        <v>36</v>
      </c>
      <c r="H452" s="115" t="s">
        <v>472</v>
      </c>
      <c r="I452" s="115" t="s">
        <v>82</v>
      </c>
    </row>
    <row r="453" spans="1:9" ht="13">
      <c r="A453" s="114">
        <v>46169</v>
      </c>
      <c r="B453" s="115">
        <v>7002617676</v>
      </c>
      <c r="C453" s="115" t="s">
        <v>530</v>
      </c>
      <c r="D453" s="115" t="s">
        <v>515</v>
      </c>
      <c r="E453" s="115" t="s">
        <v>470</v>
      </c>
      <c r="F453" s="115" t="s">
        <v>108</v>
      </c>
      <c r="G453" s="115">
        <v>37</v>
      </c>
      <c r="H453" s="115" t="s">
        <v>472</v>
      </c>
      <c r="I453" s="115" t="s">
        <v>82</v>
      </c>
    </row>
    <row r="454" spans="1:9" ht="13">
      <c r="A454" s="114">
        <v>46169</v>
      </c>
      <c r="B454" s="115">
        <v>7002619706</v>
      </c>
      <c r="C454" s="115" t="s">
        <v>530</v>
      </c>
      <c r="D454" s="115" t="s">
        <v>474</v>
      </c>
      <c r="E454" s="115" t="s">
        <v>98</v>
      </c>
      <c r="F454" s="115" t="s">
        <v>108</v>
      </c>
      <c r="G454" s="115">
        <v>3</v>
      </c>
      <c r="H454" s="115" t="s">
        <v>472</v>
      </c>
      <c r="I454" s="115" t="s">
        <v>82</v>
      </c>
    </row>
    <row r="455" spans="1:9" ht="13">
      <c r="A455" s="114">
        <v>46169</v>
      </c>
      <c r="B455" s="115">
        <v>7002610692</v>
      </c>
      <c r="C455" s="115" t="s">
        <v>530</v>
      </c>
      <c r="D455" s="115" t="s">
        <v>515</v>
      </c>
      <c r="E455" s="115" t="s">
        <v>470</v>
      </c>
      <c r="F455" s="115" t="s">
        <v>108</v>
      </c>
      <c r="G455" s="115">
        <v>4</v>
      </c>
      <c r="H455" s="115" t="s">
        <v>472</v>
      </c>
      <c r="I455" s="115" t="s">
        <v>82</v>
      </c>
    </row>
    <row r="456" spans="1:9" ht="13">
      <c r="A456" s="114">
        <v>46169</v>
      </c>
      <c r="B456" s="115">
        <v>7002611725</v>
      </c>
      <c r="C456" s="115" t="s">
        <v>530</v>
      </c>
      <c r="D456" s="115" t="s">
        <v>474</v>
      </c>
      <c r="E456" s="115" t="s">
        <v>539</v>
      </c>
      <c r="F456" s="115" t="s">
        <v>108</v>
      </c>
      <c r="G456" s="115">
        <v>2</v>
      </c>
      <c r="H456" s="115" t="s">
        <v>472</v>
      </c>
      <c r="I456" s="115" t="s">
        <v>82</v>
      </c>
    </row>
    <row r="457" spans="1:9" ht="13">
      <c r="A457" s="114">
        <v>46169</v>
      </c>
      <c r="B457" s="115">
        <v>7002611739</v>
      </c>
      <c r="C457" s="115" t="s">
        <v>530</v>
      </c>
      <c r="D457" s="115" t="s">
        <v>474</v>
      </c>
      <c r="E457" s="115" t="s">
        <v>98</v>
      </c>
      <c r="F457" s="115" t="s">
        <v>108</v>
      </c>
      <c r="G457" s="115">
        <v>3</v>
      </c>
      <c r="H457" s="115" t="s">
        <v>472</v>
      </c>
      <c r="I457" s="115" t="s">
        <v>82</v>
      </c>
    </row>
    <row r="458" spans="1:9" ht="13">
      <c r="A458" s="114">
        <v>46169</v>
      </c>
      <c r="B458" s="115">
        <v>7002616754</v>
      </c>
      <c r="C458" s="115" t="s">
        <v>530</v>
      </c>
      <c r="D458" s="115" t="s">
        <v>474</v>
      </c>
      <c r="E458" s="115" t="s">
        <v>98</v>
      </c>
      <c r="F458" s="115" t="s">
        <v>108</v>
      </c>
      <c r="G458" s="115">
        <v>1</v>
      </c>
      <c r="H458" s="115" t="s">
        <v>472</v>
      </c>
      <c r="I458" s="115" t="s">
        <v>82</v>
      </c>
    </row>
    <row r="459" spans="1:9" ht="13">
      <c r="A459" s="114">
        <v>46169</v>
      </c>
      <c r="B459" s="115">
        <v>7002623078</v>
      </c>
      <c r="C459" s="115" t="s">
        <v>530</v>
      </c>
      <c r="D459" s="115" t="s">
        <v>474</v>
      </c>
      <c r="E459" s="115" t="s">
        <v>91</v>
      </c>
      <c r="F459" s="115" t="s">
        <v>108</v>
      </c>
      <c r="G459" s="115">
        <v>5</v>
      </c>
      <c r="H459" s="115" t="s">
        <v>472</v>
      </c>
      <c r="I459" s="115" t="s">
        <v>82</v>
      </c>
    </row>
    <row r="460" spans="1:9" ht="13">
      <c r="A460" s="114">
        <v>46169</v>
      </c>
      <c r="B460" s="115">
        <v>7002621075</v>
      </c>
      <c r="C460" s="115" t="s">
        <v>530</v>
      </c>
      <c r="D460" s="115" t="s">
        <v>474</v>
      </c>
      <c r="E460" s="115" t="s">
        <v>91</v>
      </c>
      <c r="F460" s="115" t="s">
        <v>108</v>
      </c>
      <c r="G460" s="115">
        <v>2</v>
      </c>
      <c r="H460" s="115" t="s">
        <v>472</v>
      </c>
      <c r="I460" s="115" t="s">
        <v>82</v>
      </c>
    </row>
    <row r="461" spans="1:9" ht="13">
      <c r="A461" s="114">
        <v>46169</v>
      </c>
      <c r="B461" s="115">
        <v>7002629060</v>
      </c>
      <c r="C461" s="115" t="s">
        <v>530</v>
      </c>
      <c r="D461" s="115" t="s">
        <v>474</v>
      </c>
      <c r="E461" s="115" t="s">
        <v>91</v>
      </c>
      <c r="F461" s="115" t="s">
        <v>108</v>
      </c>
      <c r="G461" s="115">
        <v>14</v>
      </c>
      <c r="H461" s="115" t="s">
        <v>472</v>
      </c>
      <c r="I461" s="115" t="s">
        <v>82</v>
      </c>
    </row>
    <row r="462" spans="1:9" ht="13">
      <c r="A462" s="114">
        <v>46169</v>
      </c>
      <c r="B462" s="115">
        <v>7002622022</v>
      </c>
      <c r="C462" s="115" t="s">
        <v>530</v>
      </c>
      <c r="D462" s="115" t="s">
        <v>474</v>
      </c>
      <c r="E462" s="115" t="s">
        <v>91</v>
      </c>
      <c r="F462" s="115" t="s">
        <v>108</v>
      </c>
      <c r="G462" s="115">
        <v>1</v>
      </c>
      <c r="H462" s="115" t="s">
        <v>472</v>
      </c>
      <c r="I462" s="115" t="s">
        <v>82</v>
      </c>
    </row>
    <row r="463" spans="1:9" ht="13">
      <c r="A463" s="114">
        <v>46169</v>
      </c>
      <c r="B463" s="115">
        <v>7002628017</v>
      </c>
      <c r="C463" s="115" t="s">
        <v>530</v>
      </c>
      <c r="D463" s="115" t="s">
        <v>474</v>
      </c>
      <c r="E463" s="115" t="s">
        <v>98</v>
      </c>
      <c r="F463" s="115" t="s">
        <v>108</v>
      </c>
      <c r="G463" s="115">
        <v>9</v>
      </c>
      <c r="H463" s="115" t="s">
        <v>472</v>
      </c>
      <c r="I463" s="115" t="s">
        <v>82</v>
      </c>
    </row>
    <row r="464" spans="1:9" ht="13">
      <c r="A464" s="114">
        <v>46169</v>
      </c>
      <c r="B464" s="115">
        <v>7002625003</v>
      </c>
      <c r="C464" s="115" t="s">
        <v>530</v>
      </c>
      <c r="D464" s="115" t="s">
        <v>474</v>
      </c>
      <c r="E464" s="115" t="s">
        <v>91</v>
      </c>
      <c r="F464" s="115" t="s">
        <v>108</v>
      </c>
      <c r="G464" s="115">
        <v>14</v>
      </c>
      <c r="H464" s="115" t="s">
        <v>472</v>
      </c>
      <c r="I464" s="115" t="s">
        <v>82</v>
      </c>
    </row>
    <row r="465" spans="1:9" ht="13">
      <c r="A465" s="114">
        <v>46169</v>
      </c>
      <c r="B465" s="115">
        <v>7002621006</v>
      </c>
      <c r="C465" s="115" t="s">
        <v>530</v>
      </c>
      <c r="D465" s="115" t="s">
        <v>474</v>
      </c>
      <c r="E465" s="115" t="s">
        <v>91</v>
      </c>
      <c r="F465" s="115" t="s">
        <v>108</v>
      </c>
      <c r="G465" s="115">
        <v>14</v>
      </c>
      <c r="H465" s="115" t="s">
        <v>472</v>
      </c>
      <c r="I465" s="115" t="s">
        <v>82</v>
      </c>
    </row>
    <row r="466" spans="1:9" ht="13">
      <c r="A466" s="114">
        <v>46169</v>
      </c>
      <c r="B466" s="115">
        <v>7002626015</v>
      </c>
      <c r="C466" s="115" t="s">
        <v>530</v>
      </c>
      <c r="D466" s="115" t="s">
        <v>474</v>
      </c>
      <c r="E466" s="115" t="s">
        <v>98</v>
      </c>
      <c r="F466" s="115" t="s">
        <v>108</v>
      </c>
      <c r="G466" s="115">
        <v>150</v>
      </c>
      <c r="H466" s="115" t="s">
        <v>472</v>
      </c>
      <c r="I466" s="115" t="s">
        <v>82</v>
      </c>
    </row>
    <row r="467" spans="1:9" ht="13">
      <c r="A467" s="114">
        <v>46169</v>
      </c>
      <c r="B467" s="115">
        <v>7002613984</v>
      </c>
      <c r="C467" s="115" t="s">
        <v>530</v>
      </c>
      <c r="D467" s="115" t="s">
        <v>474</v>
      </c>
      <c r="E467" s="115" t="s">
        <v>98</v>
      </c>
      <c r="F467" s="115" t="s">
        <v>108</v>
      </c>
      <c r="G467" s="115">
        <v>3</v>
      </c>
      <c r="H467" s="115" t="s">
        <v>472</v>
      </c>
      <c r="I467" s="115" t="s">
        <v>82</v>
      </c>
    </row>
    <row r="468" spans="1:9" ht="13">
      <c r="A468" s="114">
        <v>46169</v>
      </c>
      <c r="B468" s="115">
        <v>7002612951</v>
      </c>
      <c r="C468" s="115" t="s">
        <v>530</v>
      </c>
      <c r="D468" s="115" t="s">
        <v>474</v>
      </c>
      <c r="E468" s="115" t="s">
        <v>533</v>
      </c>
      <c r="F468" s="115" t="s">
        <v>108</v>
      </c>
      <c r="G468" s="115">
        <v>10</v>
      </c>
      <c r="H468" s="115" t="s">
        <v>472</v>
      </c>
      <c r="I468" s="115" t="s">
        <v>82</v>
      </c>
    </row>
    <row r="469" spans="1:9" ht="13">
      <c r="A469" s="114">
        <v>46169</v>
      </c>
      <c r="B469" s="115">
        <v>7002616962</v>
      </c>
      <c r="C469" s="115" t="s">
        <v>530</v>
      </c>
      <c r="D469" s="115" t="s">
        <v>474</v>
      </c>
      <c r="E469" s="115" t="s">
        <v>98</v>
      </c>
      <c r="F469" s="115" t="s">
        <v>108</v>
      </c>
      <c r="G469" s="115">
        <v>2</v>
      </c>
      <c r="H469" s="115" t="s">
        <v>472</v>
      </c>
      <c r="I469" s="115" t="s">
        <v>82</v>
      </c>
    </row>
    <row r="470" spans="1:9" ht="13">
      <c r="A470" s="114">
        <v>46169</v>
      </c>
      <c r="B470" s="115">
        <v>7002617900</v>
      </c>
      <c r="C470" s="115" t="s">
        <v>530</v>
      </c>
      <c r="D470" s="115" t="s">
        <v>474</v>
      </c>
      <c r="E470" s="115" t="s">
        <v>91</v>
      </c>
      <c r="F470" s="115" t="s">
        <v>108</v>
      </c>
      <c r="G470" s="115">
        <v>3</v>
      </c>
      <c r="H470" s="115" t="s">
        <v>472</v>
      </c>
      <c r="I470" s="115" t="s">
        <v>82</v>
      </c>
    </row>
    <row r="471" spans="1:9" ht="13">
      <c r="A471" s="114">
        <v>46169</v>
      </c>
      <c r="B471" s="115">
        <v>7002617937</v>
      </c>
      <c r="C471" s="115" t="s">
        <v>530</v>
      </c>
      <c r="D471" s="115" t="s">
        <v>474</v>
      </c>
      <c r="E471" s="115" t="s">
        <v>98</v>
      </c>
      <c r="F471" s="115" t="s">
        <v>108</v>
      </c>
      <c r="G471" s="115">
        <v>2</v>
      </c>
      <c r="H471" s="115" t="s">
        <v>472</v>
      </c>
      <c r="I471" s="115" t="s">
        <v>82</v>
      </c>
    </row>
    <row r="472" spans="1:9" ht="13">
      <c r="A472" s="114">
        <v>46169</v>
      </c>
      <c r="B472" s="115">
        <v>7002611947</v>
      </c>
      <c r="C472" s="115" t="s">
        <v>530</v>
      </c>
      <c r="D472" s="115" t="s">
        <v>474</v>
      </c>
      <c r="E472" s="115" t="s">
        <v>98</v>
      </c>
      <c r="F472" s="115" t="s">
        <v>108</v>
      </c>
      <c r="G472" s="115">
        <v>4</v>
      </c>
      <c r="H472" s="115" t="s">
        <v>472</v>
      </c>
      <c r="I472" s="115" t="s">
        <v>82</v>
      </c>
    </row>
    <row r="473" spans="1:9" ht="13">
      <c r="A473" s="114">
        <v>46169</v>
      </c>
      <c r="B473" s="115">
        <v>7002614912</v>
      </c>
      <c r="C473" s="115" t="s">
        <v>530</v>
      </c>
      <c r="D473" s="115" t="s">
        <v>495</v>
      </c>
      <c r="E473" s="115" t="s">
        <v>103</v>
      </c>
      <c r="F473" s="115" t="s">
        <v>108</v>
      </c>
      <c r="G473" s="115">
        <v>2</v>
      </c>
      <c r="H473" s="115" t="s">
        <v>472</v>
      </c>
      <c r="I473" s="115" t="s">
        <v>82</v>
      </c>
    </row>
    <row r="474" spans="1:9" ht="13">
      <c r="A474" s="114">
        <v>46169</v>
      </c>
      <c r="B474" s="115">
        <v>7002613909</v>
      </c>
      <c r="C474" s="115" t="s">
        <v>530</v>
      </c>
      <c r="D474" s="115" t="s">
        <v>474</v>
      </c>
      <c r="E474" s="115" t="s">
        <v>91</v>
      </c>
      <c r="F474" s="115" t="s">
        <v>108</v>
      </c>
      <c r="G474" s="115">
        <v>32</v>
      </c>
      <c r="H474" s="115" t="s">
        <v>472</v>
      </c>
      <c r="I474" s="115" t="s">
        <v>82</v>
      </c>
    </row>
    <row r="475" spans="1:9" ht="13">
      <c r="A475" s="114">
        <v>46169</v>
      </c>
      <c r="B475" s="115">
        <v>7002576421</v>
      </c>
      <c r="C475" s="115" t="s">
        <v>530</v>
      </c>
      <c r="D475" s="115" t="s">
        <v>474</v>
      </c>
      <c r="E475" s="115" t="s">
        <v>454</v>
      </c>
      <c r="F475" s="115" t="s">
        <v>108</v>
      </c>
      <c r="G475" s="115">
        <v>5</v>
      </c>
      <c r="H475" s="115" t="s">
        <v>472</v>
      </c>
      <c r="I475" s="115" t="s">
        <v>505</v>
      </c>
    </row>
    <row r="476" spans="1:9" ht="13">
      <c r="A476" s="114">
        <v>46169</v>
      </c>
      <c r="B476" s="115">
        <v>7002582154</v>
      </c>
      <c r="C476" s="115" t="s">
        <v>530</v>
      </c>
      <c r="D476" s="115" t="s">
        <v>474</v>
      </c>
      <c r="E476" s="115" t="s">
        <v>454</v>
      </c>
      <c r="F476" s="115" t="s">
        <v>108</v>
      </c>
      <c r="G476" s="115">
        <v>1</v>
      </c>
      <c r="H476" s="115" t="s">
        <v>472</v>
      </c>
      <c r="I476" s="115" t="s">
        <v>505</v>
      </c>
    </row>
    <row r="477" spans="1:9" ht="13">
      <c r="A477" s="114">
        <v>46169</v>
      </c>
      <c r="B477" s="115">
        <v>7002590613</v>
      </c>
      <c r="C477" s="115" t="s">
        <v>530</v>
      </c>
      <c r="D477" s="115" t="s">
        <v>474</v>
      </c>
      <c r="E477" s="115" t="s">
        <v>454</v>
      </c>
      <c r="F477" s="115" t="s">
        <v>108</v>
      </c>
      <c r="G477" s="115">
        <v>1</v>
      </c>
      <c r="H477" s="115" t="s">
        <v>472</v>
      </c>
      <c r="I477" s="115" t="s">
        <v>505</v>
      </c>
    </row>
    <row r="478" spans="1:9" ht="13">
      <c r="A478" s="114">
        <v>46169</v>
      </c>
      <c r="B478" s="115">
        <v>7002609301</v>
      </c>
      <c r="C478" s="115" t="s">
        <v>530</v>
      </c>
      <c r="D478" s="115" t="s">
        <v>474</v>
      </c>
      <c r="E478" s="115" t="s">
        <v>454</v>
      </c>
      <c r="F478" s="115" t="s">
        <v>108</v>
      </c>
      <c r="G478" s="115">
        <v>6</v>
      </c>
      <c r="H478" s="115" t="s">
        <v>472</v>
      </c>
      <c r="I478" s="115" t="s">
        <v>505</v>
      </c>
    </row>
    <row r="479" spans="1:9" ht="13">
      <c r="A479" s="114">
        <v>46169</v>
      </c>
      <c r="B479" s="115">
        <v>7002601382</v>
      </c>
      <c r="C479" s="115" t="s">
        <v>530</v>
      </c>
      <c r="D479" s="115" t="s">
        <v>474</v>
      </c>
      <c r="E479" s="115" t="s">
        <v>454</v>
      </c>
      <c r="F479" s="115" t="s">
        <v>108</v>
      </c>
      <c r="G479" s="115">
        <v>1</v>
      </c>
      <c r="H479" s="115" t="s">
        <v>472</v>
      </c>
      <c r="I479" s="115" t="s">
        <v>505</v>
      </c>
    </row>
    <row r="480" spans="1:9" ht="13">
      <c r="A480" s="114">
        <v>46169</v>
      </c>
      <c r="B480" s="115">
        <v>7002600568</v>
      </c>
      <c r="C480" s="115" t="s">
        <v>530</v>
      </c>
      <c r="D480" s="115" t="s">
        <v>474</v>
      </c>
      <c r="E480" s="115" t="s">
        <v>454</v>
      </c>
      <c r="F480" s="115" t="s">
        <v>108</v>
      </c>
      <c r="G480" s="115">
        <v>1</v>
      </c>
      <c r="H480" s="115" t="s">
        <v>472</v>
      </c>
      <c r="I480" s="115" t="s">
        <v>505</v>
      </c>
    </row>
    <row r="481" spans="1:9" ht="13">
      <c r="A481" s="114">
        <v>46169</v>
      </c>
      <c r="B481" s="115">
        <v>7002603752</v>
      </c>
      <c r="C481" s="115" t="s">
        <v>530</v>
      </c>
      <c r="D481" s="115" t="s">
        <v>474</v>
      </c>
      <c r="E481" s="115" t="s">
        <v>454</v>
      </c>
      <c r="F481" s="115" t="s">
        <v>108</v>
      </c>
      <c r="G481" s="115">
        <v>1</v>
      </c>
      <c r="H481" s="115" t="s">
        <v>472</v>
      </c>
      <c r="I481" s="115" t="s">
        <v>505</v>
      </c>
    </row>
    <row r="482" spans="1:9" ht="13">
      <c r="A482" s="114">
        <v>46169</v>
      </c>
      <c r="B482" s="115">
        <v>7002600778</v>
      </c>
      <c r="C482" s="115" t="s">
        <v>530</v>
      </c>
      <c r="D482" s="115" t="s">
        <v>474</v>
      </c>
      <c r="E482" s="115" t="s">
        <v>454</v>
      </c>
      <c r="F482" s="115" t="s">
        <v>108</v>
      </c>
      <c r="G482" s="115">
        <v>1</v>
      </c>
      <c r="H482" s="115" t="s">
        <v>472</v>
      </c>
      <c r="I482" s="115" t="s">
        <v>505</v>
      </c>
    </row>
    <row r="483" spans="1:9" ht="13">
      <c r="A483" s="114">
        <v>46169</v>
      </c>
      <c r="B483" s="115">
        <v>7002634062</v>
      </c>
      <c r="C483" s="115" t="s">
        <v>530</v>
      </c>
      <c r="D483" s="115" t="s">
        <v>479</v>
      </c>
      <c r="E483" s="115" t="s">
        <v>103</v>
      </c>
      <c r="F483" s="115" t="s">
        <v>102</v>
      </c>
      <c r="G483" s="115">
        <v>1</v>
      </c>
      <c r="H483" s="115" t="s">
        <v>472</v>
      </c>
      <c r="I483" s="115" t="s">
        <v>82</v>
      </c>
    </row>
    <row r="484" spans="1:9" ht="13">
      <c r="A484" s="114">
        <v>46169</v>
      </c>
      <c r="B484" s="115">
        <v>7002622872</v>
      </c>
      <c r="C484" s="115" t="s">
        <v>530</v>
      </c>
      <c r="D484" s="115" t="s">
        <v>474</v>
      </c>
      <c r="E484" s="115" t="s">
        <v>463</v>
      </c>
      <c r="F484" s="115" t="s">
        <v>102</v>
      </c>
      <c r="G484" s="115">
        <v>1</v>
      </c>
      <c r="H484" s="115" t="s">
        <v>472</v>
      </c>
      <c r="I484" s="115" t="s">
        <v>82</v>
      </c>
    </row>
    <row r="485" spans="1:9" ht="13">
      <c r="A485" s="114">
        <v>46169</v>
      </c>
      <c r="B485" s="115">
        <v>7002627850</v>
      </c>
      <c r="C485" s="115" t="s">
        <v>530</v>
      </c>
      <c r="D485" s="115" t="s">
        <v>474</v>
      </c>
      <c r="E485" s="115" t="s">
        <v>538</v>
      </c>
      <c r="F485" s="115" t="s">
        <v>102</v>
      </c>
      <c r="G485" s="115">
        <v>1</v>
      </c>
      <c r="H485" s="115" t="s">
        <v>472</v>
      </c>
      <c r="I485" s="115" t="s">
        <v>82</v>
      </c>
    </row>
    <row r="486" spans="1:9" ht="13">
      <c r="A486" s="114">
        <v>46169</v>
      </c>
      <c r="B486" s="115">
        <v>7002626771</v>
      </c>
      <c r="C486" s="115" t="s">
        <v>530</v>
      </c>
      <c r="D486" s="115" t="s">
        <v>474</v>
      </c>
      <c r="E486" s="115" t="s">
        <v>98</v>
      </c>
      <c r="F486" s="115" t="s">
        <v>102</v>
      </c>
      <c r="G486" s="115">
        <v>2</v>
      </c>
      <c r="H486" s="115" t="s">
        <v>472</v>
      </c>
      <c r="I486" s="115" t="s">
        <v>82</v>
      </c>
    </row>
    <row r="487" spans="1:9" ht="13">
      <c r="A487" s="114">
        <v>46169</v>
      </c>
      <c r="B487" s="115">
        <v>7002587844</v>
      </c>
      <c r="C487" s="115" t="s">
        <v>530</v>
      </c>
      <c r="D487" s="115" t="s">
        <v>474</v>
      </c>
      <c r="E487" s="115" t="s">
        <v>454</v>
      </c>
      <c r="F487" s="115" t="s">
        <v>107</v>
      </c>
      <c r="G487" s="115">
        <v>10</v>
      </c>
      <c r="H487" s="115" t="s">
        <v>472</v>
      </c>
      <c r="I487" s="115" t="s">
        <v>82</v>
      </c>
    </row>
    <row r="488" spans="1:9" ht="13">
      <c r="A488" s="114">
        <v>46169</v>
      </c>
      <c r="B488" s="115">
        <v>7002587871</v>
      </c>
      <c r="C488" s="115" t="s">
        <v>530</v>
      </c>
      <c r="D488" s="115" t="s">
        <v>474</v>
      </c>
      <c r="E488" s="115" t="s">
        <v>454</v>
      </c>
      <c r="F488" s="115" t="s">
        <v>107</v>
      </c>
      <c r="G488" s="115">
        <v>5</v>
      </c>
      <c r="H488" s="115" t="s">
        <v>472</v>
      </c>
      <c r="I488" s="115" t="s">
        <v>82</v>
      </c>
    </row>
    <row r="489" spans="1:9" ht="13">
      <c r="A489" s="114">
        <v>46169</v>
      </c>
      <c r="B489" s="115">
        <v>7002588872</v>
      </c>
      <c r="C489" s="115" t="s">
        <v>530</v>
      </c>
      <c r="D489" s="115" t="s">
        <v>474</v>
      </c>
      <c r="E489" s="115" t="s">
        <v>454</v>
      </c>
      <c r="F489" s="115" t="s">
        <v>107</v>
      </c>
      <c r="G489" s="115">
        <v>7</v>
      </c>
      <c r="H489" s="115" t="s">
        <v>472</v>
      </c>
      <c r="I489" s="115" t="s">
        <v>82</v>
      </c>
    </row>
    <row r="490" spans="1:9" ht="13">
      <c r="A490" s="114">
        <v>46169</v>
      </c>
      <c r="B490" s="115">
        <v>7002581875</v>
      </c>
      <c r="C490" s="115" t="s">
        <v>530</v>
      </c>
      <c r="D490" s="115" t="s">
        <v>474</v>
      </c>
      <c r="E490" s="115" t="s">
        <v>454</v>
      </c>
      <c r="F490" s="115" t="s">
        <v>107</v>
      </c>
      <c r="G490" s="115">
        <v>5</v>
      </c>
      <c r="H490" s="115" t="s">
        <v>472</v>
      </c>
      <c r="I490" s="115" t="s">
        <v>82</v>
      </c>
    </row>
    <row r="491" spans="1:9" ht="13">
      <c r="A491" s="114">
        <v>46169</v>
      </c>
      <c r="B491" s="115">
        <v>7002585874</v>
      </c>
      <c r="C491" s="115" t="s">
        <v>530</v>
      </c>
      <c r="D491" s="115" t="s">
        <v>474</v>
      </c>
      <c r="E491" s="115" t="s">
        <v>454</v>
      </c>
      <c r="F491" s="115" t="s">
        <v>107</v>
      </c>
      <c r="G491" s="115">
        <v>5</v>
      </c>
      <c r="H491" s="115" t="s">
        <v>472</v>
      </c>
      <c r="I491" s="115" t="s">
        <v>82</v>
      </c>
    </row>
    <row r="492" spans="1:9" ht="13">
      <c r="A492" s="114">
        <v>46169</v>
      </c>
      <c r="B492" s="115">
        <v>7002585994</v>
      </c>
      <c r="C492" s="115" t="s">
        <v>530</v>
      </c>
      <c r="D492" s="115" t="s">
        <v>474</v>
      </c>
      <c r="E492" s="115" t="s">
        <v>91</v>
      </c>
      <c r="F492" s="115" t="s">
        <v>102</v>
      </c>
      <c r="G492" s="115">
        <v>7</v>
      </c>
      <c r="H492" s="115" t="s">
        <v>472</v>
      </c>
      <c r="I492" s="115" t="s">
        <v>82</v>
      </c>
    </row>
    <row r="493" spans="1:9" ht="13">
      <c r="A493" s="114">
        <v>46169</v>
      </c>
      <c r="B493" s="115">
        <v>7002590236</v>
      </c>
      <c r="C493" s="115" t="s">
        <v>530</v>
      </c>
      <c r="D493" s="115" t="s">
        <v>474</v>
      </c>
      <c r="E493" s="115" t="s">
        <v>461</v>
      </c>
      <c r="F493" s="115" t="s">
        <v>102</v>
      </c>
      <c r="G493" s="115">
        <v>1</v>
      </c>
      <c r="H493" s="115" t="s">
        <v>472</v>
      </c>
      <c r="I493" s="115" t="s">
        <v>82</v>
      </c>
    </row>
    <row r="494" spans="1:9" ht="13">
      <c r="A494" s="114">
        <v>46169</v>
      </c>
      <c r="B494" s="115">
        <v>7002595385</v>
      </c>
      <c r="C494" s="115" t="s">
        <v>530</v>
      </c>
      <c r="D494" s="115" t="s">
        <v>474</v>
      </c>
      <c r="E494" s="115" t="s">
        <v>461</v>
      </c>
      <c r="F494" s="115" t="s">
        <v>102</v>
      </c>
      <c r="G494" s="115">
        <v>2</v>
      </c>
      <c r="H494" s="115" t="s">
        <v>472</v>
      </c>
      <c r="I494" s="115" t="s">
        <v>82</v>
      </c>
    </row>
    <row r="495" spans="1:9" ht="13">
      <c r="A495" s="114">
        <v>46169</v>
      </c>
      <c r="B495" s="115">
        <v>7002624633</v>
      </c>
      <c r="C495" s="115" t="s">
        <v>530</v>
      </c>
      <c r="D495" s="115" t="s">
        <v>474</v>
      </c>
      <c r="E495" s="115" t="s">
        <v>538</v>
      </c>
      <c r="F495" s="115" t="s">
        <v>102</v>
      </c>
      <c r="G495" s="115">
        <v>1</v>
      </c>
      <c r="H495" s="115" t="s">
        <v>472</v>
      </c>
      <c r="I495" s="115" t="s">
        <v>82</v>
      </c>
    </row>
    <row r="496" spans="1:9" ht="13">
      <c r="A496" s="114">
        <v>46169</v>
      </c>
      <c r="B496" s="115">
        <v>7002622624</v>
      </c>
      <c r="C496" s="115" t="s">
        <v>530</v>
      </c>
      <c r="D496" s="115" t="s">
        <v>479</v>
      </c>
      <c r="E496" s="115" t="s">
        <v>470</v>
      </c>
      <c r="F496" s="115" t="s">
        <v>102</v>
      </c>
      <c r="G496" s="115">
        <v>1</v>
      </c>
      <c r="H496" s="115" t="s">
        <v>472</v>
      </c>
      <c r="I496" s="115" t="s">
        <v>82</v>
      </c>
    </row>
    <row r="497" spans="1:9" ht="13">
      <c r="A497" s="114">
        <v>46169</v>
      </c>
      <c r="B497" s="115">
        <v>7002621576</v>
      </c>
      <c r="C497" s="115" t="s">
        <v>530</v>
      </c>
      <c r="D497" s="115" t="s">
        <v>479</v>
      </c>
      <c r="E497" s="115" t="s">
        <v>470</v>
      </c>
      <c r="F497" s="115" t="s">
        <v>102</v>
      </c>
      <c r="G497" s="115">
        <v>1</v>
      </c>
      <c r="H497" s="115" t="s">
        <v>472</v>
      </c>
      <c r="I497" s="115" t="s">
        <v>82</v>
      </c>
    </row>
    <row r="498" spans="1:9" ht="13">
      <c r="A498" s="114">
        <v>46169</v>
      </c>
      <c r="B498" s="115">
        <v>7002628528</v>
      </c>
      <c r="C498" s="115" t="s">
        <v>530</v>
      </c>
      <c r="D498" s="115" t="s">
        <v>479</v>
      </c>
      <c r="E498" s="115" t="s">
        <v>470</v>
      </c>
      <c r="F498" s="115" t="s">
        <v>102</v>
      </c>
      <c r="G498" s="115">
        <v>11</v>
      </c>
      <c r="H498" s="115" t="s">
        <v>472</v>
      </c>
      <c r="I498" s="115" t="s">
        <v>82</v>
      </c>
    </row>
    <row r="499" spans="1:9" ht="13">
      <c r="A499" s="114">
        <v>46169</v>
      </c>
      <c r="B499" s="115">
        <v>7002621485</v>
      </c>
      <c r="C499" s="115" t="s">
        <v>530</v>
      </c>
      <c r="D499" s="115" t="s">
        <v>474</v>
      </c>
      <c r="E499" s="115" t="s">
        <v>98</v>
      </c>
      <c r="F499" s="115" t="s">
        <v>102</v>
      </c>
      <c r="G499" s="115">
        <v>1</v>
      </c>
      <c r="H499" s="115" t="s">
        <v>472</v>
      </c>
      <c r="I499" s="115" t="s">
        <v>82</v>
      </c>
    </row>
    <row r="500" spans="1:9" ht="13">
      <c r="A500" s="114">
        <v>46169</v>
      </c>
      <c r="B500" s="115">
        <v>7002627481</v>
      </c>
      <c r="C500" s="115" t="s">
        <v>530</v>
      </c>
      <c r="D500" s="115" t="s">
        <v>515</v>
      </c>
      <c r="E500" s="115" t="s">
        <v>470</v>
      </c>
      <c r="F500" s="115" t="s">
        <v>102</v>
      </c>
      <c r="G500" s="115">
        <v>31</v>
      </c>
      <c r="H500" s="115" t="s">
        <v>472</v>
      </c>
      <c r="I500" s="115" t="s">
        <v>82</v>
      </c>
    </row>
    <row r="501" spans="1:9" ht="13">
      <c r="A501" s="114">
        <v>46169</v>
      </c>
      <c r="B501" s="115">
        <v>7002602646</v>
      </c>
      <c r="C501" s="115" t="s">
        <v>530</v>
      </c>
      <c r="D501" s="115" t="s">
        <v>479</v>
      </c>
      <c r="E501" s="115" t="s">
        <v>470</v>
      </c>
      <c r="F501" s="115" t="s">
        <v>102</v>
      </c>
      <c r="G501" s="115">
        <v>1</v>
      </c>
      <c r="H501" s="115" t="s">
        <v>472</v>
      </c>
      <c r="I501" s="115" t="s">
        <v>82</v>
      </c>
    </row>
    <row r="502" spans="1:9" ht="13">
      <c r="A502" s="114">
        <v>46169</v>
      </c>
      <c r="B502" s="115">
        <v>7002605657</v>
      </c>
      <c r="C502" s="115" t="s">
        <v>530</v>
      </c>
      <c r="D502" s="115" t="s">
        <v>479</v>
      </c>
      <c r="E502" s="115" t="s">
        <v>470</v>
      </c>
      <c r="F502" s="115" t="s">
        <v>102</v>
      </c>
      <c r="G502" s="115">
        <v>1</v>
      </c>
      <c r="H502" s="115" t="s">
        <v>472</v>
      </c>
      <c r="I502" s="115" t="s">
        <v>82</v>
      </c>
    </row>
    <row r="503" spans="1:9" ht="13">
      <c r="A503" s="114">
        <v>46169</v>
      </c>
      <c r="B503" s="115">
        <v>7002606691</v>
      </c>
      <c r="C503" s="115" t="s">
        <v>530</v>
      </c>
      <c r="D503" s="115" t="s">
        <v>479</v>
      </c>
      <c r="E503" s="115" t="s">
        <v>470</v>
      </c>
      <c r="F503" s="115" t="s">
        <v>102</v>
      </c>
      <c r="G503" s="115">
        <v>1</v>
      </c>
      <c r="H503" s="115" t="s">
        <v>472</v>
      </c>
      <c r="I503" s="115" t="s">
        <v>82</v>
      </c>
    </row>
    <row r="504" spans="1:9" ht="13">
      <c r="A504" s="114">
        <v>46169</v>
      </c>
      <c r="B504" s="115">
        <v>7002608686</v>
      </c>
      <c r="C504" s="115" t="s">
        <v>530</v>
      </c>
      <c r="D504" s="115" t="s">
        <v>479</v>
      </c>
      <c r="E504" s="115" t="s">
        <v>470</v>
      </c>
      <c r="F504" s="115" t="s">
        <v>102</v>
      </c>
      <c r="G504" s="115">
        <v>1</v>
      </c>
      <c r="H504" s="115" t="s">
        <v>472</v>
      </c>
      <c r="I504" s="115" t="s">
        <v>82</v>
      </c>
    </row>
    <row r="505" spans="1:9" ht="13">
      <c r="A505" s="114">
        <v>46169</v>
      </c>
      <c r="B505" s="115">
        <v>7002600713</v>
      </c>
      <c r="C505" s="115" t="s">
        <v>530</v>
      </c>
      <c r="D505" s="115" t="s">
        <v>474</v>
      </c>
      <c r="E505" s="115" t="s">
        <v>454</v>
      </c>
      <c r="F505" s="115" t="s">
        <v>102</v>
      </c>
      <c r="G505" s="115">
        <v>1</v>
      </c>
      <c r="H505" s="115" t="s">
        <v>472</v>
      </c>
      <c r="I505" s="115" t="s">
        <v>82</v>
      </c>
    </row>
    <row r="506" spans="1:9" ht="13">
      <c r="A506" s="114">
        <v>46169</v>
      </c>
      <c r="B506" s="115">
        <v>7002604733</v>
      </c>
      <c r="C506" s="115" t="s">
        <v>530</v>
      </c>
      <c r="D506" s="115" t="s">
        <v>474</v>
      </c>
      <c r="E506" s="115" t="s">
        <v>454</v>
      </c>
      <c r="F506" s="115" t="s">
        <v>102</v>
      </c>
      <c r="G506" s="115">
        <v>1</v>
      </c>
      <c r="H506" s="115" t="s">
        <v>472</v>
      </c>
      <c r="I506" s="115" t="s">
        <v>82</v>
      </c>
    </row>
    <row r="507" spans="1:9" ht="13">
      <c r="A507" s="114">
        <v>46169</v>
      </c>
      <c r="B507" s="115">
        <v>7002604767</v>
      </c>
      <c r="C507" s="115" t="s">
        <v>530</v>
      </c>
      <c r="D507" s="115" t="s">
        <v>474</v>
      </c>
      <c r="E507" s="115" t="s">
        <v>454</v>
      </c>
      <c r="F507" s="115" t="s">
        <v>102</v>
      </c>
      <c r="G507" s="115">
        <v>1</v>
      </c>
      <c r="H507" s="115" t="s">
        <v>472</v>
      </c>
      <c r="I507" s="115" t="s">
        <v>82</v>
      </c>
    </row>
    <row r="508" spans="1:9" ht="13">
      <c r="A508" s="114">
        <v>46169</v>
      </c>
      <c r="B508" s="115">
        <v>7002610073</v>
      </c>
      <c r="C508" s="115" t="s">
        <v>530</v>
      </c>
      <c r="D508" s="115" t="s">
        <v>515</v>
      </c>
      <c r="E508" s="115" t="s">
        <v>470</v>
      </c>
      <c r="F508" s="115" t="s">
        <v>102</v>
      </c>
      <c r="G508" s="115">
        <v>1</v>
      </c>
      <c r="H508" s="115" t="s">
        <v>472</v>
      </c>
      <c r="I508" s="115" t="s">
        <v>82</v>
      </c>
    </row>
    <row r="509" spans="1:9" ht="13">
      <c r="A509" s="114">
        <v>46169</v>
      </c>
      <c r="B509" s="115">
        <v>7002622458</v>
      </c>
      <c r="C509" s="115" t="s">
        <v>530</v>
      </c>
      <c r="D509" s="115" t="s">
        <v>474</v>
      </c>
      <c r="E509" s="115" t="s">
        <v>91</v>
      </c>
      <c r="F509" s="115" t="s">
        <v>102</v>
      </c>
      <c r="G509" s="115">
        <v>1</v>
      </c>
      <c r="H509" s="115" t="s">
        <v>472</v>
      </c>
      <c r="I509" s="115" t="s">
        <v>82</v>
      </c>
    </row>
    <row r="510" spans="1:9" ht="13">
      <c r="A510" s="114">
        <v>46169</v>
      </c>
      <c r="B510" s="115">
        <v>7002614151</v>
      </c>
      <c r="C510" s="115" t="s">
        <v>530</v>
      </c>
      <c r="D510" s="115" t="s">
        <v>474</v>
      </c>
      <c r="E510" s="115" t="s">
        <v>91</v>
      </c>
      <c r="F510" s="115" t="s">
        <v>102</v>
      </c>
      <c r="G510" s="115">
        <v>2</v>
      </c>
      <c r="H510" s="115" t="s">
        <v>472</v>
      </c>
      <c r="I510" s="115" t="s">
        <v>82</v>
      </c>
    </row>
    <row r="511" spans="1:9" ht="13">
      <c r="A511" s="114">
        <v>46169</v>
      </c>
      <c r="B511" s="115">
        <v>7002622443</v>
      </c>
      <c r="C511" s="115" t="s">
        <v>530</v>
      </c>
      <c r="D511" s="115" t="s">
        <v>479</v>
      </c>
      <c r="E511" s="115" t="s">
        <v>103</v>
      </c>
      <c r="F511" s="115" t="s">
        <v>102</v>
      </c>
      <c r="G511" s="115">
        <v>1</v>
      </c>
      <c r="H511" s="115" t="s">
        <v>472</v>
      </c>
      <c r="I511" s="115" t="s">
        <v>82</v>
      </c>
    </row>
    <row r="512" spans="1:9" ht="13">
      <c r="A512" s="114">
        <v>46169</v>
      </c>
      <c r="B512" s="115">
        <v>7002620367</v>
      </c>
      <c r="C512" s="115" t="s">
        <v>530</v>
      </c>
      <c r="D512" s="115" t="s">
        <v>474</v>
      </c>
      <c r="E512" s="115" t="s">
        <v>533</v>
      </c>
      <c r="F512" s="115" t="s">
        <v>107</v>
      </c>
      <c r="G512" s="115">
        <v>1</v>
      </c>
      <c r="H512" s="115" t="s">
        <v>472</v>
      </c>
      <c r="I512" s="115" t="s">
        <v>82</v>
      </c>
    </row>
    <row r="513" spans="1:9" ht="13">
      <c r="A513" s="114">
        <v>46169</v>
      </c>
      <c r="B513" s="115">
        <v>7002613446</v>
      </c>
      <c r="C513" s="115" t="s">
        <v>530</v>
      </c>
      <c r="D513" s="115" t="s">
        <v>474</v>
      </c>
      <c r="E513" s="115" t="s">
        <v>463</v>
      </c>
      <c r="F513" s="115" t="s">
        <v>102</v>
      </c>
      <c r="G513" s="115">
        <v>1</v>
      </c>
      <c r="H513" s="115" t="s">
        <v>472</v>
      </c>
      <c r="I513" s="115" t="s">
        <v>82</v>
      </c>
    </row>
    <row r="514" spans="1:9" ht="13">
      <c r="A514" s="114">
        <v>46169</v>
      </c>
      <c r="B514" s="115">
        <v>7002611495</v>
      </c>
      <c r="C514" s="115" t="s">
        <v>530</v>
      </c>
      <c r="D514" s="115" t="s">
        <v>474</v>
      </c>
      <c r="E514" s="115" t="s">
        <v>98</v>
      </c>
      <c r="F514" s="115" t="s">
        <v>102</v>
      </c>
      <c r="G514" s="115">
        <v>2</v>
      </c>
      <c r="H514" s="115" t="s">
        <v>472</v>
      </c>
      <c r="I514" s="115" t="s">
        <v>82</v>
      </c>
    </row>
    <row r="515" spans="1:9" ht="13">
      <c r="A515" s="114">
        <v>46169</v>
      </c>
      <c r="B515" s="115">
        <v>7002618485</v>
      </c>
      <c r="C515" s="115" t="s">
        <v>530</v>
      </c>
      <c r="D515" s="115" t="s">
        <v>474</v>
      </c>
      <c r="E515" s="115" t="s">
        <v>91</v>
      </c>
      <c r="F515" s="115" t="s">
        <v>102</v>
      </c>
      <c r="G515" s="115">
        <v>1</v>
      </c>
      <c r="H515" s="115" t="s">
        <v>472</v>
      </c>
      <c r="I515" s="115" t="s">
        <v>82</v>
      </c>
    </row>
    <row r="516" spans="1:9" ht="13">
      <c r="A516" s="114">
        <v>46169</v>
      </c>
      <c r="B516" s="115">
        <v>7002616505</v>
      </c>
      <c r="C516" s="115" t="s">
        <v>530</v>
      </c>
      <c r="D516" s="115" t="s">
        <v>474</v>
      </c>
      <c r="E516" s="115" t="s">
        <v>98</v>
      </c>
      <c r="F516" s="115" t="s">
        <v>102</v>
      </c>
      <c r="G516" s="115">
        <v>1</v>
      </c>
      <c r="H516" s="115" t="s">
        <v>472</v>
      </c>
      <c r="I516" s="115" t="s">
        <v>82</v>
      </c>
    </row>
    <row r="517" spans="1:9" ht="13">
      <c r="A517" s="114">
        <v>46169</v>
      </c>
      <c r="B517" s="115">
        <v>7002612499</v>
      </c>
      <c r="C517" s="115" t="s">
        <v>530</v>
      </c>
      <c r="D517" s="115" t="s">
        <v>474</v>
      </c>
      <c r="E517" s="115" t="s">
        <v>463</v>
      </c>
      <c r="F517" s="115" t="s">
        <v>102</v>
      </c>
      <c r="G517" s="115">
        <v>1</v>
      </c>
      <c r="H517" s="115" t="s">
        <v>472</v>
      </c>
      <c r="I517" s="115" t="s">
        <v>82</v>
      </c>
    </row>
    <row r="518" spans="1:9" ht="13">
      <c r="A518" s="114">
        <v>46169</v>
      </c>
      <c r="B518" s="115">
        <v>7002613503</v>
      </c>
      <c r="C518" s="115" t="s">
        <v>530</v>
      </c>
      <c r="D518" s="115" t="s">
        <v>474</v>
      </c>
      <c r="E518" s="115" t="s">
        <v>463</v>
      </c>
      <c r="F518" s="115" t="s">
        <v>102</v>
      </c>
      <c r="G518" s="115">
        <v>1</v>
      </c>
      <c r="H518" s="115" t="s">
        <v>472</v>
      </c>
      <c r="I518" s="115" t="s">
        <v>82</v>
      </c>
    </row>
    <row r="519" spans="1:9" ht="13">
      <c r="A519" s="114">
        <v>46169</v>
      </c>
      <c r="B519" s="115">
        <v>7002615509</v>
      </c>
      <c r="C519" s="115" t="s">
        <v>530</v>
      </c>
      <c r="D519" s="115" t="s">
        <v>474</v>
      </c>
      <c r="E519" s="115" t="s">
        <v>463</v>
      </c>
      <c r="F519" s="115" t="s">
        <v>102</v>
      </c>
      <c r="G519" s="115">
        <v>11</v>
      </c>
      <c r="H519" s="115" t="s">
        <v>472</v>
      </c>
      <c r="I519" s="115" t="s">
        <v>82</v>
      </c>
    </row>
    <row r="520" spans="1:9" ht="13">
      <c r="A520" s="114">
        <v>46169</v>
      </c>
      <c r="B520" s="115">
        <v>7002616522</v>
      </c>
      <c r="C520" s="115" t="s">
        <v>530</v>
      </c>
      <c r="D520" s="115" t="s">
        <v>474</v>
      </c>
      <c r="E520" s="115" t="s">
        <v>463</v>
      </c>
      <c r="F520" s="115" t="s">
        <v>102</v>
      </c>
      <c r="G520" s="115">
        <v>1</v>
      </c>
      <c r="H520" s="115" t="s">
        <v>472</v>
      </c>
      <c r="I520" s="115" t="s">
        <v>82</v>
      </c>
    </row>
    <row r="521" spans="1:9" ht="13">
      <c r="A521" s="114">
        <v>46169</v>
      </c>
      <c r="B521" s="115">
        <v>7002610540</v>
      </c>
      <c r="C521" s="115" t="s">
        <v>530</v>
      </c>
      <c r="D521" s="115" t="s">
        <v>474</v>
      </c>
      <c r="E521" s="115" t="s">
        <v>463</v>
      </c>
      <c r="F521" s="115" t="s">
        <v>102</v>
      </c>
      <c r="G521" s="115">
        <v>1</v>
      </c>
      <c r="H521" s="115" t="s">
        <v>472</v>
      </c>
      <c r="I521" s="115" t="s">
        <v>82</v>
      </c>
    </row>
    <row r="522" spans="1:9" ht="13">
      <c r="A522" s="114">
        <v>46169</v>
      </c>
      <c r="B522" s="115">
        <v>7002629304</v>
      </c>
      <c r="C522" s="115" t="s">
        <v>530</v>
      </c>
      <c r="D522" s="115" t="s">
        <v>474</v>
      </c>
      <c r="E522" s="115" t="s">
        <v>528</v>
      </c>
      <c r="F522" s="115" t="s">
        <v>102</v>
      </c>
      <c r="G522" s="115">
        <v>4</v>
      </c>
      <c r="H522" s="115" t="s">
        <v>472</v>
      </c>
      <c r="I522" s="115" t="s">
        <v>82</v>
      </c>
    </row>
    <row r="523" spans="1:9" ht="13">
      <c r="A523" s="114">
        <v>46169</v>
      </c>
      <c r="B523" s="115">
        <v>7002610593</v>
      </c>
      <c r="C523" s="115" t="s">
        <v>530</v>
      </c>
      <c r="D523" s="115" t="s">
        <v>479</v>
      </c>
      <c r="E523" s="115" t="s">
        <v>103</v>
      </c>
      <c r="F523" s="115" t="s">
        <v>102</v>
      </c>
      <c r="G523" s="115">
        <v>22</v>
      </c>
      <c r="H523" s="115" t="s">
        <v>472</v>
      </c>
      <c r="I523" s="115" t="s">
        <v>82</v>
      </c>
    </row>
    <row r="524" spans="1:9" ht="13">
      <c r="A524" s="114">
        <v>46169</v>
      </c>
      <c r="B524" s="115">
        <v>7002626282</v>
      </c>
      <c r="C524" s="115" t="s">
        <v>530</v>
      </c>
      <c r="D524" s="115" t="s">
        <v>474</v>
      </c>
      <c r="E524" s="115" t="s">
        <v>454</v>
      </c>
      <c r="F524" s="115" t="s">
        <v>102</v>
      </c>
      <c r="G524" s="115">
        <v>9</v>
      </c>
      <c r="H524" s="115" t="s">
        <v>472</v>
      </c>
      <c r="I524" s="115" t="s">
        <v>82</v>
      </c>
    </row>
    <row r="525" spans="1:9" ht="13">
      <c r="A525" s="114">
        <v>46169</v>
      </c>
      <c r="B525" s="115">
        <v>7002628221</v>
      </c>
      <c r="C525" s="115" t="s">
        <v>530</v>
      </c>
      <c r="D525" s="115" t="s">
        <v>474</v>
      </c>
      <c r="E525" s="115" t="s">
        <v>463</v>
      </c>
      <c r="F525" s="115" t="s">
        <v>115</v>
      </c>
      <c r="G525" s="115">
        <v>1</v>
      </c>
      <c r="H525" s="115" t="s">
        <v>472</v>
      </c>
      <c r="I525" s="115" t="s">
        <v>82</v>
      </c>
    </row>
    <row r="526" spans="1:9" ht="13">
      <c r="A526" s="114">
        <v>46169</v>
      </c>
      <c r="B526" s="115">
        <v>7002627220</v>
      </c>
      <c r="C526" s="115" t="s">
        <v>530</v>
      </c>
      <c r="D526" s="115" t="s">
        <v>474</v>
      </c>
      <c r="E526" s="115" t="s">
        <v>463</v>
      </c>
      <c r="F526" s="115" t="s">
        <v>115</v>
      </c>
      <c r="G526" s="115">
        <v>3</v>
      </c>
      <c r="H526" s="115" t="s">
        <v>472</v>
      </c>
      <c r="I526" s="115" t="s">
        <v>82</v>
      </c>
    </row>
    <row r="527" spans="1:9" ht="13">
      <c r="A527" s="114">
        <v>46169</v>
      </c>
      <c r="B527" s="115">
        <v>7002622218</v>
      </c>
      <c r="C527" s="115" t="s">
        <v>530</v>
      </c>
      <c r="D527" s="115" t="s">
        <v>474</v>
      </c>
      <c r="E527" s="115" t="s">
        <v>463</v>
      </c>
      <c r="F527" s="115" t="s">
        <v>115</v>
      </c>
      <c r="G527" s="115">
        <v>1</v>
      </c>
      <c r="H527" s="115" t="s">
        <v>472</v>
      </c>
      <c r="I527" s="115" t="s">
        <v>82</v>
      </c>
    </row>
    <row r="528" spans="1:9" ht="13">
      <c r="A528" s="114">
        <v>46169</v>
      </c>
      <c r="B528" s="115">
        <v>7002621219</v>
      </c>
      <c r="C528" s="115" t="s">
        <v>530</v>
      </c>
      <c r="D528" s="115" t="s">
        <v>474</v>
      </c>
      <c r="E528" s="115" t="s">
        <v>463</v>
      </c>
      <c r="F528" s="115" t="s">
        <v>115</v>
      </c>
      <c r="G528" s="115">
        <v>5</v>
      </c>
      <c r="H528" s="115" t="s">
        <v>472</v>
      </c>
      <c r="I528" s="115" t="s">
        <v>82</v>
      </c>
    </row>
    <row r="529" spans="1:9" ht="13">
      <c r="A529" s="114">
        <v>46169</v>
      </c>
      <c r="B529" s="115">
        <v>7002624216</v>
      </c>
      <c r="C529" s="115" t="s">
        <v>530</v>
      </c>
      <c r="D529" s="115" t="s">
        <v>474</v>
      </c>
      <c r="E529" s="115" t="s">
        <v>463</v>
      </c>
      <c r="F529" s="115" t="s">
        <v>115</v>
      </c>
      <c r="G529" s="115">
        <v>1</v>
      </c>
      <c r="H529" s="115" t="s">
        <v>472</v>
      </c>
      <c r="I529" s="115" t="s">
        <v>82</v>
      </c>
    </row>
    <row r="530" spans="1:9" ht="13">
      <c r="A530" s="114">
        <v>46169</v>
      </c>
      <c r="B530" s="115">
        <v>7002623217</v>
      </c>
      <c r="C530" s="115" t="s">
        <v>530</v>
      </c>
      <c r="D530" s="115" t="s">
        <v>474</v>
      </c>
      <c r="E530" s="115" t="s">
        <v>463</v>
      </c>
      <c r="F530" s="115" t="s">
        <v>115</v>
      </c>
      <c r="G530" s="115">
        <v>2</v>
      </c>
      <c r="H530" s="115" t="s">
        <v>472</v>
      </c>
      <c r="I530" s="115" t="s">
        <v>82</v>
      </c>
    </row>
    <row r="531" spans="1:9" ht="13">
      <c r="A531" s="114">
        <v>46169</v>
      </c>
      <c r="B531" s="115">
        <v>7002619747</v>
      </c>
      <c r="C531" s="115" t="s">
        <v>530</v>
      </c>
      <c r="D531" s="115" t="s">
        <v>474</v>
      </c>
      <c r="E531" s="115" t="s">
        <v>98</v>
      </c>
      <c r="F531" s="115" t="s">
        <v>102</v>
      </c>
      <c r="G531" s="115">
        <v>4</v>
      </c>
      <c r="H531" s="115" t="s">
        <v>472</v>
      </c>
      <c r="I531" s="115" t="s">
        <v>82</v>
      </c>
    </row>
    <row r="532" spans="1:9" ht="13">
      <c r="A532" s="114">
        <v>46169</v>
      </c>
      <c r="B532" s="115">
        <v>7002616943</v>
      </c>
      <c r="C532" s="115" t="s">
        <v>530</v>
      </c>
      <c r="D532" s="115" t="s">
        <v>479</v>
      </c>
      <c r="E532" s="115" t="s">
        <v>470</v>
      </c>
      <c r="F532" s="115" t="s">
        <v>102</v>
      </c>
      <c r="G532" s="115">
        <v>2</v>
      </c>
      <c r="H532" s="115" t="s">
        <v>472</v>
      </c>
      <c r="I532" s="115" t="s">
        <v>82</v>
      </c>
    </row>
    <row r="533" spans="1:9" ht="13">
      <c r="A533" s="114">
        <v>46169</v>
      </c>
      <c r="B533" s="115">
        <v>7002612914</v>
      </c>
      <c r="C533" s="115" t="s">
        <v>530</v>
      </c>
      <c r="D533" s="115" t="s">
        <v>495</v>
      </c>
      <c r="E533" s="115" t="s">
        <v>103</v>
      </c>
      <c r="F533" s="115" t="s">
        <v>102</v>
      </c>
      <c r="G533" s="115">
        <v>2</v>
      </c>
      <c r="H533" s="115" t="s">
        <v>472</v>
      </c>
      <c r="I533" s="115" t="s">
        <v>82</v>
      </c>
    </row>
    <row r="534" spans="1:9" ht="13">
      <c r="A534" s="114">
        <v>46169</v>
      </c>
      <c r="B534" s="115">
        <v>7002578813</v>
      </c>
      <c r="C534" s="115" t="s">
        <v>530</v>
      </c>
      <c r="D534" s="115" t="s">
        <v>474</v>
      </c>
      <c r="E534" s="115" t="s">
        <v>454</v>
      </c>
      <c r="F534" s="115" t="s">
        <v>102</v>
      </c>
      <c r="G534" s="115">
        <v>2</v>
      </c>
      <c r="H534" s="115" t="s">
        <v>472</v>
      </c>
      <c r="I534" s="115" t="s">
        <v>505</v>
      </c>
    </row>
    <row r="535" spans="1:9" ht="13">
      <c r="A535" s="114">
        <v>46169</v>
      </c>
      <c r="B535" s="115">
        <v>7002580895</v>
      </c>
      <c r="C535" s="115" t="s">
        <v>530</v>
      </c>
      <c r="D535" s="115" t="s">
        <v>474</v>
      </c>
      <c r="E535" s="115" t="s">
        <v>454</v>
      </c>
      <c r="F535" s="115" t="s">
        <v>102</v>
      </c>
      <c r="G535" s="115">
        <v>56</v>
      </c>
      <c r="H535" s="115" t="s">
        <v>472</v>
      </c>
      <c r="I535" s="115" t="s">
        <v>505</v>
      </c>
    </row>
    <row r="536" spans="1:9" ht="13">
      <c r="A536" s="114">
        <v>46169</v>
      </c>
      <c r="B536" s="115">
        <v>7002592855</v>
      </c>
      <c r="C536" s="115" t="s">
        <v>530</v>
      </c>
      <c r="D536" s="115" t="s">
        <v>474</v>
      </c>
      <c r="E536" s="115" t="s">
        <v>98</v>
      </c>
      <c r="F536" s="115" t="s">
        <v>102</v>
      </c>
      <c r="G536" s="115">
        <v>3</v>
      </c>
      <c r="H536" s="115" t="s">
        <v>472</v>
      </c>
      <c r="I536" s="115" t="s">
        <v>505</v>
      </c>
    </row>
    <row r="537" spans="1:9" ht="13">
      <c r="A537" s="114">
        <v>46169</v>
      </c>
      <c r="B537" s="115">
        <v>7002606725</v>
      </c>
      <c r="C537" s="115" t="s">
        <v>530</v>
      </c>
      <c r="D537" s="115" t="s">
        <v>474</v>
      </c>
      <c r="E537" s="115" t="s">
        <v>91</v>
      </c>
      <c r="F537" s="115" t="s">
        <v>102</v>
      </c>
      <c r="G537" s="115">
        <v>80</v>
      </c>
      <c r="H537" s="115" t="s">
        <v>472</v>
      </c>
      <c r="I537" s="115" t="s">
        <v>505</v>
      </c>
    </row>
    <row r="538" spans="1:9" ht="13">
      <c r="A538" s="114">
        <v>46169</v>
      </c>
      <c r="B538" s="115">
        <v>7002618023</v>
      </c>
      <c r="C538" s="115" t="s">
        <v>530</v>
      </c>
      <c r="D538" s="115" t="s">
        <v>474</v>
      </c>
      <c r="E538" s="115" t="s">
        <v>91</v>
      </c>
      <c r="F538" s="115" t="s">
        <v>102</v>
      </c>
      <c r="G538" s="115">
        <v>1</v>
      </c>
      <c r="H538" s="115" t="s">
        <v>472</v>
      </c>
      <c r="I538" s="115" t="s">
        <v>505</v>
      </c>
    </row>
    <row r="539" spans="1:9" ht="13">
      <c r="A539" s="114">
        <v>46169</v>
      </c>
      <c r="B539" s="115">
        <v>7002556495</v>
      </c>
      <c r="C539" s="115" t="s">
        <v>530</v>
      </c>
      <c r="D539" s="115" t="s">
        <v>474</v>
      </c>
      <c r="E539" s="115" t="s">
        <v>485</v>
      </c>
      <c r="F539" s="115" t="s">
        <v>102</v>
      </c>
      <c r="G539" s="115">
        <v>4</v>
      </c>
      <c r="H539" s="115" t="s">
        <v>472</v>
      </c>
      <c r="I539" s="115" t="s">
        <v>503</v>
      </c>
    </row>
    <row r="540" spans="1:9" ht="13">
      <c r="A540" s="114">
        <v>46169</v>
      </c>
      <c r="B540" s="115">
        <v>7002561230</v>
      </c>
      <c r="C540" s="115" t="s">
        <v>530</v>
      </c>
      <c r="D540" s="115" t="s">
        <v>474</v>
      </c>
      <c r="E540" s="115" t="s">
        <v>463</v>
      </c>
      <c r="F540" s="115" t="s">
        <v>102</v>
      </c>
      <c r="G540" s="115">
        <v>2</v>
      </c>
      <c r="H540" s="115" t="s">
        <v>472</v>
      </c>
      <c r="I540" s="115" t="s">
        <v>503</v>
      </c>
    </row>
    <row r="541" spans="1:9" ht="13">
      <c r="A541" s="114">
        <v>46169</v>
      </c>
      <c r="B541" s="115">
        <v>7002565778</v>
      </c>
      <c r="C541" s="115" t="s">
        <v>530</v>
      </c>
      <c r="D541" s="115" t="s">
        <v>474</v>
      </c>
      <c r="E541" s="115" t="s">
        <v>454</v>
      </c>
      <c r="F541" s="115" t="s">
        <v>102</v>
      </c>
      <c r="G541" s="115">
        <v>1</v>
      </c>
      <c r="H541" s="115" t="s">
        <v>472</v>
      </c>
      <c r="I541" s="115" t="s">
        <v>503</v>
      </c>
    </row>
    <row r="542" spans="1:9" ht="13">
      <c r="A542" s="114">
        <v>46169</v>
      </c>
      <c r="B542" s="115">
        <v>7002578504</v>
      </c>
      <c r="C542" s="115" t="s">
        <v>530</v>
      </c>
      <c r="D542" s="115" t="s">
        <v>474</v>
      </c>
      <c r="E542" s="115" t="s">
        <v>463</v>
      </c>
      <c r="F542" s="115" t="s">
        <v>102</v>
      </c>
      <c r="G542" s="115">
        <v>5</v>
      </c>
      <c r="H542" s="115" t="s">
        <v>472</v>
      </c>
      <c r="I542" s="115" t="s">
        <v>503</v>
      </c>
    </row>
    <row r="543" spans="1:9" ht="13">
      <c r="A543" s="114">
        <v>46169</v>
      </c>
      <c r="B543" s="115">
        <v>7002590185</v>
      </c>
      <c r="C543" s="115" t="s">
        <v>530</v>
      </c>
      <c r="D543" s="115" t="s">
        <v>474</v>
      </c>
      <c r="E543" s="115" t="s">
        <v>98</v>
      </c>
      <c r="F543" s="115" t="s">
        <v>102</v>
      </c>
      <c r="G543" s="115">
        <v>1</v>
      </c>
      <c r="H543" s="115" t="s">
        <v>472</v>
      </c>
      <c r="I543" s="115" t="s">
        <v>503</v>
      </c>
    </row>
    <row r="544" spans="1:9" ht="13">
      <c r="A544" s="114">
        <v>46169</v>
      </c>
      <c r="B544" s="115">
        <v>7002599881</v>
      </c>
      <c r="C544" s="115" t="s">
        <v>530</v>
      </c>
      <c r="D544" s="115" t="s">
        <v>474</v>
      </c>
      <c r="E544" s="115" t="s">
        <v>463</v>
      </c>
      <c r="F544" s="115" t="s">
        <v>102</v>
      </c>
      <c r="G544" s="115">
        <v>4</v>
      </c>
      <c r="H544" s="115" t="s">
        <v>472</v>
      </c>
      <c r="I544" s="115" t="s">
        <v>503</v>
      </c>
    </row>
    <row r="545" spans="1:14" ht="13">
      <c r="A545" s="114">
        <v>46169</v>
      </c>
      <c r="B545" s="115">
        <v>7002594988</v>
      </c>
      <c r="C545" s="115" t="s">
        <v>540</v>
      </c>
      <c r="D545" s="115" t="s">
        <v>474</v>
      </c>
      <c r="E545" s="115" t="s">
        <v>485</v>
      </c>
      <c r="F545" s="115" t="s">
        <v>90</v>
      </c>
      <c r="G545" s="115">
        <v>34</v>
      </c>
      <c r="H545" s="115" t="s">
        <v>475</v>
      </c>
      <c r="I545" s="115" t="s">
        <v>82</v>
      </c>
    </row>
    <row r="546" spans="1:14" ht="13">
      <c r="A546" s="114">
        <v>46169</v>
      </c>
      <c r="B546" s="115">
        <v>7002535753</v>
      </c>
      <c r="C546" s="115" t="s">
        <v>541</v>
      </c>
      <c r="D546" s="115" t="s">
        <v>476</v>
      </c>
      <c r="E546" s="115" t="s">
        <v>98</v>
      </c>
      <c r="F546" s="115" t="s">
        <v>90</v>
      </c>
      <c r="G546" s="115">
        <v>10</v>
      </c>
      <c r="H546" s="115" t="s">
        <v>475</v>
      </c>
      <c r="I546" s="115" t="s">
        <v>82</v>
      </c>
    </row>
    <row r="548" spans="1:14" ht="13">
      <c r="A548" s="105" t="s">
        <v>1</v>
      </c>
      <c r="B548" s="105" t="s">
        <v>445</v>
      </c>
      <c r="C548" s="105" t="s">
        <v>446</v>
      </c>
      <c r="D548" s="105" t="s">
        <v>465</v>
      </c>
      <c r="E548" s="105" t="s">
        <v>70</v>
      </c>
      <c r="F548" s="105" t="s">
        <v>447</v>
      </c>
      <c r="G548" s="105" t="s">
        <v>71</v>
      </c>
      <c r="H548" s="105" t="s">
        <v>466</v>
      </c>
      <c r="I548" s="105" t="s">
        <v>448</v>
      </c>
      <c r="K548" s="223">
        <v>46170</v>
      </c>
      <c r="L548" s="196"/>
      <c r="M548" s="196"/>
      <c r="N548" s="197"/>
    </row>
    <row r="549" spans="1:14" ht="14.5">
      <c r="A549" s="114">
        <v>46170</v>
      </c>
      <c r="B549" s="115">
        <v>7002591986</v>
      </c>
      <c r="C549" s="115" t="s">
        <v>542</v>
      </c>
      <c r="D549" s="115" t="s">
        <v>482</v>
      </c>
      <c r="E549" s="115" t="s">
        <v>485</v>
      </c>
      <c r="F549" s="115" t="s">
        <v>462</v>
      </c>
      <c r="G549" s="115">
        <v>25</v>
      </c>
      <c r="H549" s="115" t="s">
        <v>543</v>
      </c>
      <c r="I549" s="115" t="s">
        <v>82</v>
      </c>
      <c r="K549" s="112" t="s">
        <v>529</v>
      </c>
      <c r="L549" s="112" t="s">
        <v>74</v>
      </c>
      <c r="M549" s="112"/>
      <c r="N549" s="112"/>
    </row>
    <row r="550" spans="1:14" ht="14.5">
      <c r="A550" s="114">
        <v>46170</v>
      </c>
      <c r="B550" s="115">
        <v>7002594753</v>
      </c>
      <c r="C550" s="115" t="s">
        <v>542</v>
      </c>
      <c r="D550" s="115" t="s">
        <v>482</v>
      </c>
      <c r="E550" s="115" t="s">
        <v>461</v>
      </c>
      <c r="F550" s="115" t="s">
        <v>96</v>
      </c>
      <c r="G550" s="115">
        <v>197</v>
      </c>
      <c r="H550" s="115" t="s">
        <v>543</v>
      </c>
      <c r="I550" s="115" t="s">
        <v>505</v>
      </c>
      <c r="K550" s="112" t="s">
        <v>62</v>
      </c>
      <c r="L550" s="112" t="s">
        <v>82</v>
      </c>
      <c r="M550" s="112" t="s">
        <v>505</v>
      </c>
      <c r="N550" s="112" t="s">
        <v>84</v>
      </c>
    </row>
    <row r="551" spans="1:14" ht="14.5">
      <c r="A551" s="114">
        <v>46170</v>
      </c>
      <c r="B551" s="115">
        <v>7002636399</v>
      </c>
      <c r="C551" s="115" t="s">
        <v>544</v>
      </c>
      <c r="D551" s="115" t="s">
        <v>515</v>
      </c>
      <c r="E551" s="115" t="s">
        <v>470</v>
      </c>
      <c r="F551" s="115" t="s">
        <v>122</v>
      </c>
      <c r="G551" s="115">
        <v>10</v>
      </c>
      <c r="H551" s="115" t="s">
        <v>543</v>
      </c>
      <c r="I551" s="115" t="s">
        <v>82</v>
      </c>
      <c r="K551" s="113" t="s">
        <v>545</v>
      </c>
      <c r="L551" s="113">
        <v>170</v>
      </c>
      <c r="M551" s="113">
        <v>24</v>
      </c>
      <c r="N551" s="113">
        <v>194</v>
      </c>
    </row>
    <row r="552" spans="1:14" ht="14.5">
      <c r="A552" s="114">
        <v>46170</v>
      </c>
      <c r="B552" s="115">
        <v>7002550928</v>
      </c>
      <c r="C552" s="115" t="s">
        <v>546</v>
      </c>
      <c r="D552" s="115" t="s">
        <v>474</v>
      </c>
      <c r="E552" s="115" t="s">
        <v>98</v>
      </c>
      <c r="F552" s="115" t="s">
        <v>96</v>
      </c>
      <c r="G552" s="115">
        <v>5</v>
      </c>
      <c r="H552" s="115" t="s">
        <v>543</v>
      </c>
      <c r="I552" s="115" t="s">
        <v>82</v>
      </c>
      <c r="K552" s="103" t="s">
        <v>524</v>
      </c>
      <c r="L552" s="103">
        <v>167</v>
      </c>
      <c r="M552" s="103">
        <v>23</v>
      </c>
      <c r="N552" s="103">
        <v>190</v>
      </c>
    </row>
    <row r="553" spans="1:14" ht="14.5">
      <c r="A553" s="114">
        <v>46170</v>
      </c>
      <c r="B553" s="115">
        <v>7002601749</v>
      </c>
      <c r="C553" s="115" t="s">
        <v>524</v>
      </c>
      <c r="D553" s="115" t="s">
        <v>474</v>
      </c>
      <c r="E553" s="115" t="s">
        <v>454</v>
      </c>
      <c r="F553" s="115" t="s">
        <v>108</v>
      </c>
      <c r="G553" s="115">
        <v>1</v>
      </c>
      <c r="H553" s="115" t="s">
        <v>543</v>
      </c>
      <c r="I553" s="115" t="s">
        <v>82</v>
      </c>
      <c r="K553" s="103" t="s">
        <v>542</v>
      </c>
      <c r="L553" s="103">
        <v>1</v>
      </c>
      <c r="M553" s="103">
        <v>1</v>
      </c>
      <c r="N553" s="103">
        <v>2</v>
      </c>
    </row>
    <row r="554" spans="1:14" ht="14.5">
      <c r="A554" s="114">
        <v>46170</v>
      </c>
      <c r="B554" s="115">
        <v>7002610726</v>
      </c>
      <c r="C554" s="115" t="s">
        <v>524</v>
      </c>
      <c r="D554" s="115" t="s">
        <v>474</v>
      </c>
      <c r="E554" s="115" t="s">
        <v>463</v>
      </c>
      <c r="F554" s="115" t="s">
        <v>462</v>
      </c>
      <c r="G554" s="115">
        <v>1</v>
      </c>
      <c r="H554" s="115" t="s">
        <v>543</v>
      </c>
      <c r="I554" s="115" t="s">
        <v>82</v>
      </c>
      <c r="K554" s="103" t="s">
        <v>546</v>
      </c>
      <c r="L554" s="103">
        <v>1</v>
      </c>
      <c r="M554" s="103"/>
      <c r="N554" s="103">
        <v>1</v>
      </c>
    </row>
    <row r="555" spans="1:14" ht="14.5">
      <c r="A555" s="114">
        <v>46170</v>
      </c>
      <c r="B555" s="115">
        <v>7002610810</v>
      </c>
      <c r="C555" s="115" t="s">
        <v>524</v>
      </c>
      <c r="D555" s="115" t="s">
        <v>474</v>
      </c>
      <c r="E555" s="115" t="s">
        <v>454</v>
      </c>
      <c r="F555" s="115" t="s">
        <v>108</v>
      </c>
      <c r="G555" s="115">
        <v>1</v>
      </c>
      <c r="H555" s="115" t="s">
        <v>543</v>
      </c>
      <c r="I555" s="115" t="s">
        <v>82</v>
      </c>
      <c r="K555" s="103" t="s">
        <v>544</v>
      </c>
      <c r="L555" s="103">
        <v>1</v>
      </c>
      <c r="M555" s="103"/>
      <c r="N555" s="103">
        <v>1</v>
      </c>
    </row>
    <row r="556" spans="1:14" ht="14.5">
      <c r="A556" s="114">
        <v>46170</v>
      </c>
      <c r="B556" s="115">
        <v>7002611851</v>
      </c>
      <c r="C556" s="115" t="s">
        <v>524</v>
      </c>
      <c r="D556" s="115" t="s">
        <v>474</v>
      </c>
      <c r="E556" s="115" t="s">
        <v>454</v>
      </c>
      <c r="F556" s="115" t="s">
        <v>462</v>
      </c>
      <c r="G556" s="115">
        <v>1</v>
      </c>
      <c r="H556" s="115" t="s">
        <v>543</v>
      </c>
      <c r="I556" s="115" t="s">
        <v>82</v>
      </c>
      <c r="K556" s="112" t="s">
        <v>84</v>
      </c>
      <c r="L556" s="112">
        <v>170</v>
      </c>
      <c r="M556" s="112">
        <v>24</v>
      </c>
      <c r="N556" s="112">
        <v>194</v>
      </c>
    </row>
    <row r="557" spans="1:14" ht="13">
      <c r="A557" s="114">
        <v>46170</v>
      </c>
      <c r="B557" s="115">
        <v>7002612786</v>
      </c>
      <c r="C557" s="115" t="s">
        <v>524</v>
      </c>
      <c r="D557" s="115" t="s">
        <v>474</v>
      </c>
      <c r="E557" s="115" t="s">
        <v>454</v>
      </c>
      <c r="F557" s="115" t="s">
        <v>462</v>
      </c>
      <c r="G557" s="115">
        <v>3</v>
      </c>
      <c r="H557" s="115" t="s">
        <v>543</v>
      </c>
      <c r="I557" s="115" t="s">
        <v>82</v>
      </c>
    </row>
    <row r="558" spans="1:14" ht="13">
      <c r="A558" s="114">
        <v>46170</v>
      </c>
      <c r="B558" s="115">
        <v>7002612905</v>
      </c>
      <c r="C558" s="115" t="s">
        <v>524</v>
      </c>
      <c r="D558" s="115" t="s">
        <v>474</v>
      </c>
      <c r="E558" s="115" t="s">
        <v>486</v>
      </c>
      <c r="F558" s="115" t="s">
        <v>112</v>
      </c>
      <c r="G558" s="115">
        <v>1</v>
      </c>
      <c r="H558" s="115" t="s">
        <v>543</v>
      </c>
      <c r="I558" s="115" t="s">
        <v>82</v>
      </c>
    </row>
    <row r="559" spans="1:14" ht="13">
      <c r="A559" s="114">
        <v>46170</v>
      </c>
      <c r="B559" s="115">
        <v>7002614114</v>
      </c>
      <c r="C559" s="115" t="s">
        <v>524</v>
      </c>
      <c r="D559" s="115" t="s">
        <v>474</v>
      </c>
      <c r="E559" s="115" t="s">
        <v>547</v>
      </c>
      <c r="F559" s="115" t="s">
        <v>108</v>
      </c>
      <c r="G559" s="115">
        <v>10</v>
      </c>
      <c r="H559" s="115" t="s">
        <v>543</v>
      </c>
      <c r="I559" s="115" t="s">
        <v>82</v>
      </c>
    </row>
    <row r="560" spans="1:14" ht="13">
      <c r="A560" s="114">
        <v>46170</v>
      </c>
      <c r="B560" s="115">
        <v>7002616567</v>
      </c>
      <c r="C560" s="115" t="s">
        <v>524</v>
      </c>
      <c r="D560" s="115" t="s">
        <v>474</v>
      </c>
      <c r="E560" s="115" t="s">
        <v>454</v>
      </c>
      <c r="F560" s="115" t="s">
        <v>108</v>
      </c>
      <c r="G560" s="115">
        <v>2</v>
      </c>
      <c r="H560" s="115" t="s">
        <v>543</v>
      </c>
      <c r="I560" s="115" t="s">
        <v>82</v>
      </c>
    </row>
    <row r="561" spans="1:9" ht="13">
      <c r="A561" s="114">
        <v>46170</v>
      </c>
      <c r="B561" s="115">
        <v>7002616816</v>
      </c>
      <c r="C561" s="115" t="s">
        <v>524</v>
      </c>
      <c r="D561" s="115" t="s">
        <v>474</v>
      </c>
      <c r="E561" s="115" t="s">
        <v>454</v>
      </c>
      <c r="F561" s="115" t="s">
        <v>462</v>
      </c>
      <c r="G561" s="115">
        <v>1</v>
      </c>
      <c r="H561" s="115" t="s">
        <v>543</v>
      </c>
      <c r="I561" s="115" t="s">
        <v>82</v>
      </c>
    </row>
    <row r="562" spans="1:9" ht="13">
      <c r="A562" s="114">
        <v>46170</v>
      </c>
      <c r="B562" s="115">
        <v>7002617383</v>
      </c>
      <c r="C562" s="115" t="s">
        <v>524</v>
      </c>
      <c r="D562" s="115" t="s">
        <v>474</v>
      </c>
      <c r="E562" s="115" t="s">
        <v>486</v>
      </c>
      <c r="F562" s="115" t="s">
        <v>462</v>
      </c>
      <c r="G562" s="115">
        <v>5</v>
      </c>
      <c r="H562" s="115" t="s">
        <v>543</v>
      </c>
      <c r="I562" s="115" t="s">
        <v>82</v>
      </c>
    </row>
    <row r="563" spans="1:9" ht="13">
      <c r="A563" s="114">
        <v>46170</v>
      </c>
      <c r="B563" s="115">
        <v>7002617695</v>
      </c>
      <c r="C563" s="115" t="s">
        <v>524</v>
      </c>
      <c r="D563" s="115" t="s">
        <v>479</v>
      </c>
      <c r="E563" s="115" t="s">
        <v>103</v>
      </c>
      <c r="F563" s="115" t="s">
        <v>462</v>
      </c>
      <c r="G563" s="115">
        <v>100</v>
      </c>
      <c r="H563" s="115" t="s">
        <v>543</v>
      </c>
      <c r="I563" s="115" t="s">
        <v>82</v>
      </c>
    </row>
    <row r="564" spans="1:9" ht="13">
      <c r="A564" s="114">
        <v>46170</v>
      </c>
      <c r="B564" s="115">
        <v>7002617784</v>
      </c>
      <c r="C564" s="115" t="s">
        <v>524</v>
      </c>
      <c r="D564" s="115" t="s">
        <v>474</v>
      </c>
      <c r="E564" s="115" t="s">
        <v>454</v>
      </c>
      <c r="F564" s="115" t="s">
        <v>108</v>
      </c>
      <c r="G564" s="115">
        <v>2</v>
      </c>
      <c r="H564" s="115" t="s">
        <v>543</v>
      </c>
      <c r="I564" s="115" t="s">
        <v>82</v>
      </c>
    </row>
    <row r="565" spans="1:9" ht="13">
      <c r="A565" s="114">
        <v>46170</v>
      </c>
      <c r="B565" s="115">
        <v>7002618366</v>
      </c>
      <c r="C565" s="115" t="s">
        <v>524</v>
      </c>
      <c r="D565" s="115" t="s">
        <v>474</v>
      </c>
      <c r="E565" s="115" t="s">
        <v>454</v>
      </c>
      <c r="F565" s="115" t="s">
        <v>462</v>
      </c>
      <c r="G565" s="115">
        <v>34</v>
      </c>
      <c r="H565" s="115" t="s">
        <v>543</v>
      </c>
      <c r="I565" s="115" t="s">
        <v>82</v>
      </c>
    </row>
    <row r="566" spans="1:9" ht="13">
      <c r="A566" s="114">
        <v>46170</v>
      </c>
      <c r="B566" s="115">
        <v>7002618887</v>
      </c>
      <c r="C566" s="115" t="s">
        <v>524</v>
      </c>
      <c r="D566" s="115" t="s">
        <v>474</v>
      </c>
      <c r="E566" s="115" t="s">
        <v>454</v>
      </c>
      <c r="F566" s="115" t="s">
        <v>462</v>
      </c>
      <c r="G566" s="115">
        <v>1</v>
      </c>
      <c r="H566" s="115" t="s">
        <v>543</v>
      </c>
      <c r="I566" s="115" t="s">
        <v>82</v>
      </c>
    </row>
    <row r="567" spans="1:9" ht="13">
      <c r="A567" s="114">
        <v>46170</v>
      </c>
      <c r="B567" s="115">
        <v>7002619826</v>
      </c>
      <c r="C567" s="115" t="s">
        <v>524</v>
      </c>
      <c r="D567" s="115" t="s">
        <v>474</v>
      </c>
      <c r="E567" s="115" t="s">
        <v>454</v>
      </c>
      <c r="F567" s="115" t="s">
        <v>108</v>
      </c>
      <c r="G567" s="115">
        <v>1</v>
      </c>
      <c r="H567" s="115" t="s">
        <v>543</v>
      </c>
      <c r="I567" s="115" t="s">
        <v>82</v>
      </c>
    </row>
    <row r="568" spans="1:9" ht="13">
      <c r="A568" s="114">
        <v>46170</v>
      </c>
      <c r="B568" s="115">
        <v>7002619842</v>
      </c>
      <c r="C568" s="115" t="s">
        <v>524</v>
      </c>
      <c r="D568" s="115" t="s">
        <v>474</v>
      </c>
      <c r="E568" s="115" t="s">
        <v>454</v>
      </c>
      <c r="F568" s="115" t="s">
        <v>462</v>
      </c>
      <c r="G568" s="115">
        <v>1</v>
      </c>
      <c r="H568" s="115" t="s">
        <v>543</v>
      </c>
      <c r="I568" s="115" t="s">
        <v>82</v>
      </c>
    </row>
    <row r="569" spans="1:9" ht="13">
      <c r="A569" s="114">
        <v>46170</v>
      </c>
      <c r="B569" s="115">
        <v>7002620596</v>
      </c>
      <c r="C569" s="115" t="s">
        <v>524</v>
      </c>
      <c r="D569" s="115" t="s">
        <v>474</v>
      </c>
      <c r="E569" s="115" t="s">
        <v>486</v>
      </c>
      <c r="F569" s="115" t="s">
        <v>462</v>
      </c>
      <c r="G569" s="115">
        <v>2</v>
      </c>
      <c r="H569" s="115" t="s">
        <v>543</v>
      </c>
      <c r="I569" s="115" t="s">
        <v>82</v>
      </c>
    </row>
    <row r="570" spans="1:9" ht="13">
      <c r="A570" s="114">
        <v>46170</v>
      </c>
      <c r="B570" s="115">
        <v>7002622992</v>
      </c>
      <c r="C570" s="115" t="s">
        <v>524</v>
      </c>
      <c r="D570" s="115" t="s">
        <v>474</v>
      </c>
      <c r="E570" s="115" t="s">
        <v>486</v>
      </c>
      <c r="F570" s="115" t="s">
        <v>462</v>
      </c>
      <c r="G570" s="115">
        <v>2</v>
      </c>
      <c r="H570" s="115" t="s">
        <v>543</v>
      </c>
      <c r="I570" s="115" t="s">
        <v>82</v>
      </c>
    </row>
    <row r="571" spans="1:9" ht="13">
      <c r="A571" s="114">
        <v>46170</v>
      </c>
      <c r="B571" s="115">
        <v>7002623426</v>
      </c>
      <c r="C571" s="115" t="s">
        <v>524</v>
      </c>
      <c r="D571" s="115" t="s">
        <v>474</v>
      </c>
      <c r="E571" s="115" t="s">
        <v>454</v>
      </c>
      <c r="F571" s="115" t="s">
        <v>462</v>
      </c>
      <c r="G571" s="115">
        <v>22</v>
      </c>
      <c r="H571" s="115" t="s">
        <v>543</v>
      </c>
      <c r="I571" s="115" t="s">
        <v>82</v>
      </c>
    </row>
    <row r="572" spans="1:9" ht="13">
      <c r="A572" s="114">
        <v>46170</v>
      </c>
      <c r="B572" s="115">
        <v>7002623796</v>
      </c>
      <c r="C572" s="115" t="s">
        <v>524</v>
      </c>
      <c r="D572" s="115" t="s">
        <v>474</v>
      </c>
      <c r="E572" s="115" t="s">
        <v>98</v>
      </c>
      <c r="F572" s="115" t="s">
        <v>462</v>
      </c>
      <c r="G572" s="115">
        <v>4</v>
      </c>
      <c r="H572" s="115" t="s">
        <v>543</v>
      </c>
      <c r="I572" s="115" t="s">
        <v>82</v>
      </c>
    </row>
    <row r="573" spans="1:9" ht="13">
      <c r="A573" s="114">
        <v>46170</v>
      </c>
      <c r="B573" s="115">
        <v>7002624870</v>
      </c>
      <c r="C573" s="115" t="s">
        <v>524</v>
      </c>
      <c r="D573" s="115" t="s">
        <v>474</v>
      </c>
      <c r="E573" s="115" t="s">
        <v>547</v>
      </c>
      <c r="F573" s="115" t="s">
        <v>108</v>
      </c>
      <c r="G573" s="115">
        <v>2</v>
      </c>
      <c r="H573" s="115" t="s">
        <v>543</v>
      </c>
      <c r="I573" s="115" t="s">
        <v>82</v>
      </c>
    </row>
    <row r="574" spans="1:9" ht="13">
      <c r="A574" s="114">
        <v>46170</v>
      </c>
      <c r="B574" s="115">
        <v>7002626660</v>
      </c>
      <c r="C574" s="115" t="s">
        <v>524</v>
      </c>
      <c r="D574" s="115" t="s">
        <v>474</v>
      </c>
      <c r="E574" s="115" t="s">
        <v>85</v>
      </c>
      <c r="F574" s="115" t="s">
        <v>108</v>
      </c>
      <c r="G574" s="115">
        <v>4</v>
      </c>
      <c r="H574" s="115" t="s">
        <v>543</v>
      </c>
      <c r="I574" s="115" t="s">
        <v>82</v>
      </c>
    </row>
    <row r="575" spans="1:9" ht="13">
      <c r="A575" s="114">
        <v>46170</v>
      </c>
      <c r="B575" s="115">
        <v>7002627979</v>
      </c>
      <c r="C575" s="115" t="s">
        <v>524</v>
      </c>
      <c r="D575" s="115" t="s">
        <v>474</v>
      </c>
      <c r="E575" s="115" t="s">
        <v>91</v>
      </c>
      <c r="F575" s="115" t="s">
        <v>462</v>
      </c>
      <c r="G575" s="115">
        <v>4</v>
      </c>
      <c r="H575" s="115" t="s">
        <v>543</v>
      </c>
      <c r="I575" s="115" t="s">
        <v>82</v>
      </c>
    </row>
    <row r="576" spans="1:9" ht="13">
      <c r="A576" s="114">
        <v>46170</v>
      </c>
      <c r="B576" s="115">
        <v>7002628476</v>
      </c>
      <c r="C576" s="115" t="s">
        <v>524</v>
      </c>
      <c r="D576" s="115" t="s">
        <v>474</v>
      </c>
      <c r="E576" s="115" t="s">
        <v>528</v>
      </c>
      <c r="F576" s="115" t="s">
        <v>108</v>
      </c>
      <c r="G576" s="115">
        <v>30</v>
      </c>
      <c r="H576" s="115" t="s">
        <v>543</v>
      </c>
      <c r="I576" s="115" t="s">
        <v>82</v>
      </c>
    </row>
    <row r="577" spans="1:9" ht="13">
      <c r="A577" s="114">
        <v>46170</v>
      </c>
      <c r="B577" s="115">
        <v>7002629073</v>
      </c>
      <c r="C577" s="115" t="s">
        <v>524</v>
      </c>
      <c r="D577" s="115" t="s">
        <v>474</v>
      </c>
      <c r="E577" s="115" t="s">
        <v>454</v>
      </c>
      <c r="F577" s="115" t="s">
        <v>462</v>
      </c>
      <c r="G577" s="115">
        <v>1</v>
      </c>
      <c r="H577" s="115" t="s">
        <v>543</v>
      </c>
      <c r="I577" s="115" t="s">
        <v>82</v>
      </c>
    </row>
    <row r="578" spans="1:9" ht="13">
      <c r="A578" s="114">
        <v>46170</v>
      </c>
      <c r="B578" s="115">
        <v>7002630268</v>
      </c>
      <c r="C578" s="115" t="s">
        <v>524</v>
      </c>
      <c r="D578" s="115" t="s">
        <v>474</v>
      </c>
      <c r="E578" s="115" t="s">
        <v>533</v>
      </c>
      <c r="F578" s="115" t="s">
        <v>462</v>
      </c>
      <c r="G578" s="115">
        <v>5</v>
      </c>
      <c r="H578" s="115" t="s">
        <v>543</v>
      </c>
      <c r="I578" s="115" t="s">
        <v>82</v>
      </c>
    </row>
    <row r="579" spans="1:9" ht="13">
      <c r="A579" s="114">
        <v>46170</v>
      </c>
      <c r="B579" s="115">
        <v>7002630328</v>
      </c>
      <c r="C579" s="115" t="s">
        <v>524</v>
      </c>
      <c r="D579" s="115" t="s">
        <v>479</v>
      </c>
      <c r="E579" s="115" t="s">
        <v>103</v>
      </c>
      <c r="F579" s="115" t="s">
        <v>108</v>
      </c>
      <c r="G579" s="115">
        <v>1</v>
      </c>
      <c r="H579" s="115" t="s">
        <v>543</v>
      </c>
      <c r="I579" s="115" t="s">
        <v>82</v>
      </c>
    </row>
    <row r="580" spans="1:9" ht="13">
      <c r="A580" s="114">
        <v>46170</v>
      </c>
      <c r="B580" s="115">
        <v>7002630359</v>
      </c>
      <c r="C580" s="115" t="s">
        <v>524</v>
      </c>
      <c r="D580" s="115" t="s">
        <v>474</v>
      </c>
      <c r="E580" s="115" t="s">
        <v>463</v>
      </c>
      <c r="F580" s="115" t="s">
        <v>108</v>
      </c>
      <c r="G580" s="115">
        <v>1</v>
      </c>
      <c r="H580" s="115" t="s">
        <v>543</v>
      </c>
      <c r="I580" s="115" t="s">
        <v>82</v>
      </c>
    </row>
    <row r="581" spans="1:9" ht="13">
      <c r="A581" s="114">
        <v>46170</v>
      </c>
      <c r="B581" s="115">
        <v>7002630409</v>
      </c>
      <c r="C581" s="115" t="s">
        <v>524</v>
      </c>
      <c r="D581" s="115" t="s">
        <v>474</v>
      </c>
      <c r="E581" s="115" t="s">
        <v>98</v>
      </c>
      <c r="F581" s="115" t="s">
        <v>108</v>
      </c>
      <c r="G581" s="115">
        <v>11</v>
      </c>
      <c r="H581" s="115" t="s">
        <v>543</v>
      </c>
      <c r="I581" s="115" t="s">
        <v>82</v>
      </c>
    </row>
    <row r="582" spans="1:9" ht="13">
      <c r="A582" s="114">
        <v>46170</v>
      </c>
      <c r="B582" s="115">
        <v>7002630640</v>
      </c>
      <c r="C582" s="115" t="s">
        <v>524</v>
      </c>
      <c r="D582" s="115" t="s">
        <v>474</v>
      </c>
      <c r="E582" s="115" t="s">
        <v>98</v>
      </c>
      <c r="F582" s="115" t="s">
        <v>462</v>
      </c>
      <c r="G582" s="115">
        <v>8</v>
      </c>
      <c r="H582" s="115" t="s">
        <v>543</v>
      </c>
      <c r="I582" s="115" t="s">
        <v>82</v>
      </c>
    </row>
    <row r="583" spans="1:9" ht="13">
      <c r="A583" s="114">
        <v>46170</v>
      </c>
      <c r="B583" s="115">
        <v>7002630743</v>
      </c>
      <c r="C583" s="115" t="s">
        <v>524</v>
      </c>
      <c r="D583" s="115" t="s">
        <v>474</v>
      </c>
      <c r="E583" s="115" t="s">
        <v>91</v>
      </c>
      <c r="F583" s="115" t="s">
        <v>462</v>
      </c>
      <c r="G583" s="115">
        <v>3</v>
      </c>
      <c r="H583" s="115" t="s">
        <v>543</v>
      </c>
      <c r="I583" s="115" t="s">
        <v>82</v>
      </c>
    </row>
    <row r="584" spans="1:9" ht="13">
      <c r="A584" s="114">
        <v>46170</v>
      </c>
      <c r="B584" s="115">
        <v>7002631109</v>
      </c>
      <c r="C584" s="115" t="s">
        <v>524</v>
      </c>
      <c r="D584" s="115" t="s">
        <v>474</v>
      </c>
      <c r="E584" s="115" t="s">
        <v>463</v>
      </c>
      <c r="F584" s="115" t="s">
        <v>462</v>
      </c>
      <c r="G584" s="115">
        <v>1</v>
      </c>
      <c r="H584" s="115" t="s">
        <v>543</v>
      </c>
      <c r="I584" s="115" t="s">
        <v>82</v>
      </c>
    </row>
    <row r="585" spans="1:9" ht="13">
      <c r="A585" s="114">
        <v>46170</v>
      </c>
      <c r="B585" s="115">
        <v>7002631389</v>
      </c>
      <c r="C585" s="115" t="s">
        <v>524</v>
      </c>
      <c r="D585" s="115" t="s">
        <v>479</v>
      </c>
      <c r="E585" s="115" t="s">
        <v>103</v>
      </c>
      <c r="F585" s="115" t="s">
        <v>108</v>
      </c>
      <c r="G585" s="115">
        <v>9</v>
      </c>
      <c r="H585" s="115" t="s">
        <v>543</v>
      </c>
      <c r="I585" s="115" t="s">
        <v>82</v>
      </c>
    </row>
    <row r="586" spans="1:9" ht="13">
      <c r="A586" s="114">
        <v>46170</v>
      </c>
      <c r="B586" s="115">
        <v>7002631671</v>
      </c>
      <c r="C586" s="115" t="s">
        <v>524</v>
      </c>
      <c r="D586" s="115" t="s">
        <v>474</v>
      </c>
      <c r="E586" s="115" t="s">
        <v>98</v>
      </c>
      <c r="F586" s="115" t="s">
        <v>108</v>
      </c>
      <c r="G586" s="115">
        <v>2</v>
      </c>
      <c r="H586" s="115" t="s">
        <v>543</v>
      </c>
      <c r="I586" s="115" t="s">
        <v>82</v>
      </c>
    </row>
    <row r="587" spans="1:9" ht="13">
      <c r="A587" s="114">
        <v>46170</v>
      </c>
      <c r="B587" s="115">
        <v>7002631692</v>
      </c>
      <c r="C587" s="115" t="s">
        <v>524</v>
      </c>
      <c r="D587" s="115" t="s">
        <v>474</v>
      </c>
      <c r="E587" s="115" t="s">
        <v>463</v>
      </c>
      <c r="F587" s="115" t="s">
        <v>462</v>
      </c>
      <c r="G587" s="115">
        <v>3</v>
      </c>
      <c r="H587" s="115" t="s">
        <v>543</v>
      </c>
      <c r="I587" s="115" t="s">
        <v>82</v>
      </c>
    </row>
    <row r="588" spans="1:9" ht="13">
      <c r="A588" s="114">
        <v>46170</v>
      </c>
      <c r="B588" s="115">
        <v>7002632209</v>
      </c>
      <c r="C588" s="115" t="s">
        <v>524</v>
      </c>
      <c r="D588" s="115" t="s">
        <v>474</v>
      </c>
      <c r="E588" s="115" t="s">
        <v>98</v>
      </c>
      <c r="F588" s="115" t="s">
        <v>462</v>
      </c>
      <c r="G588" s="115">
        <v>4</v>
      </c>
      <c r="H588" s="115" t="s">
        <v>543</v>
      </c>
      <c r="I588" s="115" t="s">
        <v>82</v>
      </c>
    </row>
    <row r="589" spans="1:9" ht="13">
      <c r="A589" s="114">
        <v>46170</v>
      </c>
      <c r="B589" s="115">
        <v>7002632297</v>
      </c>
      <c r="C589" s="115" t="s">
        <v>524</v>
      </c>
      <c r="D589" s="115" t="s">
        <v>474</v>
      </c>
      <c r="E589" s="115" t="s">
        <v>463</v>
      </c>
      <c r="F589" s="115" t="s">
        <v>108</v>
      </c>
      <c r="G589" s="115">
        <v>2</v>
      </c>
      <c r="H589" s="115" t="s">
        <v>543</v>
      </c>
      <c r="I589" s="115" t="s">
        <v>82</v>
      </c>
    </row>
    <row r="590" spans="1:9" ht="13">
      <c r="A590" s="114">
        <v>46170</v>
      </c>
      <c r="B590" s="115">
        <v>7002632453</v>
      </c>
      <c r="C590" s="115" t="s">
        <v>524</v>
      </c>
      <c r="D590" s="115" t="s">
        <v>474</v>
      </c>
      <c r="E590" s="115" t="s">
        <v>98</v>
      </c>
      <c r="F590" s="115" t="s">
        <v>108</v>
      </c>
      <c r="G590" s="115">
        <v>67</v>
      </c>
      <c r="H590" s="115" t="s">
        <v>543</v>
      </c>
      <c r="I590" s="115" t="s">
        <v>82</v>
      </c>
    </row>
    <row r="591" spans="1:9" ht="13">
      <c r="A591" s="114">
        <v>46170</v>
      </c>
      <c r="B591" s="115">
        <v>7002632469</v>
      </c>
      <c r="C591" s="115" t="s">
        <v>524</v>
      </c>
      <c r="D591" s="115" t="s">
        <v>474</v>
      </c>
      <c r="E591" s="115" t="s">
        <v>91</v>
      </c>
      <c r="F591" s="115" t="s">
        <v>108</v>
      </c>
      <c r="G591" s="115">
        <v>1</v>
      </c>
      <c r="H591" s="115" t="s">
        <v>543</v>
      </c>
      <c r="I591" s="115" t="s">
        <v>82</v>
      </c>
    </row>
    <row r="592" spans="1:9" ht="13">
      <c r="A592" s="114">
        <v>46170</v>
      </c>
      <c r="B592" s="115">
        <v>7002632528</v>
      </c>
      <c r="C592" s="115" t="s">
        <v>524</v>
      </c>
      <c r="D592" s="115" t="s">
        <v>479</v>
      </c>
      <c r="E592" s="115" t="s">
        <v>103</v>
      </c>
      <c r="F592" s="115" t="s">
        <v>108</v>
      </c>
      <c r="G592" s="115">
        <v>15</v>
      </c>
      <c r="H592" s="115" t="s">
        <v>543</v>
      </c>
      <c r="I592" s="115" t="s">
        <v>82</v>
      </c>
    </row>
    <row r="593" spans="1:9" ht="13">
      <c r="A593" s="114">
        <v>46170</v>
      </c>
      <c r="B593" s="115">
        <v>7002632643</v>
      </c>
      <c r="C593" s="115" t="s">
        <v>524</v>
      </c>
      <c r="D593" s="115" t="s">
        <v>479</v>
      </c>
      <c r="E593" s="115" t="s">
        <v>103</v>
      </c>
      <c r="F593" s="115" t="s">
        <v>108</v>
      </c>
      <c r="G593" s="115">
        <v>4</v>
      </c>
      <c r="H593" s="115" t="s">
        <v>543</v>
      </c>
      <c r="I593" s="115" t="s">
        <v>82</v>
      </c>
    </row>
    <row r="594" spans="1:9" ht="13">
      <c r="A594" s="114">
        <v>46170</v>
      </c>
      <c r="B594" s="115">
        <v>7002632851</v>
      </c>
      <c r="C594" s="115" t="s">
        <v>524</v>
      </c>
      <c r="D594" s="115" t="s">
        <v>474</v>
      </c>
      <c r="E594" s="115" t="s">
        <v>454</v>
      </c>
      <c r="F594" s="115" t="s">
        <v>462</v>
      </c>
      <c r="G594" s="115">
        <v>1</v>
      </c>
      <c r="H594" s="115" t="s">
        <v>543</v>
      </c>
      <c r="I594" s="115" t="s">
        <v>82</v>
      </c>
    </row>
    <row r="595" spans="1:9" ht="13">
      <c r="A595" s="114">
        <v>46170</v>
      </c>
      <c r="B595" s="115">
        <v>7002633387</v>
      </c>
      <c r="C595" s="115" t="s">
        <v>524</v>
      </c>
      <c r="D595" s="115" t="s">
        <v>474</v>
      </c>
      <c r="E595" s="115" t="s">
        <v>98</v>
      </c>
      <c r="F595" s="115" t="s">
        <v>108</v>
      </c>
      <c r="G595" s="115">
        <v>18</v>
      </c>
      <c r="H595" s="115" t="s">
        <v>543</v>
      </c>
      <c r="I595" s="115" t="s">
        <v>82</v>
      </c>
    </row>
    <row r="596" spans="1:9" ht="13">
      <c r="A596" s="114">
        <v>46170</v>
      </c>
      <c r="B596" s="115">
        <v>7002633423</v>
      </c>
      <c r="C596" s="115" t="s">
        <v>524</v>
      </c>
      <c r="D596" s="115" t="s">
        <v>474</v>
      </c>
      <c r="E596" s="115" t="s">
        <v>98</v>
      </c>
      <c r="F596" s="115" t="s">
        <v>108</v>
      </c>
      <c r="G596" s="115">
        <v>21</v>
      </c>
      <c r="H596" s="115" t="s">
        <v>543</v>
      </c>
      <c r="I596" s="115" t="s">
        <v>82</v>
      </c>
    </row>
    <row r="597" spans="1:9" ht="13">
      <c r="A597" s="114">
        <v>46170</v>
      </c>
      <c r="B597" s="115">
        <v>7002633468</v>
      </c>
      <c r="C597" s="115" t="s">
        <v>524</v>
      </c>
      <c r="D597" s="115" t="s">
        <v>474</v>
      </c>
      <c r="E597" s="115" t="s">
        <v>91</v>
      </c>
      <c r="F597" s="115" t="s">
        <v>108</v>
      </c>
      <c r="G597" s="115">
        <v>22</v>
      </c>
      <c r="H597" s="115" t="s">
        <v>543</v>
      </c>
      <c r="I597" s="115" t="s">
        <v>82</v>
      </c>
    </row>
    <row r="598" spans="1:9" ht="13">
      <c r="A598" s="114">
        <v>46170</v>
      </c>
      <c r="B598" s="115">
        <v>7002633740</v>
      </c>
      <c r="C598" s="115" t="s">
        <v>524</v>
      </c>
      <c r="D598" s="115" t="s">
        <v>474</v>
      </c>
      <c r="E598" s="115" t="s">
        <v>91</v>
      </c>
      <c r="F598" s="115" t="s">
        <v>108</v>
      </c>
      <c r="G598" s="115">
        <v>7</v>
      </c>
      <c r="H598" s="115" t="s">
        <v>543</v>
      </c>
      <c r="I598" s="115" t="s">
        <v>82</v>
      </c>
    </row>
    <row r="599" spans="1:9" ht="13">
      <c r="A599" s="114">
        <v>46170</v>
      </c>
      <c r="B599" s="115">
        <v>7002634329</v>
      </c>
      <c r="C599" s="115" t="s">
        <v>524</v>
      </c>
      <c r="D599" s="115" t="s">
        <v>474</v>
      </c>
      <c r="E599" s="115" t="s">
        <v>463</v>
      </c>
      <c r="F599" s="115" t="s">
        <v>108</v>
      </c>
      <c r="G599" s="115">
        <v>2</v>
      </c>
      <c r="H599" s="115" t="s">
        <v>543</v>
      </c>
      <c r="I599" s="115" t="s">
        <v>82</v>
      </c>
    </row>
    <row r="600" spans="1:9" ht="13">
      <c r="A600" s="114">
        <v>46170</v>
      </c>
      <c r="B600" s="115">
        <v>7002634355</v>
      </c>
      <c r="C600" s="115" t="s">
        <v>524</v>
      </c>
      <c r="D600" s="115" t="s">
        <v>474</v>
      </c>
      <c r="E600" s="115" t="s">
        <v>91</v>
      </c>
      <c r="F600" s="115" t="s">
        <v>108</v>
      </c>
      <c r="G600" s="115">
        <v>52</v>
      </c>
      <c r="H600" s="115" t="s">
        <v>543</v>
      </c>
      <c r="I600" s="115" t="s">
        <v>82</v>
      </c>
    </row>
    <row r="601" spans="1:9" ht="13">
      <c r="A601" s="114">
        <v>46170</v>
      </c>
      <c r="B601" s="115">
        <v>7002634364</v>
      </c>
      <c r="C601" s="115" t="s">
        <v>524</v>
      </c>
      <c r="D601" s="115" t="s">
        <v>474</v>
      </c>
      <c r="E601" s="115" t="s">
        <v>91</v>
      </c>
      <c r="F601" s="115" t="s">
        <v>108</v>
      </c>
      <c r="G601" s="115">
        <v>7</v>
      </c>
      <c r="H601" s="115" t="s">
        <v>543</v>
      </c>
      <c r="I601" s="115" t="s">
        <v>82</v>
      </c>
    </row>
    <row r="602" spans="1:9" ht="13">
      <c r="A602" s="114">
        <v>46170</v>
      </c>
      <c r="B602" s="115">
        <v>7002634372</v>
      </c>
      <c r="C602" s="115" t="s">
        <v>524</v>
      </c>
      <c r="D602" s="115" t="s">
        <v>474</v>
      </c>
      <c r="E602" s="115" t="s">
        <v>463</v>
      </c>
      <c r="F602" s="115" t="s">
        <v>108</v>
      </c>
      <c r="G602" s="115">
        <v>2</v>
      </c>
      <c r="H602" s="115" t="s">
        <v>543</v>
      </c>
      <c r="I602" s="115" t="s">
        <v>82</v>
      </c>
    </row>
    <row r="603" spans="1:9" ht="13">
      <c r="A603" s="114">
        <v>46170</v>
      </c>
      <c r="B603" s="115">
        <v>7002634393</v>
      </c>
      <c r="C603" s="115" t="s">
        <v>524</v>
      </c>
      <c r="D603" s="115" t="s">
        <v>479</v>
      </c>
      <c r="E603" s="115" t="s">
        <v>470</v>
      </c>
      <c r="F603" s="115" t="s">
        <v>108</v>
      </c>
      <c r="G603" s="115">
        <v>4</v>
      </c>
      <c r="H603" s="115" t="s">
        <v>543</v>
      </c>
      <c r="I603" s="115" t="s">
        <v>82</v>
      </c>
    </row>
    <row r="604" spans="1:9" ht="13">
      <c r="A604" s="114">
        <v>46170</v>
      </c>
      <c r="B604" s="115">
        <v>7002634414</v>
      </c>
      <c r="C604" s="115" t="s">
        <v>524</v>
      </c>
      <c r="D604" s="115" t="s">
        <v>479</v>
      </c>
      <c r="E604" s="115" t="s">
        <v>470</v>
      </c>
      <c r="F604" s="115" t="s">
        <v>108</v>
      </c>
      <c r="G604" s="115">
        <v>15</v>
      </c>
      <c r="H604" s="115" t="s">
        <v>543</v>
      </c>
      <c r="I604" s="115" t="s">
        <v>82</v>
      </c>
    </row>
    <row r="605" spans="1:9" ht="13">
      <c r="A605" s="114">
        <v>46170</v>
      </c>
      <c r="B605" s="115">
        <v>7002634422</v>
      </c>
      <c r="C605" s="115" t="s">
        <v>524</v>
      </c>
      <c r="D605" s="115" t="s">
        <v>474</v>
      </c>
      <c r="E605" s="115" t="s">
        <v>98</v>
      </c>
      <c r="F605" s="115" t="s">
        <v>462</v>
      </c>
      <c r="G605" s="115">
        <v>1</v>
      </c>
      <c r="H605" s="115" t="s">
        <v>543</v>
      </c>
      <c r="I605" s="115" t="s">
        <v>82</v>
      </c>
    </row>
    <row r="606" spans="1:9" ht="13">
      <c r="A606" s="114">
        <v>46170</v>
      </c>
      <c r="B606" s="115">
        <v>7002634535</v>
      </c>
      <c r="C606" s="115" t="s">
        <v>524</v>
      </c>
      <c r="D606" s="115" t="s">
        <v>474</v>
      </c>
      <c r="E606" s="115" t="s">
        <v>539</v>
      </c>
      <c r="F606" s="115" t="s">
        <v>108</v>
      </c>
      <c r="G606" s="115">
        <v>2</v>
      </c>
      <c r="H606" s="115" t="s">
        <v>543</v>
      </c>
      <c r="I606" s="115" t="s">
        <v>82</v>
      </c>
    </row>
    <row r="607" spans="1:9" ht="13">
      <c r="A607" s="114">
        <v>46170</v>
      </c>
      <c r="B607" s="115">
        <v>7002634588</v>
      </c>
      <c r="C607" s="115" t="s">
        <v>524</v>
      </c>
      <c r="D607" s="115" t="s">
        <v>479</v>
      </c>
      <c r="E607" s="115" t="s">
        <v>103</v>
      </c>
      <c r="F607" s="115" t="s">
        <v>108</v>
      </c>
      <c r="G607" s="115">
        <v>7</v>
      </c>
      <c r="H607" s="115" t="s">
        <v>543</v>
      </c>
      <c r="I607" s="115" t="s">
        <v>82</v>
      </c>
    </row>
    <row r="608" spans="1:9" ht="13">
      <c r="A608" s="114">
        <v>46170</v>
      </c>
      <c r="B608" s="115">
        <v>7002634660</v>
      </c>
      <c r="C608" s="115" t="s">
        <v>524</v>
      </c>
      <c r="D608" s="115" t="s">
        <v>474</v>
      </c>
      <c r="E608" s="115" t="s">
        <v>91</v>
      </c>
      <c r="F608" s="115" t="s">
        <v>462</v>
      </c>
      <c r="G608" s="115">
        <v>3</v>
      </c>
      <c r="H608" s="115" t="s">
        <v>543</v>
      </c>
      <c r="I608" s="115" t="s">
        <v>82</v>
      </c>
    </row>
    <row r="609" spans="1:9" ht="13">
      <c r="A609" s="114">
        <v>46170</v>
      </c>
      <c r="B609" s="115">
        <v>7002634984</v>
      </c>
      <c r="C609" s="115" t="s">
        <v>524</v>
      </c>
      <c r="D609" s="115" t="s">
        <v>474</v>
      </c>
      <c r="E609" s="115" t="s">
        <v>528</v>
      </c>
      <c r="F609" s="115" t="s">
        <v>462</v>
      </c>
      <c r="G609" s="115">
        <v>19</v>
      </c>
      <c r="H609" s="115" t="s">
        <v>543</v>
      </c>
      <c r="I609" s="115" t="s">
        <v>82</v>
      </c>
    </row>
    <row r="610" spans="1:9" ht="13">
      <c r="A610" s="114">
        <v>46170</v>
      </c>
      <c r="B610" s="115">
        <v>7002635333</v>
      </c>
      <c r="C610" s="115" t="s">
        <v>524</v>
      </c>
      <c r="D610" s="115" t="s">
        <v>474</v>
      </c>
      <c r="E610" s="115" t="s">
        <v>463</v>
      </c>
      <c r="F610" s="115" t="s">
        <v>108</v>
      </c>
      <c r="G610" s="115">
        <v>2</v>
      </c>
      <c r="H610" s="115" t="s">
        <v>543</v>
      </c>
      <c r="I610" s="115" t="s">
        <v>82</v>
      </c>
    </row>
    <row r="611" spans="1:9" ht="13">
      <c r="A611" s="114">
        <v>46170</v>
      </c>
      <c r="B611" s="115">
        <v>7002635379</v>
      </c>
      <c r="C611" s="115" t="s">
        <v>524</v>
      </c>
      <c r="D611" s="115" t="s">
        <v>474</v>
      </c>
      <c r="E611" s="115" t="s">
        <v>98</v>
      </c>
      <c r="F611" s="115" t="s">
        <v>108</v>
      </c>
      <c r="G611" s="115">
        <v>4</v>
      </c>
      <c r="H611" s="115" t="s">
        <v>543</v>
      </c>
      <c r="I611" s="115" t="s">
        <v>82</v>
      </c>
    </row>
    <row r="612" spans="1:9" ht="13">
      <c r="A612" s="114">
        <v>46170</v>
      </c>
      <c r="B612" s="115">
        <v>7002635380</v>
      </c>
      <c r="C612" s="115" t="s">
        <v>524</v>
      </c>
      <c r="D612" s="115" t="s">
        <v>474</v>
      </c>
      <c r="E612" s="115" t="s">
        <v>454</v>
      </c>
      <c r="F612" s="115" t="s">
        <v>108</v>
      </c>
      <c r="G612" s="115">
        <v>17</v>
      </c>
      <c r="H612" s="115" t="s">
        <v>543</v>
      </c>
      <c r="I612" s="115" t="s">
        <v>82</v>
      </c>
    </row>
    <row r="613" spans="1:9" ht="13">
      <c r="A613" s="114">
        <v>46170</v>
      </c>
      <c r="B613" s="115">
        <v>7002635417</v>
      </c>
      <c r="C613" s="115" t="s">
        <v>524</v>
      </c>
      <c r="D613" s="115" t="s">
        <v>479</v>
      </c>
      <c r="E613" s="115" t="s">
        <v>470</v>
      </c>
      <c r="F613" s="115" t="s">
        <v>108</v>
      </c>
      <c r="G613" s="115">
        <v>30</v>
      </c>
      <c r="H613" s="115" t="s">
        <v>543</v>
      </c>
      <c r="I613" s="115" t="s">
        <v>82</v>
      </c>
    </row>
    <row r="614" spans="1:9" ht="13">
      <c r="A614" s="114">
        <v>46170</v>
      </c>
      <c r="B614" s="115">
        <v>7002635440</v>
      </c>
      <c r="C614" s="115" t="s">
        <v>524</v>
      </c>
      <c r="D614" s="115" t="s">
        <v>474</v>
      </c>
      <c r="E614" s="115" t="s">
        <v>98</v>
      </c>
      <c r="F614" s="115" t="s">
        <v>108</v>
      </c>
      <c r="G614" s="115">
        <v>22</v>
      </c>
      <c r="H614" s="115" t="s">
        <v>543</v>
      </c>
      <c r="I614" s="115" t="s">
        <v>82</v>
      </c>
    </row>
    <row r="615" spans="1:9" ht="13">
      <c r="A615" s="114">
        <v>46170</v>
      </c>
      <c r="B615" s="115">
        <v>7002635577</v>
      </c>
      <c r="C615" s="115" t="s">
        <v>524</v>
      </c>
      <c r="D615" s="115" t="s">
        <v>474</v>
      </c>
      <c r="E615" s="115" t="s">
        <v>463</v>
      </c>
      <c r="F615" s="115" t="s">
        <v>462</v>
      </c>
      <c r="G615" s="115">
        <v>4</v>
      </c>
      <c r="H615" s="115" t="s">
        <v>543</v>
      </c>
      <c r="I615" s="115" t="s">
        <v>82</v>
      </c>
    </row>
    <row r="616" spans="1:9" ht="13">
      <c r="A616" s="114">
        <v>46170</v>
      </c>
      <c r="B616" s="115">
        <v>7002635857</v>
      </c>
      <c r="C616" s="115" t="s">
        <v>524</v>
      </c>
      <c r="D616" s="115" t="s">
        <v>474</v>
      </c>
      <c r="E616" s="115" t="s">
        <v>98</v>
      </c>
      <c r="F616" s="115" t="s">
        <v>108</v>
      </c>
      <c r="G616" s="115">
        <v>4</v>
      </c>
      <c r="H616" s="115" t="s">
        <v>543</v>
      </c>
      <c r="I616" s="115" t="s">
        <v>82</v>
      </c>
    </row>
    <row r="617" spans="1:9" ht="13">
      <c r="A617" s="114">
        <v>46170</v>
      </c>
      <c r="B617" s="115">
        <v>7002635874</v>
      </c>
      <c r="C617" s="115" t="s">
        <v>524</v>
      </c>
      <c r="D617" s="115" t="s">
        <v>474</v>
      </c>
      <c r="E617" s="115" t="s">
        <v>463</v>
      </c>
      <c r="F617" s="115" t="s">
        <v>108</v>
      </c>
      <c r="G617" s="115">
        <v>1</v>
      </c>
      <c r="H617" s="115" t="s">
        <v>543</v>
      </c>
      <c r="I617" s="115" t="s">
        <v>82</v>
      </c>
    </row>
    <row r="618" spans="1:9" ht="13">
      <c r="A618" s="114">
        <v>46170</v>
      </c>
      <c r="B618" s="115">
        <v>7002636101</v>
      </c>
      <c r="C618" s="115" t="s">
        <v>524</v>
      </c>
      <c r="D618" s="115" t="s">
        <v>474</v>
      </c>
      <c r="E618" s="115" t="s">
        <v>454</v>
      </c>
      <c r="F618" s="115" t="s">
        <v>108</v>
      </c>
      <c r="G618" s="115">
        <v>3</v>
      </c>
      <c r="H618" s="115" t="s">
        <v>543</v>
      </c>
      <c r="I618" s="115" t="s">
        <v>82</v>
      </c>
    </row>
    <row r="619" spans="1:9" ht="13">
      <c r="A619" s="114">
        <v>46170</v>
      </c>
      <c r="B619" s="115">
        <v>7002636323</v>
      </c>
      <c r="C619" s="115" t="s">
        <v>524</v>
      </c>
      <c r="D619" s="115" t="s">
        <v>474</v>
      </c>
      <c r="E619" s="115" t="s">
        <v>463</v>
      </c>
      <c r="F619" s="115" t="s">
        <v>108</v>
      </c>
      <c r="G619" s="115">
        <v>1</v>
      </c>
      <c r="H619" s="115" t="s">
        <v>543</v>
      </c>
      <c r="I619" s="115" t="s">
        <v>82</v>
      </c>
    </row>
    <row r="620" spans="1:9" ht="13">
      <c r="A620" s="114">
        <v>46170</v>
      </c>
      <c r="B620" s="115">
        <v>7002636667</v>
      </c>
      <c r="C620" s="115" t="s">
        <v>524</v>
      </c>
      <c r="D620" s="115" t="s">
        <v>479</v>
      </c>
      <c r="E620" s="115" t="s">
        <v>103</v>
      </c>
      <c r="F620" s="115" t="s">
        <v>462</v>
      </c>
      <c r="G620" s="115">
        <v>7</v>
      </c>
      <c r="H620" s="115" t="s">
        <v>543</v>
      </c>
      <c r="I620" s="115" t="s">
        <v>82</v>
      </c>
    </row>
    <row r="621" spans="1:9" ht="13">
      <c r="A621" s="114">
        <v>46170</v>
      </c>
      <c r="B621" s="115">
        <v>7002636707</v>
      </c>
      <c r="C621" s="115" t="s">
        <v>524</v>
      </c>
      <c r="D621" s="115" t="s">
        <v>479</v>
      </c>
      <c r="E621" s="115" t="s">
        <v>470</v>
      </c>
      <c r="F621" s="115" t="s">
        <v>112</v>
      </c>
      <c r="G621" s="115">
        <v>2</v>
      </c>
      <c r="H621" s="115" t="s">
        <v>543</v>
      </c>
      <c r="I621" s="115" t="s">
        <v>82</v>
      </c>
    </row>
    <row r="622" spans="1:9" ht="13">
      <c r="A622" s="114">
        <v>46170</v>
      </c>
      <c r="B622" s="115">
        <v>7002636870</v>
      </c>
      <c r="C622" s="115" t="s">
        <v>524</v>
      </c>
      <c r="D622" s="115" t="s">
        <v>474</v>
      </c>
      <c r="E622" s="115" t="s">
        <v>463</v>
      </c>
      <c r="F622" s="115" t="s">
        <v>108</v>
      </c>
      <c r="G622" s="115">
        <v>2</v>
      </c>
      <c r="H622" s="115" t="s">
        <v>543</v>
      </c>
      <c r="I622" s="115" t="s">
        <v>82</v>
      </c>
    </row>
    <row r="623" spans="1:9" ht="13">
      <c r="A623" s="114">
        <v>46170</v>
      </c>
      <c r="B623" s="115">
        <v>7002636889</v>
      </c>
      <c r="C623" s="115" t="s">
        <v>524</v>
      </c>
      <c r="D623" s="115" t="s">
        <v>474</v>
      </c>
      <c r="E623" s="115" t="s">
        <v>98</v>
      </c>
      <c r="F623" s="115" t="s">
        <v>108</v>
      </c>
      <c r="G623" s="115">
        <v>1</v>
      </c>
      <c r="H623" s="115" t="s">
        <v>543</v>
      </c>
      <c r="I623" s="115" t="s">
        <v>82</v>
      </c>
    </row>
    <row r="624" spans="1:9" ht="13">
      <c r="A624" s="114">
        <v>46170</v>
      </c>
      <c r="B624" s="115">
        <v>7002637097</v>
      </c>
      <c r="C624" s="115" t="s">
        <v>524</v>
      </c>
      <c r="D624" s="115" t="s">
        <v>474</v>
      </c>
      <c r="E624" s="115" t="s">
        <v>463</v>
      </c>
      <c r="F624" s="115" t="s">
        <v>462</v>
      </c>
      <c r="G624" s="115">
        <v>1</v>
      </c>
      <c r="H624" s="115" t="s">
        <v>543</v>
      </c>
      <c r="I624" s="115" t="s">
        <v>82</v>
      </c>
    </row>
    <row r="625" spans="1:9" ht="13">
      <c r="A625" s="114">
        <v>46170</v>
      </c>
      <c r="B625" s="115">
        <v>7002637194</v>
      </c>
      <c r="C625" s="115" t="s">
        <v>524</v>
      </c>
      <c r="D625" s="115" t="s">
        <v>474</v>
      </c>
      <c r="E625" s="115" t="s">
        <v>528</v>
      </c>
      <c r="F625" s="115" t="s">
        <v>108</v>
      </c>
      <c r="G625" s="115">
        <v>6</v>
      </c>
      <c r="H625" s="115" t="s">
        <v>543</v>
      </c>
      <c r="I625" s="115" t="s">
        <v>82</v>
      </c>
    </row>
    <row r="626" spans="1:9" ht="13">
      <c r="A626" s="114">
        <v>46170</v>
      </c>
      <c r="B626" s="115">
        <v>7002637403</v>
      </c>
      <c r="C626" s="115" t="s">
        <v>524</v>
      </c>
      <c r="D626" s="115" t="s">
        <v>515</v>
      </c>
      <c r="E626" s="115" t="s">
        <v>470</v>
      </c>
      <c r="F626" s="115" t="s">
        <v>462</v>
      </c>
      <c r="G626" s="115">
        <v>10</v>
      </c>
      <c r="H626" s="115" t="s">
        <v>543</v>
      </c>
      <c r="I626" s="115" t="s">
        <v>82</v>
      </c>
    </row>
    <row r="627" spans="1:9" ht="13">
      <c r="A627" s="114">
        <v>46170</v>
      </c>
      <c r="B627" s="115">
        <v>7002637580</v>
      </c>
      <c r="C627" s="115" t="s">
        <v>524</v>
      </c>
      <c r="D627" s="115" t="s">
        <v>474</v>
      </c>
      <c r="E627" s="115" t="s">
        <v>463</v>
      </c>
      <c r="F627" s="115" t="s">
        <v>462</v>
      </c>
      <c r="G627" s="115">
        <v>3</v>
      </c>
      <c r="H627" s="115" t="s">
        <v>543</v>
      </c>
      <c r="I627" s="115" t="s">
        <v>82</v>
      </c>
    </row>
    <row r="628" spans="1:9" ht="13">
      <c r="A628" s="114">
        <v>46170</v>
      </c>
      <c r="B628" s="115">
        <v>7002637699</v>
      </c>
      <c r="C628" s="115" t="s">
        <v>524</v>
      </c>
      <c r="D628" s="115" t="s">
        <v>474</v>
      </c>
      <c r="E628" s="115" t="s">
        <v>91</v>
      </c>
      <c r="F628" s="115" t="s">
        <v>108</v>
      </c>
      <c r="G628" s="115">
        <v>4</v>
      </c>
      <c r="H628" s="115" t="s">
        <v>543</v>
      </c>
      <c r="I628" s="115" t="s">
        <v>82</v>
      </c>
    </row>
    <row r="629" spans="1:9" ht="13">
      <c r="A629" s="114">
        <v>46170</v>
      </c>
      <c r="B629" s="115">
        <v>7002637708</v>
      </c>
      <c r="C629" s="115" t="s">
        <v>524</v>
      </c>
      <c r="D629" s="115" t="s">
        <v>515</v>
      </c>
      <c r="E629" s="115" t="s">
        <v>470</v>
      </c>
      <c r="F629" s="115" t="s">
        <v>108</v>
      </c>
      <c r="G629" s="115">
        <v>12</v>
      </c>
      <c r="H629" s="115" t="s">
        <v>543</v>
      </c>
      <c r="I629" s="115" t="s">
        <v>82</v>
      </c>
    </row>
    <row r="630" spans="1:9" ht="13">
      <c r="A630" s="114">
        <v>46170</v>
      </c>
      <c r="B630" s="115">
        <v>7002637800</v>
      </c>
      <c r="C630" s="115" t="s">
        <v>524</v>
      </c>
      <c r="D630" s="115" t="s">
        <v>474</v>
      </c>
      <c r="E630" s="115" t="s">
        <v>91</v>
      </c>
      <c r="F630" s="115" t="s">
        <v>108</v>
      </c>
      <c r="G630" s="115">
        <v>2</v>
      </c>
      <c r="H630" s="115" t="s">
        <v>543</v>
      </c>
      <c r="I630" s="115" t="s">
        <v>82</v>
      </c>
    </row>
    <row r="631" spans="1:9" ht="13">
      <c r="A631" s="114">
        <v>46170</v>
      </c>
      <c r="B631" s="115">
        <v>7002637970</v>
      </c>
      <c r="C631" s="115" t="s">
        <v>524</v>
      </c>
      <c r="D631" s="115" t="s">
        <v>474</v>
      </c>
      <c r="E631" s="115" t="s">
        <v>98</v>
      </c>
      <c r="F631" s="115" t="s">
        <v>462</v>
      </c>
      <c r="G631" s="115">
        <v>1</v>
      </c>
      <c r="H631" s="115" t="s">
        <v>543</v>
      </c>
      <c r="I631" s="115" t="s">
        <v>82</v>
      </c>
    </row>
    <row r="632" spans="1:9" ht="13">
      <c r="A632" s="114">
        <v>46170</v>
      </c>
      <c r="B632" s="115">
        <v>7002638462</v>
      </c>
      <c r="C632" s="115" t="s">
        <v>524</v>
      </c>
      <c r="D632" s="115" t="s">
        <v>474</v>
      </c>
      <c r="E632" s="115" t="s">
        <v>91</v>
      </c>
      <c r="F632" s="115" t="s">
        <v>108</v>
      </c>
      <c r="G632" s="115">
        <v>21</v>
      </c>
      <c r="H632" s="115" t="s">
        <v>543</v>
      </c>
      <c r="I632" s="115" t="s">
        <v>82</v>
      </c>
    </row>
    <row r="633" spans="1:9" ht="13">
      <c r="A633" s="114">
        <v>46170</v>
      </c>
      <c r="B633" s="115">
        <v>7002638491</v>
      </c>
      <c r="C633" s="115" t="s">
        <v>524</v>
      </c>
      <c r="D633" s="115" t="s">
        <v>474</v>
      </c>
      <c r="E633" s="115" t="s">
        <v>98</v>
      </c>
      <c r="F633" s="115" t="s">
        <v>108</v>
      </c>
      <c r="G633" s="115">
        <v>5</v>
      </c>
      <c r="H633" s="115" t="s">
        <v>543</v>
      </c>
      <c r="I633" s="115" t="s">
        <v>82</v>
      </c>
    </row>
    <row r="634" spans="1:9" ht="13">
      <c r="A634" s="114">
        <v>46170</v>
      </c>
      <c r="B634" s="115">
        <v>7002638607</v>
      </c>
      <c r="C634" s="115" t="s">
        <v>524</v>
      </c>
      <c r="D634" s="115" t="s">
        <v>474</v>
      </c>
      <c r="E634" s="115" t="s">
        <v>98</v>
      </c>
      <c r="F634" s="115" t="s">
        <v>108</v>
      </c>
      <c r="G634" s="115">
        <v>2</v>
      </c>
      <c r="H634" s="115" t="s">
        <v>543</v>
      </c>
      <c r="I634" s="115" t="s">
        <v>82</v>
      </c>
    </row>
    <row r="635" spans="1:9" ht="13">
      <c r="A635" s="114">
        <v>46170</v>
      </c>
      <c r="B635" s="115">
        <v>7002638611</v>
      </c>
      <c r="C635" s="115" t="s">
        <v>524</v>
      </c>
      <c r="D635" s="115" t="s">
        <v>474</v>
      </c>
      <c r="E635" s="115" t="s">
        <v>98</v>
      </c>
      <c r="F635" s="115" t="s">
        <v>462</v>
      </c>
      <c r="G635" s="115">
        <v>2</v>
      </c>
      <c r="H635" s="115" t="s">
        <v>543</v>
      </c>
      <c r="I635" s="115" t="s">
        <v>82</v>
      </c>
    </row>
    <row r="636" spans="1:9" ht="13">
      <c r="A636" s="114">
        <v>46170</v>
      </c>
      <c r="B636" s="115">
        <v>7002639226</v>
      </c>
      <c r="C636" s="115" t="s">
        <v>524</v>
      </c>
      <c r="D636" s="115" t="s">
        <v>474</v>
      </c>
      <c r="E636" s="115" t="s">
        <v>463</v>
      </c>
      <c r="F636" s="115" t="s">
        <v>108</v>
      </c>
      <c r="G636" s="115">
        <v>2</v>
      </c>
      <c r="H636" s="115" t="s">
        <v>543</v>
      </c>
      <c r="I636" s="115" t="s">
        <v>82</v>
      </c>
    </row>
    <row r="637" spans="1:9" ht="13">
      <c r="A637" s="114">
        <v>46170</v>
      </c>
      <c r="B637" s="115">
        <v>7002639366</v>
      </c>
      <c r="C637" s="115" t="s">
        <v>524</v>
      </c>
      <c r="D637" s="115" t="s">
        <v>474</v>
      </c>
      <c r="E637" s="115" t="s">
        <v>91</v>
      </c>
      <c r="F637" s="115" t="s">
        <v>462</v>
      </c>
      <c r="G637" s="115">
        <v>1</v>
      </c>
      <c r="H637" s="115" t="s">
        <v>543</v>
      </c>
      <c r="I637" s="115" t="s">
        <v>82</v>
      </c>
    </row>
    <row r="638" spans="1:9" ht="13">
      <c r="A638" s="114">
        <v>46170</v>
      </c>
      <c r="B638" s="115">
        <v>7002639384</v>
      </c>
      <c r="C638" s="115" t="s">
        <v>524</v>
      </c>
      <c r="D638" s="115" t="s">
        <v>474</v>
      </c>
      <c r="E638" s="115" t="s">
        <v>463</v>
      </c>
      <c r="F638" s="115" t="s">
        <v>108</v>
      </c>
      <c r="G638" s="115">
        <v>2</v>
      </c>
      <c r="H638" s="115" t="s">
        <v>543</v>
      </c>
      <c r="I638" s="115" t="s">
        <v>82</v>
      </c>
    </row>
    <row r="639" spans="1:9" ht="13">
      <c r="A639" s="114">
        <v>46170</v>
      </c>
      <c r="B639" s="115">
        <v>7002639416</v>
      </c>
      <c r="C639" s="115" t="s">
        <v>524</v>
      </c>
      <c r="D639" s="115" t="s">
        <v>474</v>
      </c>
      <c r="E639" s="115" t="s">
        <v>98</v>
      </c>
      <c r="F639" s="115" t="s">
        <v>108</v>
      </c>
      <c r="G639" s="115">
        <v>67</v>
      </c>
      <c r="H639" s="115" t="s">
        <v>543</v>
      </c>
      <c r="I639" s="115" t="s">
        <v>82</v>
      </c>
    </row>
    <row r="640" spans="1:9" ht="13">
      <c r="A640" s="114">
        <v>46170</v>
      </c>
      <c r="B640" s="115">
        <v>7002639714</v>
      </c>
      <c r="C640" s="115" t="s">
        <v>524</v>
      </c>
      <c r="D640" s="115" t="s">
        <v>474</v>
      </c>
      <c r="E640" s="115" t="s">
        <v>91</v>
      </c>
      <c r="F640" s="115" t="s">
        <v>108</v>
      </c>
      <c r="G640" s="115">
        <v>7</v>
      </c>
      <c r="H640" s="115" t="s">
        <v>543</v>
      </c>
      <c r="I640" s="115" t="s">
        <v>82</v>
      </c>
    </row>
    <row r="641" spans="1:9" ht="13">
      <c r="A641" s="114">
        <v>46170</v>
      </c>
      <c r="B641" s="115">
        <v>7002640153</v>
      </c>
      <c r="C641" s="115" t="s">
        <v>524</v>
      </c>
      <c r="D641" s="115" t="s">
        <v>474</v>
      </c>
      <c r="E641" s="115" t="s">
        <v>463</v>
      </c>
      <c r="F641" s="115" t="s">
        <v>108</v>
      </c>
      <c r="G641" s="115">
        <v>6</v>
      </c>
      <c r="H641" s="115" t="s">
        <v>543</v>
      </c>
      <c r="I641" s="115" t="s">
        <v>82</v>
      </c>
    </row>
    <row r="642" spans="1:9" ht="13">
      <c r="A642" s="114">
        <v>46170</v>
      </c>
      <c r="B642" s="115">
        <v>7002640296</v>
      </c>
      <c r="C642" s="115" t="s">
        <v>524</v>
      </c>
      <c r="D642" s="115" t="s">
        <v>474</v>
      </c>
      <c r="E642" s="115" t="s">
        <v>98</v>
      </c>
      <c r="F642" s="115" t="s">
        <v>462</v>
      </c>
      <c r="G642" s="115">
        <v>2</v>
      </c>
      <c r="H642" s="115" t="s">
        <v>543</v>
      </c>
      <c r="I642" s="115" t="s">
        <v>82</v>
      </c>
    </row>
    <row r="643" spans="1:9" ht="13">
      <c r="A643" s="114">
        <v>46170</v>
      </c>
      <c r="B643" s="115">
        <v>7002640360</v>
      </c>
      <c r="C643" s="115" t="s">
        <v>524</v>
      </c>
      <c r="D643" s="115" t="s">
        <v>474</v>
      </c>
      <c r="E643" s="115" t="s">
        <v>98</v>
      </c>
      <c r="F643" s="115" t="s">
        <v>108</v>
      </c>
      <c r="G643" s="115">
        <v>1</v>
      </c>
      <c r="H643" s="115" t="s">
        <v>543</v>
      </c>
      <c r="I643" s="115" t="s">
        <v>82</v>
      </c>
    </row>
    <row r="644" spans="1:9" ht="13">
      <c r="A644" s="114">
        <v>46170</v>
      </c>
      <c r="B644" s="115">
        <v>7002640387</v>
      </c>
      <c r="C644" s="115" t="s">
        <v>524</v>
      </c>
      <c r="D644" s="115" t="s">
        <v>474</v>
      </c>
      <c r="E644" s="115" t="s">
        <v>454</v>
      </c>
      <c r="F644" s="115" t="s">
        <v>108</v>
      </c>
      <c r="G644" s="115">
        <v>4</v>
      </c>
      <c r="H644" s="115" t="s">
        <v>543</v>
      </c>
      <c r="I644" s="115" t="s">
        <v>82</v>
      </c>
    </row>
    <row r="645" spans="1:9" ht="13">
      <c r="A645" s="114">
        <v>46170</v>
      </c>
      <c r="B645" s="115">
        <v>7002640423</v>
      </c>
      <c r="C645" s="115" t="s">
        <v>524</v>
      </c>
      <c r="D645" s="115" t="s">
        <v>474</v>
      </c>
      <c r="E645" s="115" t="s">
        <v>454</v>
      </c>
      <c r="F645" s="115" t="s">
        <v>108</v>
      </c>
      <c r="G645" s="115">
        <v>8</v>
      </c>
      <c r="H645" s="115" t="s">
        <v>543</v>
      </c>
      <c r="I645" s="115" t="s">
        <v>82</v>
      </c>
    </row>
    <row r="646" spans="1:9" ht="13">
      <c r="A646" s="114">
        <v>46170</v>
      </c>
      <c r="B646" s="115">
        <v>7002640434</v>
      </c>
      <c r="C646" s="115" t="s">
        <v>524</v>
      </c>
      <c r="D646" s="115" t="s">
        <v>479</v>
      </c>
      <c r="E646" s="115" t="s">
        <v>470</v>
      </c>
      <c r="F646" s="115" t="s">
        <v>108</v>
      </c>
      <c r="G646" s="115">
        <v>3</v>
      </c>
      <c r="H646" s="115" t="s">
        <v>543</v>
      </c>
      <c r="I646" s="115" t="s">
        <v>82</v>
      </c>
    </row>
    <row r="647" spans="1:9" ht="13">
      <c r="A647" s="114">
        <v>46170</v>
      </c>
      <c r="B647" s="115">
        <v>7002640475</v>
      </c>
      <c r="C647" s="115" t="s">
        <v>524</v>
      </c>
      <c r="D647" s="115" t="s">
        <v>515</v>
      </c>
      <c r="E647" s="115" t="s">
        <v>470</v>
      </c>
      <c r="F647" s="115" t="s">
        <v>108</v>
      </c>
      <c r="G647" s="115">
        <v>38</v>
      </c>
      <c r="H647" s="115" t="s">
        <v>543</v>
      </c>
      <c r="I647" s="115" t="s">
        <v>82</v>
      </c>
    </row>
    <row r="648" spans="1:9" ht="13">
      <c r="A648" s="114">
        <v>46170</v>
      </c>
      <c r="B648" s="115">
        <v>7002640619</v>
      </c>
      <c r="C648" s="115" t="s">
        <v>524</v>
      </c>
      <c r="D648" s="115" t="s">
        <v>474</v>
      </c>
      <c r="E648" s="115" t="s">
        <v>454</v>
      </c>
      <c r="F648" s="115" t="s">
        <v>462</v>
      </c>
      <c r="G648" s="115">
        <v>2</v>
      </c>
      <c r="H648" s="115" t="s">
        <v>543</v>
      </c>
      <c r="I648" s="115" t="s">
        <v>82</v>
      </c>
    </row>
    <row r="649" spans="1:9" ht="13">
      <c r="A649" s="114">
        <v>46170</v>
      </c>
      <c r="B649" s="115">
        <v>7002640690</v>
      </c>
      <c r="C649" s="115" t="s">
        <v>524</v>
      </c>
      <c r="D649" s="115" t="s">
        <v>474</v>
      </c>
      <c r="E649" s="115" t="s">
        <v>533</v>
      </c>
      <c r="F649" s="115" t="s">
        <v>108</v>
      </c>
      <c r="G649" s="115">
        <v>3</v>
      </c>
      <c r="H649" s="115" t="s">
        <v>543</v>
      </c>
      <c r="I649" s="115" t="s">
        <v>82</v>
      </c>
    </row>
    <row r="650" spans="1:9" ht="13">
      <c r="A650" s="114">
        <v>46170</v>
      </c>
      <c r="B650" s="115">
        <v>7002640755</v>
      </c>
      <c r="C650" s="115" t="s">
        <v>524</v>
      </c>
      <c r="D650" s="115" t="s">
        <v>474</v>
      </c>
      <c r="E650" s="115" t="s">
        <v>528</v>
      </c>
      <c r="F650" s="115" t="s">
        <v>108</v>
      </c>
      <c r="G650" s="115">
        <v>2</v>
      </c>
      <c r="H650" s="115" t="s">
        <v>543</v>
      </c>
      <c r="I650" s="115" t="s">
        <v>82</v>
      </c>
    </row>
    <row r="651" spans="1:9" ht="13">
      <c r="A651" s="114">
        <v>46170</v>
      </c>
      <c r="B651" s="115">
        <v>7002640809</v>
      </c>
      <c r="C651" s="115" t="s">
        <v>524</v>
      </c>
      <c r="D651" s="115" t="s">
        <v>474</v>
      </c>
      <c r="E651" s="115" t="s">
        <v>463</v>
      </c>
      <c r="F651" s="115" t="s">
        <v>462</v>
      </c>
      <c r="G651" s="115">
        <v>2</v>
      </c>
      <c r="H651" s="115" t="s">
        <v>543</v>
      </c>
      <c r="I651" s="115" t="s">
        <v>82</v>
      </c>
    </row>
    <row r="652" spans="1:9" ht="13">
      <c r="A652" s="114">
        <v>46170</v>
      </c>
      <c r="B652" s="115">
        <v>7002640832</v>
      </c>
      <c r="C652" s="115" t="s">
        <v>524</v>
      </c>
      <c r="D652" s="115" t="s">
        <v>474</v>
      </c>
      <c r="E652" s="115" t="s">
        <v>98</v>
      </c>
      <c r="F652" s="115" t="s">
        <v>108</v>
      </c>
      <c r="G652" s="115">
        <v>1</v>
      </c>
      <c r="H652" s="115" t="s">
        <v>543</v>
      </c>
      <c r="I652" s="115" t="s">
        <v>82</v>
      </c>
    </row>
    <row r="653" spans="1:9" ht="13">
      <c r="A653" s="114">
        <v>46170</v>
      </c>
      <c r="B653" s="115">
        <v>7002641329</v>
      </c>
      <c r="C653" s="115" t="s">
        <v>524</v>
      </c>
      <c r="D653" s="115" t="s">
        <v>474</v>
      </c>
      <c r="E653" s="115" t="s">
        <v>91</v>
      </c>
      <c r="F653" s="115" t="s">
        <v>108</v>
      </c>
      <c r="G653" s="115">
        <v>4</v>
      </c>
      <c r="H653" s="115" t="s">
        <v>543</v>
      </c>
      <c r="I653" s="115" t="s">
        <v>82</v>
      </c>
    </row>
    <row r="654" spans="1:9" ht="13">
      <c r="A654" s="114">
        <v>46170</v>
      </c>
      <c r="B654" s="115">
        <v>7002641340</v>
      </c>
      <c r="C654" s="115" t="s">
        <v>524</v>
      </c>
      <c r="D654" s="115" t="s">
        <v>474</v>
      </c>
      <c r="E654" s="115" t="s">
        <v>91</v>
      </c>
      <c r="F654" s="115" t="s">
        <v>108</v>
      </c>
      <c r="G654" s="115">
        <v>6</v>
      </c>
      <c r="H654" s="115" t="s">
        <v>543</v>
      </c>
      <c r="I654" s="115" t="s">
        <v>82</v>
      </c>
    </row>
    <row r="655" spans="1:9" ht="13">
      <c r="A655" s="114">
        <v>46170</v>
      </c>
      <c r="B655" s="115">
        <v>7002641364</v>
      </c>
      <c r="C655" s="115" t="s">
        <v>524</v>
      </c>
      <c r="D655" s="115" t="s">
        <v>474</v>
      </c>
      <c r="E655" s="115" t="s">
        <v>91</v>
      </c>
      <c r="F655" s="115" t="s">
        <v>108</v>
      </c>
      <c r="G655" s="115">
        <v>1</v>
      </c>
      <c r="H655" s="115" t="s">
        <v>543</v>
      </c>
      <c r="I655" s="115" t="s">
        <v>82</v>
      </c>
    </row>
    <row r="656" spans="1:9" ht="13">
      <c r="A656" s="114">
        <v>46170</v>
      </c>
      <c r="B656" s="115">
        <v>7002641422</v>
      </c>
      <c r="C656" s="115" t="s">
        <v>524</v>
      </c>
      <c r="D656" s="115" t="s">
        <v>474</v>
      </c>
      <c r="E656" s="115" t="s">
        <v>98</v>
      </c>
      <c r="F656" s="115" t="s">
        <v>462</v>
      </c>
      <c r="G656" s="115">
        <v>1</v>
      </c>
      <c r="H656" s="115" t="s">
        <v>543</v>
      </c>
      <c r="I656" s="115" t="s">
        <v>82</v>
      </c>
    </row>
    <row r="657" spans="1:9" ht="13">
      <c r="A657" s="114">
        <v>46170</v>
      </c>
      <c r="B657" s="115">
        <v>7002641433</v>
      </c>
      <c r="C657" s="115" t="s">
        <v>524</v>
      </c>
      <c r="D657" s="115" t="s">
        <v>474</v>
      </c>
      <c r="E657" s="115" t="s">
        <v>533</v>
      </c>
      <c r="F657" s="115" t="s">
        <v>462</v>
      </c>
      <c r="G657" s="115">
        <v>4</v>
      </c>
      <c r="H657" s="115" t="s">
        <v>543</v>
      </c>
      <c r="I657" s="115" t="s">
        <v>82</v>
      </c>
    </row>
    <row r="658" spans="1:9" ht="13">
      <c r="A658" s="114">
        <v>46170</v>
      </c>
      <c r="B658" s="115">
        <v>7002641625</v>
      </c>
      <c r="C658" s="115" t="s">
        <v>524</v>
      </c>
      <c r="D658" s="115" t="s">
        <v>474</v>
      </c>
      <c r="E658" s="115" t="s">
        <v>454</v>
      </c>
      <c r="F658" s="115" t="s">
        <v>462</v>
      </c>
      <c r="G658" s="115">
        <v>1</v>
      </c>
      <c r="H658" s="115" t="s">
        <v>543</v>
      </c>
      <c r="I658" s="115" t="s">
        <v>82</v>
      </c>
    </row>
    <row r="659" spans="1:9" ht="13">
      <c r="A659" s="114">
        <v>46170</v>
      </c>
      <c r="B659" s="115">
        <v>7002642179</v>
      </c>
      <c r="C659" s="115" t="s">
        <v>524</v>
      </c>
      <c r="D659" s="115" t="s">
        <v>479</v>
      </c>
      <c r="E659" s="115" t="s">
        <v>103</v>
      </c>
      <c r="F659" s="115" t="s">
        <v>108</v>
      </c>
      <c r="G659" s="115">
        <v>1</v>
      </c>
      <c r="H659" s="115" t="s">
        <v>543</v>
      </c>
      <c r="I659" s="115" t="s">
        <v>82</v>
      </c>
    </row>
    <row r="660" spans="1:9" ht="13">
      <c r="A660" s="114">
        <v>46170</v>
      </c>
      <c r="B660" s="115">
        <v>7002642180</v>
      </c>
      <c r="C660" s="115" t="s">
        <v>524</v>
      </c>
      <c r="D660" s="115" t="s">
        <v>479</v>
      </c>
      <c r="E660" s="115" t="s">
        <v>103</v>
      </c>
      <c r="F660" s="115" t="s">
        <v>462</v>
      </c>
      <c r="G660" s="115">
        <v>1</v>
      </c>
      <c r="H660" s="115" t="s">
        <v>543</v>
      </c>
      <c r="I660" s="115" t="s">
        <v>82</v>
      </c>
    </row>
    <row r="661" spans="1:9" ht="13">
      <c r="A661" s="114">
        <v>46170</v>
      </c>
      <c r="B661" s="115">
        <v>7002642234</v>
      </c>
      <c r="C661" s="115" t="s">
        <v>524</v>
      </c>
      <c r="D661" s="115" t="s">
        <v>515</v>
      </c>
      <c r="E661" s="115" t="s">
        <v>470</v>
      </c>
      <c r="F661" s="115" t="s">
        <v>462</v>
      </c>
      <c r="G661" s="115">
        <v>29</v>
      </c>
      <c r="H661" s="115" t="s">
        <v>543</v>
      </c>
      <c r="I661" s="115" t="s">
        <v>82</v>
      </c>
    </row>
    <row r="662" spans="1:9" ht="13">
      <c r="A662" s="114">
        <v>46170</v>
      </c>
      <c r="B662" s="115">
        <v>7002642281</v>
      </c>
      <c r="C662" s="115" t="s">
        <v>524</v>
      </c>
      <c r="D662" s="115" t="s">
        <v>474</v>
      </c>
      <c r="E662" s="115" t="s">
        <v>91</v>
      </c>
      <c r="F662" s="115" t="s">
        <v>462</v>
      </c>
      <c r="G662" s="115">
        <v>2</v>
      </c>
      <c r="H662" s="115" t="s">
        <v>543</v>
      </c>
      <c r="I662" s="115" t="s">
        <v>82</v>
      </c>
    </row>
    <row r="663" spans="1:9" ht="13">
      <c r="A663" s="114">
        <v>46170</v>
      </c>
      <c r="B663" s="115">
        <v>7002642421</v>
      </c>
      <c r="C663" s="115" t="s">
        <v>524</v>
      </c>
      <c r="D663" s="115" t="s">
        <v>474</v>
      </c>
      <c r="E663" s="115" t="s">
        <v>98</v>
      </c>
      <c r="F663" s="115" t="s">
        <v>108</v>
      </c>
      <c r="G663" s="115">
        <v>9</v>
      </c>
      <c r="H663" s="115" t="s">
        <v>543</v>
      </c>
      <c r="I663" s="115" t="s">
        <v>82</v>
      </c>
    </row>
    <row r="664" spans="1:9" ht="13">
      <c r="A664" s="114">
        <v>46170</v>
      </c>
      <c r="B664" s="115">
        <v>7002642466</v>
      </c>
      <c r="C664" s="115" t="s">
        <v>524</v>
      </c>
      <c r="D664" s="115" t="s">
        <v>474</v>
      </c>
      <c r="E664" s="115" t="s">
        <v>533</v>
      </c>
      <c r="F664" s="115" t="s">
        <v>108</v>
      </c>
      <c r="G664" s="115">
        <v>1</v>
      </c>
      <c r="H664" s="115" t="s">
        <v>543</v>
      </c>
      <c r="I664" s="115" t="s">
        <v>82</v>
      </c>
    </row>
    <row r="665" spans="1:9" ht="13">
      <c r="A665" s="114">
        <v>46170</v>
      </c>
      <c r="B665" s="115">
        <v>7002642484</v>
      </c>
      <c r="C665" s="115" t="s">
        <v>524</v>
      </c>
      <c r="D665" s="115" t="s">
        <v>474</v>
      </c>
      <c r="E665" s="115" t="s">
        <v>454</v>
      </c>
      <c r="F665" s="115" t="s">
        <v>108</v>
      </c>
      <c r="G665" s="115">
        <v>1</v>
      </c>
      <c r="H665" s="115" t="s">
        <v>543</v>
      </c>
      <c r="I665" s="115" t="s">
        <v>82</v>
      </c>
    </row>
    <row r="666" spans="1:9" ht="13">
      <c r="A666" s="114">
        <v>46170</v>
      </c>
      <c r="B666" s="115">
        <v>7002642640</v>
      </c>
      <c r="C666" s="115" t="s">
        <v>524</v>
      </c>
      <c r="D666" s="115" t="s">
        <v>474</v>
      </c>
      <c r="E666" s="115" t="s">
        <v>98</v>
      </c>
      <c r="F666" s="115" t="s">
        <v>462</v>
      </c>
      <c r="G666" s="115">
        <v>1</v>
      </c>
      <c r="H666" s="115" t="s">
        <v>543</v>
      </c>
      <c r="I666" s="115" t="s">
        <v>82</v>
      </c>
    </row>
    <row r="667" spans="1:9" ht="13">
      <c r="A667" s="114">
        <v>46170</v>
      </c>
      <c r="B667" s="115">
        <v>7002642704</v>
      </c>
      <c r="C667" s="115" t="s">
        <v>524</v>
      </c>
      <c r="D667" s="115" t="s">
        <v>474</v>
      </c>
      <c r="E667" s="115" t="s">
        <v>98</v>
      </c>
      <c r="F667" s="115" t="s">
        <v>462</v>
      </c>
      <c r="G667" s="115">
        <v>1</v>
      </c>
      <c r="H667" s="115" t="s">
        <v>543</v>
      </c>
      <c r="I667" s="115" t="s">
        <v>82</v>
      </c>
    </row>
    <row r="668" spans="1:9" ht="13">
      <c r="A668" s="114">
        <v>46170</v>
      </c>
      <c r="B668" s="115">
        <v>7002643060</v>
      </c>
      <c r="C668" s="115" t="s">
        <v>524</v>
      </c>
      <c r="D668" s="115" t="s">
        <v>474</v>
      </c>
      <c r="E668" s="115" t="s">
        <v>98</v>
      </c>
      <c r="F668" s="115" t="s">
        <v>462</v>
      </c>
      <c r="G668" s="115">
        <v>5</v>
      </c>
      <c r="H668" s="115" t="s">
        <v>543</v>
      </c>
      <c r="I668" s="115" t="s">
        <v>82</v>
      </c>
    </row>
    <row r="669" spans="1:9" ht="13">
      <c r="A669" s="114">
        <v>46170</v>
      </c>
      <c r="B669" s="115">
        <v>7002643121</v>
      </c>
      <c r="C669" s="115" t="s">
        <v>524</v>
      </c>
      <c r="D669" s="115" t="s">
        <v>474</v>
      </c>
      <c r="E669" s="115" t="s">
        <v>463</v>
      </c>
      <c r="F669" s="115" t="s">
        <v>108</v>
      </c>
      <c r="G669" s="115">
        <v>2</v>
      </c>
      <c r="H669" s="115" t="s">
        <v>543</v>
      </c>
      <c r="I669" s="115" t="s">
        <v>82</v>
      </c>
    </row>
    <row r="670" spans="1:9" ht="13">
      <c r="A670" s="114">
        <v>46170</v>
      </c>
      <c r="B670" s="115">
        <v>7002643298</v>
      </c>
      <c r="C670" s="115" t="s">
        <v>524</v>
      </c>
      <c r="D670" s="115" t="s">
        <v>474</v>
      </c>
      <c r="E670" s="115" t="s">
        <v>463</v>
      </c>
      <c r="F670" s="115" t="s">
        <v>462</v>
      </c>
      <c r="G670" s="115">
        <v>3</v>
      </c>
      <c r="H670" s="115" t="s">
        <v>543</v>
      </c>
      <c r="I670" s="115" t="s">
        <v>82</v>
      </c>
    </row>
    <row r="671" spans="1:9" ht="13">
      <c r="A671" s="114">
        <v>46170</v>
      </c>
      <c r="B671" s="115">
        <v>7002643408</v>
      </c>
      <c r="C671" s="115" t="s">
        <v>524</v>
      </c>
      <c r="D671" s="115" t="s">
        <v>474</v>
      </c>
      <c r="E671" s="115" t="s">
        <v>533</v>
      </c>
      <c r="F671" s="115" t="s">
        <v>108</v>
      </c>
      <c r="G671" s="115">
        <v>5</v>
      </c>
      <c r="H671" s="115" t="s">
        <v>543</v>
      </c>
      <c r="I671" s="115" t="s">
        <v>82</v>
      </c>
    </row>
    <row r="672" spans="1:9" ht="13">
      <c r="A672" s="114">
        <v>46170</v>
      </c>
      <c r="B672" s="115">
        <v>7002643483</v>
      </c>
      <c r="C672" s="115" t="s">
        <v>524</v>
      </c>
      <c r="D672" s="115" t="s">
        <v>474</v>
      </c>
      <c r="E672" s="115" t="s">
        <v>454</v>
      </c>
      <c r="F672" s="115" t="s">
        <v>462</v>
      </c>
      <c r="G672" s="115">
        <v>1</v>
      </c>
      <c r="H672" s="115" t="s">
        <v>543</v>
      </c>
      <c r="I672" s="115" t="s">
        <v>82</v>
      </c>
    </row>
    <row r="673" spans="1:9" ht="13">
      <c r="A673" s="114">
        <v>46170</v>
      </c>
      <c r="B673" s="115">
        <v>7002643555</v>
      </c>
      <c r="C673" s="115" t="s">
        <v>524</v>
      </c>
      <c r="D673" s="115" t="s">
        <v>474</v>
      </c>
      <c r="E673" s="115" t="s">
        <v>533</v>
      </c>
      <c r="F673" s="115" t="s">
        <v>462</v>
      </c>
      <c r="G673" s="115">
        <v>3</v>
      </c>
      <c r="H673" s="115" t="s">
        <v>543</v>
      </c>
      <c r="I673" s="115" t="s">
        <v>82</v>
      </c>
    </row>
    <row r="674" spans="1:9" ht="13">
      <c r="A674" s="114">
        <v>46170</v>
      </c>
      <c r="B674" s="115">
        <v>7002643735</v>
      </c>
      <c r="C674" s="115" t="s">
        <v>524</v>
      </c>
      <c r="D674" s="115" t="s">
        <v>474</v>
      </c>
      <c r="E674" s="115" t="s">
        <v>91</v>
      </c>
      <c r="F674" s="115" t="s">
        <v>462</v>
      </c>
      <c r="G674" s="115">
        <v>1</v>
      </c>
      <c r="H674" s="115" t="s">
        <v>543</v>
      </c>
      <c r="I674" s="115" t="s">
        <v>82</v>
      </c>
    </row>
    <row r="675" spans="1:9" ht="13">
      <c r="A675" s="114">
        <v>46170</v>
      </c>
      <c r="B675" s="115">
        <v>7002643742</v>
      </c>
      <c r="C675" s="115" t="s">
        <v>524</v>
      </c>
      <c r="D675" s="115" t="s">
        <v>474</v>
      </c>
      <c r="E675" s="115" t="s">
        <v>463</v>
      </c>
      <c r="F675" s="115" t="s">
        <v>462</v>
      </c>
      <c r="G675" s="115">
        <v>1</v>
      </c>
      <c r="H675" s="115" t="s">
        <v>543</v>
      </c>
      <c r="I675" s="115" t="s">
        <v>82</v>
      </c>
    </row>
    <row r="676" spans="1:9" ht="13">
      <c r="A676" s="114">
        <v>46170</v>
      </c>
      <c r="B676" s="115">
        <v>7002644297</v>
      </c>
      <c r="C676" s="115" t="s">
        <v>524</v>
      </c>
      <c r="D676" s="115" t="s">
        <v>474</v>
      </c>
      <c r="E676" s="115" t="s">
        <v>463</v>
      </c>
      <c r="F676" s="115" t="s">
        <v>108</v>
      </c>
      <c r="G676" s="115">
        <v>3</v>
      </c>
      <c r="H676" s="115" t="s">
        <v>543</v>
      </c>
      <c r="I676" s="115" t="s">
        <v>82</v>
      </c>
    </row>
    <row r="677" spans="1:9" ht="13">
      <c r="A677" s="114">
        <v>46170</v>
      </c>
      <c r="B677" s="115">
        <v>7002644424</v>
      </c>
      <c r="C677" s="115" t="s">
        <v>524</v>
      </c>
      <c r="D677" s="115" t="s">
        <v>474</v>
      </c>
      <c r="E677" s="115" t="s">
        <v>463</v>
      </c>
      <c r="F677" s="115" t="s">
        <v>108</v>
      </c>
      <c r="G677" s="115">
        <v>4</v>
      </c>
      <c r="H677" s="115" t="s">
        <v>543</v>
      </c>
      <c r="I677" s="115" t="s">
        <v>82</v>
      </c>
    </row>
    <row r="678" spans="1:9" ht="13">
      <c r="A678" s="114">
        <v>46170</v>
      </c>
      <c r="B678" s="115">
        <v>7002644627</v>
      </c>
      <c r="C678" s="115" t="s">
        <v>524</v>
      </c>
      <c r="D678" s="115" t="s">
        <v>474</v>
      </c>
      <c r="E678" s="115" t="s">
        <v>454</v>
      </c>
      <c r="F678" s="115" t="s">
        <v>108</v>
      </c>
      <c r="G678" s="115">
        <v>1</v>
      </c>
      <c r="H678" s="115" t="s">
        <v>543</v>
      </c>
      <c r="I678" s="115" t="s">
        <v>82</v>
      </c>
    </row>
    <row r="679" spans="1:9" ht="13">
      <c r="A679" s="114">
        <v>46170</v>
      </c>
      <c r="B679" s="115">
        <v>7002644689</v>
      </c>
      <c r="C679" s="115" t="s">
        <v>524</v>
      </c>
      <c r="D679" s="115" t="s">
        <v>474</v>
      </c>
      <c r="E679" s="115" t="s">
        <v>98</v>
      </c>
      <c r="F679" s="115" t="s">
        <v>108</v>
      </c>
      <c r="G679" s="115">
        <v>4</v>
      </c>
      <c r="H679" s="115" t="s">
        <v>543</v>
      </c>
      <c r="I679" s="115" t="s">
        <v>82</v>
      </c>
    </row>
    <row r="680" spans="1:9" ht="13">
      <c r="A680" s="114">
        <v>46170</v>
      </c>
      <c r="B680" s="115">
        <v>7002644787</v>
      </c>
      <c r="C680" s="115" t="s">
        <v>524</v>
      </c>
      <c r="D680" s="115" t="s">
        <v>474</v>
      </c>
      <c r="E680" s="115" t="s">
        <v>463</v>
      </c>
      <c r="F680" s="115" t="s">
        <v>462</v>
      </c>
      <c r="G680" s="115">
        <v>2</v>
      </c>
      <c r="H680" s="115" t="s">
        <v>543</v>
      </c>
      <c r="I680" s="115" t="s">
        <v>82</v>
      </c>
    </row>
    <row r="681" spans="1:9" ht="13">
      <c r="A681" s="114">
        <v>46170</v>
      </c>
      <c r="B681" s="115">
        <v>7002645126</v>
      </c>
      <c r="C681" s="115" t="s">
        <v>524</v>
      </c>
      <c r="D681" s="115" t="s">
        <v>479</v>
      </c>
      <c r="E681" s="115" t="s">
        <v>470</v>
      </c>
      <c r="F681" s="115" t="s">
        <v>108</v>
      </c>
      <c r="G681" s="115">
        <v>2</v>
      </c>
      <c r="H681" s="115" t="s">
        <v>543</v>
      </c>
      <c r="I681" s="115" t="s">
        <v>82</v>
      </c>
    </row>
    <row r="682" spans="1:9" ht="13">
      <c r="A682" s="114">
        <v>46170</v>
      </c>
      <c r="B682" s="115">
        <v>7002645534</v>
      </c>
      <c r="C682" s="115" t="s">
        <v>524</v>
      </c>
      <c r="D682" s="115" t="s">
        <v>474</v>
      </c>
      <c r="E682" s="115" t="s">
        <v>98</v>
      </c>
      <c r="F682" s="115" t="s">
        <v>462</v>
      </c>
      <c r="G682" s="115">
        <v>5</v>
      </c>
      <c r="H682" s="115" t="s">
        <v>543</v>
      </c>
      <c r="I682" s="115" t="s">
        <v>82</v>
      </c>
    </row>
    <row r="683" spans="1:9" ht="13">
      <c r="A683" s="114">
        <v>46170</v>
      </c>
      <c r="B683" s="115">
        <v>7002645552</v>
      </c>
      <c r="C683" s="115" t="s">
        <v>524</v>
      </c>
      <c r="D683" s="115" t="s">
        <v>474</v>
      </c>
      <c r="E683" s="115" t="s">
        <v>533</v>
      </c>
      <c r="F683" s="115" t="s">
        <v>462</v>
      </c>
      <c r="G683" s="115">
        <v>2</v>
      </c>
      <c r="H683" s="115" t="s">
        <v>543</v>
      </c>
      <c r="I683" s="115" t="s">
        <v>82</v>
      </c>
    </row>
    <row r="684" spans="1:9" ht="13">
      <c r="A684" s="114">
        <v>46170</v>
      </c>
      <c r="B684" s="115">
        <v>7002645648</v>
      </c>
      <c r="C684" s="115" t="s">
        <v>524</v>
      </c>
      <c r="D684" s="115" t="s">
        <v>474</v>
      </c>
      <c r="E684" s="115" t="s">
        <v>463</v>
      </c>
      <c r="F684" s="115" t="s">
        <v>108</v>
      </c>
      <c r="G684" s="115">
        <v>2</v>
      </c>
      <c r="H684" s="115" t="s">
        <v>543</v>
      </c>
      <c r="I684" s="115" t="s">
        <v>82</v>
      </c>
    </row>
    <row r="685" spans="1:9" ht="13">
      <c r="A685" s="114">
        <v>46170</v>
      </c>
      <c r="B685" s="115">
        <v>7002645676</v>
      </c>
      <c r="C685" s="115" t="s">
        <v>524</v>
      </c>
      <c r="D685" s="115" t="s">
        <v>474</v>
      </c>
      <c r="E685" s="115" t="s">
        <v>454</v>
      </c>
      <c r="F685" s="115" t="s">
        <v>462</v>
      </c>
      <c r="G685" s="115">
        <v>2</v>
      </c>
      <c r="H685" s="115" t="s">
        <v>543</v>
      </c>
      <c r="I685" s="115" t="s">
        <v>82</v>
      </c>
    </row>
    <row r="686" spans="1:9" ht="13">
      <c r="A686" s="114">
        <v>46170</v>
      </c>
      <c r="B686" s="115">
        <v>7002645682</v>
      </c>
      <c r="C686" s="115" t="s">
        <v>524</v>
      </c>
      <c r="D686" s="115" t="s">
        <v>474</v>
      </c>
      <c r="E686" s="115" t="s">
        <v>463</v>
      </c>
      <c r="F686" s="115" t="s">
        <v>108</v>
      </c>
      <c r="G686" s="115">
        <v>3</v>
      </c>
      <c r="H686" s="115" t="s">
        <v>543</v>
      </c>
      <c r="I686" s="115" t="s">
        <v>82</v>
      </c>
    </row>
    <row r="687" spans="1:9" ht="13">
      <c r="A687" s="114">
        <v>46170</v>
      </c>
      <c r="B687" s="115">
        <v>7002645801</v>
      </c>
      <c r="C687" s="115" t="s">
        <v>524</v>
      </c>
      <c r="D687" s="115" t="s">
        <v>474</v>
      </c>
      <c r="E687" s="115" t="s">
        <v>91</v>
      </c>
      <c r="F687" s="115" t="s">
        <v>462</v>
      </c>
      <c r="G687" s="115">
        <v>1</v>
      </c>
      <c r="H687" s="115" t="s">
        <v>543</v>
      </c>
      <c r="I687" s="115" t="s">
        <v>82</v>
      </c>
    </row>
    <row r="688" spans="1:9" ht="13">
      <c r="A688" s="114">
        <v>46170</v>
      </c>
      <c r="B688" s="115">
        <v>7002646158</v>
      </c>
      <c r="C688" s="115" t="s">
        <v>524</v>
      </c>
      <c r="D688" s="115" t="s">
        <v>474</v>
      </c>
      <c r="E688" s="115" t="s">
        <v>538</v>
      </c>
      <c r="F688" s="115" t="s">
        <v>462</v>
      </c>
      <c r="G688" s="115">
        <v>2</v>
      </c>
      <c r="H688" s="115" t="s">
        <v>543</v>
      </c>
      <c r="I688" s="115" t="s">
        <v>82</v>
      </c>
    </row>
    <row r="689" spans="1:9" ht="13">
      <c r="A689" s="114">
        <v>46170</v>
      </c>
      <c r="B689" s="115">
        <v>7002646524</v>
      </c>
      <c r="C689" s="115" t="s">
        <v>524</v>
      </c>
      <c r="D689" s="115" t="s">
        <v>474</v>
      </c>
      <c r="E689" s="115" t="s">
        <v>91</v>
      </c>
      <c r="F689" s="115" t="s">
        <v>462</v>
      </c>
      <c r="G689" s="115">
        <v>2</v>
      </c>
      <c r="H689" s="115" t="s">
        <v>543</v>
      </c>
      <c r="I689" s="115" t="s">
        <v>82</v>
      </c>
    </row>
    <row r="690" spans="1:9" ht="13">
      <c r="A690" s="114">
        <v>46170</v>
      </c>
      <c r="B690" s="115">
        <v>7002646631</v>
      </c>
      <c r="C690" s="115" t="s">
        <v>524</v>
      </c>
      <c r="D690" s="115" t="s">
        <v>474</v>
      </c>
      <c r="E690" s="115" t="s">
        <v>454</v>
      </c>
      <c r="F690" s="115" t="s">
        <v>108</v>
      </c>
      <c r="G690" s="115">
        <v>1</v>
      </c>
      <c r="H690" s="115" t="s">
        <v>543</v>
      </c>
      <c r="I690" s="115" t="s">
        <v>82</v>
      </c>
    </row>
    <row r="691" spans="1:9" ht="13">
      <c r="A691" s="114">
        <v>46170</v>
      </c>
      <c r="B691" s="115">
        <v>7002647116</v>
      </c>
      <c r="C691" s="115" t="s">
        <v>524</v>
      </c>
      <c r="D691" s="115" t="s">
        <v>474</v>
      </c>
      <c r="E691" s="115" t="s">
        <v>538</v>
      </c>
      <c r="F691" s="115" t="s">
        <v>462</v>
      </c>
      <c r="G691" s="115">
        <v>2</v>
      </c>
      <c r="H691" s="115" t="s">
        <v>543</v>
      </c>
      <c r="I691" s="115" t="s">
        <v>82</v>
      </c>
    </row>
    <row r="692" spans="1:9" ht="13">
      <c r="A692" s="114">
        <v>46170</v>
      </c>
      <c r="B692" s="115">
        <v>7002647163</v>
      </c>
      <c r="C692" s="115" t="s">
        <v>524</v>
      </c>
      <c r="D692" s="115" t="s">
        <v>474</v>
      </c>
      <c r="E692" s="115" t="s">
        <v>463</v>
      </c>
      <c r="F692" s="115" t="s">
        <v>108</v>
      </c>
      <c r="G692" s="115">
        <v>72</v>
      </c>
      <c r="H692" s="115" t="s">
        <v>543</v>
      </c>
      <c r="I692" s="115" t="s">
        <v>82</v>
      </c>
    </row>
    <row r="693" spans="1:9" ht="13">
      <c r="A693" s="114">
        <v>46170</v>
      </c>
      <c r="B693" s="115">
        <v>7002647464</v>
      </c>
      <c r="C693" s="115" t="s">
        <v>524</v>
      </c>
      <c r="D693" s="115" t="s">
        <v>474</v>
      </c>
      <c r="E693" s="115" t="s">
        <v>533</v>
      </c>
      <c r="F693" s="115" t="s">
        <v>108</v>
      </c>
      <c r="G693" s="115">
        <v>1</v>
      </c>
      <c r="H693" s="115" t="s">
        <v>543</v>
      </c>
      <c r="I693" s="115" t="s">
        <v>82</v>
      </c>
    </row>
    <row r="694" spans="1:9" ht="13">
      <c r="A694" s="114">
        <v>46170</v>
      </c>
      <c r="B694" s="115">
        <v>7002647549</v>
      </c>
      <c r="C694" s="115" t="s">
        <v>524</v>
      </c>
      <c r="D694" s="115" t="s">
        <v>474</v>
      </c>
      <c r="E694" s="115" t="s">
        <v>454</v>
      </c>
      <c r="F694" s="115" t="s">
        <v>462</v>
      </c>
      <c r="G694" s="115">
        <v>1</v>
      </c>
      <c r="H694" s="115" t="s">
        <v>543</v>
      </c>
      <c r="I694" s="115" t="s">
        <v>82</v>
      </c>
    </row>
    <row r="695" spans="1:9" ht="13">
      <c r="A695" s="114">
        <v>46170</v>
      </c>
      <c r="B695" s="115">
        <v>7002647554</v>
      </c>
      <c r="C695" s="115" t="s">
        <v>524</v>
      </c>
      <c r="D695" s="115" t="s">
        <v>474</v>
      </c>
      <c r="E695" s="115" t="s">
        <v>533</v>
      </c>
      <c r="F695" s="115" t="s">
        <v>462</v>
      </c>
      <c r="G695" s="115">
        <v>8</v>
      </c>
      <c r="H695" s="115" t="s">
        <v>543</v>
      </c>
      <c r="I695" s="115" t="s">
        <v>82</v>
      </c>
    </row>
    <row r="696" spans="1:9" ht="13">
      <c r="A696" s="114">
        <v>46170</v>
      </c>
      <c r="B696" s="115">
        <v>7002647596</v>
      </c>
      <c r="C696" s="115" t="s">
        <v>524</v>
      </c>
      <c r="D696" s="115" t="s">
        <v>474</v>
      </c>
      <c r="E696" s="115" t="s">
        <v>454</v>
      </c>
      <c r="F696" s="115" t="s">
        <v>462</v>
      </c>
      <c r="G696" s="115">
        <v>2</v>
      </c>
      <c r="H696" s="115" t="s">
        <v>543</v>
      </c>
      <c r="I696" s="115" t="s">
        <v>82</v>
      </c>
    </row>
    <row r="697" spans="1:9" ht="13">
      <c r="A697" s="114">
        <v>46170</v>
      </c>
      <c r="B697" s="115">
        <v>7002647781</v>
      </c>
      <c r="C697" s="115" t="s">
        <v>524</v>
      </c>
      <c r="D697" s="115" t="s">
        <v>474</v>
      </c>
      <c r="E697" s="115" t="s">
        <v>91</v>
      </c>
      <c r="F697" s="115" t="s">
        <v>462</v>
      </c>
      <c r="G697" s="115">
        <v>1</v>
      </c>
      <c r="H697" s="115" t="s">
        <v>543</v>
      </c>
      <c r="I697" s="115" t="s">
        <v>82</v>
      </c>
    </row>
    <row r="698" spans="1:9" ht="13">
      <c r="A698" s="114">
        <v>46170</v>
      </c>
      <c r="B698" s="115">
        <v>7002647799</v>
      </c>
      <c r="C698" s="115" t="s">
        <v>524</v>
      </c>
      <c r="D698" s="115" t="s">
        <v>474</v>
      </c>
      <c r="E698" s="115" t="s">
        <v>91</v>
      </c>
      <c r="F698" s="115" t="s">
        <v>462</v>
      </c>
      <c r="G698" s="115">
        <v>1</v>
      </c>
      <c r="H698" s="115" t="s">
        <v>543</v>
      </c>
      <c r="I698" s="115" t="s">
        <v>82</v>
      </c>
    </row>
    <row r="699" spans="1:9" ht="13">
      <c r="A699" s="114">
        <v>46170</v>
      </c>
      <c r="B699" s="115">
        <v>7002648193</v>
      </c>
      <c r="C699" s="115" t="s">
        <v>524</v>
      </c>
      <c r="D699" s="115" t="s">
        <v>474</v>
      </c>
      <c r="E699" s="115" t="s">
        <v>463</v>
      </c>
      <c r="F699" s="115" t="s">
        <v>108</v>
      </c>
      <c r="G699" s="115">
        <v>1</v>
      </c>
      <c r="H699" s="115" t="s">
        <v>543</v>
      </c>
      <c r="I699" s="115" t="s">
        <v>82</v>
      </c>
    </row>
    <row r="700" spans="1:9" ht="13">
      <c r="A700" s="114">
        <v>46170</v>
      </c>
      <c r="B700" s="115">
        <v>7002648216</v>
      </c>
      <c r="C700" s="115" t="s">
        <v>524</v>
      </c>
      <c r="D700" s="115" t="s">
        <v>479</v>
      </c>
      <c r="E700" s="115" t="s">
        <v>470</v>
      </c>
      <c r="F700" s="115" t="s">
        <v>108</v>
      </c>
      <c r="G700" s="115">
        <v>47</v>
      </c>
      <c r="H700" s="115" t="s">
        <v>543</v>
      </c>
      <c r="I700" s="115" t="s">
        <v>82</v>
      </c>
    </row>
    <row r="701" spans="1:9" ht="13">
      <c r="A701" s="114">
        <v>46170</v>
      </c>
      <c r="B701" s="115">
        <v>7002648425</v>
      </c>
      <c r="C701" s="115" t="s">
        <v>524</v>
      </c>
      <c r="D701" s="115" t="s">
        <v>474</v>
      </c>
      <c r="E701" s="115" t="s">
        <v>98</v>
      </c>
      <c r="F701" s="115" t="s">
        <v>462</v>
      </c>
      <c r="G701" s="115">
        <v>1</v>
      </c>
      <c r="H701" s="115" t="s">
        <v>543</v>
      </c>
      <c r="I701" s="115" t="s">
        <v>82</v>
      </c>
    </row>
    <row r="702" spans="1:9" ht="13">
      <c r="A702" s="114">
        <v>46170</v>
      </c>
      <c r="B702" s="115">
        <v>7002648584</v>
      </c>
      <c r="C702" s="115" t="s">
        <v>524</v>
      </c>
      <c r="D702" s="115" t="s">
        <v>474</v>
      </c>
      <c r="E702" s="115" t="s">
        <v>91</v>
      </c>
      <c r="F702" s="115" t="s">
        <v>462</v>
      </c>
      <c r="G702" s="115">
        <v>2</v>
      </c>
      <c r="H702" s="115" t="s">
        <v>543</v>
      </c>
      <c r="I702" s="115" t="s">
        <v>82</v>
      </c>
    </row>
    <row r="703" spans="1:9" ht="13">
      <c r="A703" s="114">
        <v>46170</v>
      </c>
      <c r="B703" s="115">
        <v>7002648646</v>
      </c>
      <c r="C703" s="115" t="s">
        <v>524</v>
      </c>
      <c r="D703" s="115" t="s">
        <v>474</v>
      </c>
      <c r="E703" s="115" t="s">
        <v>98</v>
      </c>
      <c r="F703" s="115" t="s">
        <v>462</v>
      </c>
      <c r="G703" s="115">
        <v>2</v>
      </c>
      <c r="H703" s="115" t="s">
        <v>543</v>
      </c>
      <c r="I703" s="115" t="s">
        <v>82</v>
      </c>
    </row>
    <row r="704" spans="1:9" ht="13">
      <c r="A704" s="114">
        <v>46170</v>
      </c>
      <c r="B704" s="115">
        <v>7002648679</v>
      </c>
      <c r="C704" s="115" t="s">
        <v>524</v>
      </c>
      <c r="D704" s="115" t="s">
        <v>474</v>
      </c>
      <c r="E704" s="115" t="s">
        <v>454</v>
      </c>
      <c r="F704" s="115" t="s">
        <v>108</v>
      </c>
      <c r="G704" s="115">
        <v>4</v>
      </c>
      <c r="H704" s="115" t="s">
        <v>543</v>
      </c>
      <c r="I704" s="115" t="s">
        <v>82</v>
      </c>
    </row>
    <row r="705" spans="1:9" ht="13">
      <c r="A705" s="114">
        <v>46170</v>
      </c>
      <c r="B705" s="115">
        <v>7002648795</v>
      </c>
      <c r="C705" s="115" t="s">
        <v>524</v>
      </c>
      <c r="D705" s="115" t="s">
        <v>474</v>
      </c>
      <c r="E705" s="115" t="s">
        <v>91</v>
      </c>
      <c r="F705" s="115" t="s">
        <v>462</v>
      </c>
      <c r="G705" s="115">
        <v>1</v>
      </c>
      <c r="H705" s="115" t="s">
        <v>543</v>
      </c>
      <c r="I705" s="115" t="s">
        <v>82</v>
      </c>
    </row>
    <row r="706" spans="1:9" ht="13">
      <c r="A706" s="114">
        <v>46170</v>
      </c>
      <c r="B706" s="115">
        <v>7002648804</v>
      </c>
      <c r="C706" s="115" t="s">
        <v>524</v>
      </c>
      <c r="D706" s="115" t="s">
        <v>474</v>
      </c>
      <c r="E706" s="115" t="s">
        <v>463</v>
      </c>
      <c r="F706" s="115" t="s">
        <v>108</v>
      </c>
      <c r="G706" s="115">
        <v>1</v>
      </c>
      <c r="H706" s="115" t="s">
        <v>543</v>
      </c>
      <c r="I706" s="115" t="s">
        <v>82</v>
      </c>
    </row>
    <row r="707" spans="1:9" ht="13">
      <c r="A707" s="114">
        <v>46170</v>
      </c>
      <c r="B707" s="115">
        <v>7002649050</v>
      </c>
      <c r="C707" s="115" t="s">
        <v>524</v>
      </c>
      <c r="D707" s="115" t="s">
        <v>474</v>
      </c>
      <c r="E707" s="115" t="s">
        <v>533</v>
      </c>
      <c r="F707" s="115" t="s">
        <v>462</v>
      </c>
      <c r="G707" s="115">
        <v>1</v>
      </c>
      <c r="H707" s="115" t="s">
        <v>543</v>
      </c>
      <c r="I707" s="115" t="s">
        <v>82</v>
      </c>
    </row>
    <row r="708" spans="1:9" ht="13">
      <c r="A708" s="114">
        <v>46170</v>
      </c>
      <c r="B708" s="115">
        <v>7002649118</v>
      </c>
      <c r="C708" s="115" t="s">
        <v>524</v>
      </c>
      <c r="D708" s="115" t="s">
        <v>474</v>
      </c>
      <c r="E708" s="115" t="s">
        <v>463</v>
      </c>
      <c r="F708" s="115" t="s">
        <v>462</v>
      </c>
      <c r="G708" s="115">
        <v>1</v>
      </c>
      <c r="H708" s="115" t="s">
        <v>543</v>
      </c>
      <c r="I708" s="115" t="s">
        <v>82</v>
      </c>
    </row>
    <row r="709" spans="1:9" ht="13">
      <c r="A709" s="114">
        <v>46170</v>
      </c>
      <c r="B709" s="115">
        <v>7002649160</v>
      </c>
      <c r="C709" s="115" t="s">
        <v>524</v>
      </c>
      <c r="D709" s="115" t="s">
        <v>474</v>
      </c>
      <c r="E709" s="115" t="s">
        <v>463</v>
      </c>
      <c r="F709" s="115" t="s">
        <v>108</v>
      </c>
      <c r="G709" s="115">
        <v>9</v>
      </c>
      <c r="H709" s="115" t="s">
        <v>543</v>
      </c>
      <c r="I709" s="115" t="s">
        <v>82</v>
      </c>
    </row>
    <row r="710" spans="1:9" ht="13">
      <c r="A710" s="114">
        <v>46170</v>
      </c>
      <c r="B710" s="115">
        <v>7002649240</v>
      </c>
      <c r="C710" s="115" t="s">
        <v>524</v>
      </c>
      <c r="D710" s="115" t="s">
        <v>474</v>
      </c>
      <c r="E710" s="115" t="s">
        <v>463</v>
      </c>
      <c r="F710" s="115" t="s">
        <v>462</v>
      </c>
      <c r="G710" s="115">
        <v>3</v>
      </c>
      <c r="H710" s="115" t="s">
        <v>543</v>
      </c>
      <c r="I710" s="115" t="s">
        <v>82</v>
      </c>
    </row>
    <row r="711" spans="1:9" ht="13">
      <c r="A711" s="114">
        <v>46170</v>
      </c>
      <c r="B711" s="115">
        <v>7002649272</v>
      </c>
      <c r="C711" s="115" t="s">
        <v>524</v>
      </c>
      <c r="D711" s="115" t="s">
        <v>474</v>
      </c>
      <c r="E711" s="115" t="s">
        <v>91</v>
      </c>
      <c r="F711" s="115" t="s">
        <v>462</v>
      </c>
      <c r="G711" s="115">
        <v>4</v>
      </c>
      <c r="H711" s="115" t="s">
        <v>543</v>
      </c>
      <c r="I711" s="115" t="s">
        <v>82</v>
      </c>
    </row>
    <row r="712" spans="1:9" ht="13">
      <c r="A712" s="114">
        <v>46170</v>
      </c>
      <c r="B712" s="115">
        <v>7002649307</v>
      </c>
      <c r="C712" s="115" t="s">
        <v>524</v>
      </c>
      <c r="D712" s="115" t="s">
        <v>474</v>
      </c>
      <c r="E712" s="115" t="s">
        <v>91</v>
      </c>
      <c r="F712" s="115" t="s">
        <v>462</v>
      </c>
      <c r="G712" s="115">
        <v>8</v>
      </c>
      <c r="H712" s="115" t="s">
        <v>543</v>
      </c>
      <c r="I712" s="115" t="s">
        <v>82</v>
      </c>
    </row>
    <row r="713" spans="1:9" ht="13">
      <c r="A713" s="114">
        <v>46170</v>
      </c>
      <c r="B713" s="115">
        <v>7002649382</v>
      </c>
      <c r="C713" s="115" t="s">
        <v>524</v>
      </c>
      <c r="D713" s="115" t="s">
        <v>474</v>
      </c>
      <c r="E713" s="115" t="s">
        <v>547</v>
      </c>
      <c r="F713" s="115" t="s">
        <v>108</v>
      </c>
      <c r="G713" s="115">
        <v>9</v>
      </c>
      <c r="H713" s="115" t="s">
        <v>543</v>
      </c>
      <c r="I713" s="115" t="s">
        <v>82</v>
      </c>
    </row>
    <row r="714" spans="1:9" ht="13">
      <c r="A714" s="114">
        <v>46170</v>
      </c>
      <c r="B714" s="115">
        <v>7002649395</v>
      </c>
      <c r="C714" s="115" t="s">
        <v>524</v>
      </c>
      <c r="D714" s="115" t="s">
        <v>474</v>
      </c>
      <c r="E714" s="115" t="s">
        <v>463</v>
      </c>
      <c r="F714" s="115" t="s">
        <v>462</v>
      </c>
      <c r="G714" s="115">
        <v>4</v>
      </c>
      <c r="H714" s="115" t="s">
        <v>543</v>
      </c>
      <c r="I714" s="115" t="s">
        <v>82</v>
      </c>
    </row>
    <row r="715" spans="1:9" ht="13">
      <c r="A715" s="114">
        <v>46170</v>
      </c>
      <c r="B715" s="115">
        <v>7002649457</v>
      </c>
      <c r="C715" s="115" t="s">
        <v>524</v>
      </c>
      <c r="D715" s="115" t="s">
        <v>474</v>
      </c>
      <c r="E715" s="115" t="s">
        <v>98</v>
      </c>
      <c r="F715" s="115" t="s">
        <v>108</v>
      </c>
      <c r="G715" s="115">
        <v>4</v>
      </c>
      <c r="H715" s="115" t="s">
        <v>543</v>
      </c>
      <c r="I715" s="115" t="s">
        <v>82</v>
      </c>
    </row>
    <row r="716" spans="1:9" ht="13">
      <c r="A716" s="114">
        <v>46170</v>
      </c>
      <c r="B716" s="115">
        <v>7002649461</v>
      </c>
      <c r="C716" s="115" t="s">
        <v>524</v>
      </c>
      <c r="D716" s="115" t="s">
        <v>474</v>
      </c>
      <c r="E716" s="115" t="s">
        <v>98</v>
      </c>
      <c r="F716" s="115" t="s">
        <v>108</v>
      </c>
      <c r="G716" s="115">
        <v>1</v>
      </c>
      <c r="H716" s="115" t="s">
        <v>543</v>
      </c>
      <c r="I716" s="115" t="s">
        <v>82</v>
      </c>
    </row>
    <row r="717" spans="1:9" ht="13">
      <c r="A717" s="114">
        <v>46170</v>
      </c>
      <c r="B717" s="115">
        <v>7002649699</v>
      </c>
      <c r="C717" s="115" t="s">
        <v>524</v>
      </c>
      <c r="D717" s="115" t="s">
        <v>474</v>
      </c>
      <c r="E717" s="115" t="s">
        <v>91</v>
      </c>
      <c r="F717" s="115" t="s">
        <v>462</v>
      </c>
      <c r="G717" s="115">
        <v>4</v>
      </c>
      <c r="H717" s="115" t="s">
        <v>543</v>
      </c>
      <c r="I717" s="115" t="s">
        <v>82</v>
      </c>
    </row>
    <row r="718" spans="1:9" ht="13">
      <c r="A718" s="114">
        <v>46170</v>
      </c>
      <c r="B718" s="115">
        <v>7002649800</v>
      </c>
      <c r="C718" s="115" t="s">
        <v>524</v>
      </c>
      <c r="D718" s="115" t="s">
        <v>474</v>
      </c>
      <c r="E718" s="115" t="s">
        <v>91</v>
      </c>
      <c r="F718" s="115" t="s">
        <v>462</v>
      </c>
      <c r="G718" s="115">
        <v>8</v>
      </c>
      <c r="H718" s="115" t="s">
        <v>543</v>
      </c>
      <c r="I718" s="115" t="s">
        <v>82</v>
      </c>
    </row>
    <row r="719" spans="1:9" ht="13">
      <c r="A719" s="114">
        <v>46170</v>
      </c>
      <c r="B719" s="115">
        <v>8000002182</v>
      </c>
      <c r="C719" s="115" t="s">
        <v>524</v>
      </c>
      <c r="D719" s="115" t="s">
        <v>474</v>
      </c>
      <c r="E719" s="115" t="s">
        <v>486</v>
      </c>
      <c r="F719" s="115" t="s">
        <v>488</v>
      </c>
      <c r="G719" s="115">
        <v>5</v>
      </c>
      <c r="H719" s="115" t="s">
        <v>543</v>
      </c>
      <c r="I719" s="115" t="s">
        <v>82</v>
      </c>
    </row>
    <row r="720" spans="1:9" ht="13">
      <c r="A720" s="114">
        <v>46170</v>
      </c>
      <c r="B720" s="115">
        <v>7002590128</v>
      </c>
      <c r="C720" s="115" t="s">
        <v>524</v>
      </c>
      <c r="D720" s="115" t="s">
        <v>474</v>
      </c>
      <c r="E720" s="115" t="s">
        <v>461</v>
      </c>
      <c r="F720" s="115" t="s">
        <v>108</v>
      </c>
      <c r="G720" s="115">
        <v>1</v>
      </c>
      <c r="H720" s="115" t="s">
        <v>543</v>
      </c>
      <c r="I720" s="115" t="s">
        <v>505</v>
      </c>
    </row>
    <row r="721" spans="1:9" ht="13">
      <c r="A721" s="114">
        <v>46170</v>
      </c>
      <c r="B721" s="115">
        <v>7002590243</v>
      </c>
      <c r="C721" s="115" t="s">
        <v>524</v>
      </c>
      <c r="D721" s="115" t="s">
        <v>474</v>
      </c>
      <c r="E721" s="115" t="s">
        <v>461</v>
      </c>
      <c r="F721" s="115" t="s">
        <v>108</v>
      </c>
      <c r="G721" s="115">
        <v>6</v>
      </c>
      <c r="H721" s="115" t="s">
        <v>543</v>
      </c>
      <c r="I721" s="115" t="s">
        <v>505</v>
      </c>
    </row>
    <row r="722" spans="1:9" ht="13">
      <c r="A722" s="114">
        <v>46170</v>
      </c>
      <c r="B722" s="115">
        <v>7002591219</v>
      </c>
      <c r="C722" s="115" t="s">
        <v>524</v>
      </c>
      <c r="D722" s="115" t="s">
        <v>474</v>
      </c>
      <c r="E722" s="115" t="s">
        <v>461</v>
      </c>
      <c r="F722" s="115" t="s">
        <v>108</v>
      </c>
      <c r="G722" s="115">
        <v>2</v>
      </c>
      <c r="H722" s="115" t="s">
        <v>543</v>
      </c>
      <c r="I722" s="115" t="s">
        <v>505</v>
      </c>
    </row>
    <row r="723" spans="1:9" ht="13">
      <c r="A723" s="114">
        <v>46170</v>
      </c>
      <c r="B723" s="115">
        <v>7002592225</v>
      </c>
      <c r="C723" s="115" t="s">
        <v>524</v>
      </c>
      <c r="D723" s="115" t="s">
        <v>474</v>
      </c>
      <c r="E723" s="115" t="s">
        <v>461</v>
      </c>
      <c r="F723" s="115" t="s">
        <v>108</v>
      </c>
      <c r="G723" s="115">
        <v>20</v>
      </c>
      <c r="H723" s="115" t="s">
        <v>543</v>
      </c>
      <c r="I723" s="115" t="s">
        <v>505</v>
      </c>
    </row>
    <row r="724" spans="1:9" ht="13">
      <c r="A724" s="114">
        <v>46170</v>
      </c>
      <c r="B724" s="115">
        <v>7002593238</v>
      </c>
      <c r="C724" s="115" t="s">
        <v>524</v>
      </c>
      <c r="D724" s="115" t="s">
        <v>474</v>
      </c>
      <c r="E724" s="115" t="s">
        <v>461</v>
      </c>
      <c r="F724" s="115" t="s">
        <v>108</v>
      </c>
      <c r="G724" s="115">
        <v>1</v>
      </c>
      <c r="H724" s="115" t="s">
        <v>543</v>
      </c>
      <c r="I724" s="115" t="s">
        <v>505</v>
      </c>
    </row>
    <row r="725" spans="1:9" ht="13">
      <c r="A725" s="114">
        <v>46170</v>
      </c>
      <c r="B725" s="115">
        <v>7002595234</v>
      </c>
      <c r="C725" s="115" t="s">
        <v>524</v>
      </c>
      <c r="D725" s="115" t="s">
        <v>474</v>
      </c>
      <c r="E725" s="115" t="s">
        <v>461</v>
      </c>
      <c r="F725" s="115" t="s">
        <v>108</v>
      </c>
      <c r="G725" s="115">
        <v>3</v>
      </c>
      <c r="H725" s="115" t="s">
        <v>543</v>
      </c>
      <c r="I725" s="115" t="s">
        <v>505</v>
      </c>
    </row>
    <row r="726" spans="1:9" ht="13">
      <c r="A726" s="114">
        <v>46170</v>
      </c>
      <c r="B726" s="115">
        <v>7002595275</v>
      </c>
      <c r="C726" s="115" t="s">
        <v>524</v>
      </c>
      <c r="D726" s="115" t="s">
        <v>474</v>
      </c>
      <c r="E726" s="115" t="s">
        <v>461</v>
      </c>
      <c r="F726" s="115" t="s">
        <v>108</v>
      </c>
      <c r="G726" s="115">
        <v>2</v>
      </c>
      <c r="H726" s="115" t="s">
        <v>543</v>
      </c>
      <c r="I726" s="115" t="s">
        <v>505</v>
      </c>
    </row>
    <row r="727" spans="1:9" ht="13">
      <c r="A727" s="114">
        <v>46170</v>
      </c>
      <c r="B727" s="115">
        <v>7002596295</v>
      </c>
      <c r="C727" s="115" t="s">
        <v>524</v>
      </c>
      <c r="D727" s="115" t="s">
        <v>474</v>
      </c>
      <c r="E727" s="115" t="s">
        <v>461</v>
      </c>
      <c r="F727" s="115" t="s">
        <v>108</v>
      </c>
      <c r="G727" s="115">
        <v>2</v>
      </c>
      <c r="H727" s="115" t="s">
        <v>543</v>
      </c>
      <c r="I727" s="115" t="s">
        <v>505</v>
      </c>
    </row>
    <row r="728" spans="1:9" ht="13">
      <c r="A728" s="114">
        <v>46170</v>
      </c>
      <c r="B728" s="115">
        <v>7002597249</v>
      </c>
      <c r="C728" s="115" t="s">
        <v>524</v>
      </c>
      <c r="D728" s="115" t="s">
        <v>474</v>
      </c>
      <c r="E728" s="115" t="s">
        <v>461</v>
      </c>
      <c r="F728" s="115" t="s">
        <v>108</v>
      </c>
      <c r="G728" s="115">
        <v>2</v>
      </c>
      <c r="H728" s="115" t="s">
        <v>543</v>
      </c>
      <c r="I728" s="115" t="s">
        <v>505</v>
      </c>
    </row>
    <row r="729" spans="1:9" ht="13">
      <c r="A729" s="114">
        <v>46170</v>
      </c>
      <c r="B729" s="115">
        <v>7002598149</v>
      </c>
      <c r="C729" s="115" t="s">
        <v>524</v>
      </c>
      <c r="D729" s="115" t="s">
        <v>474</v>
      </c>
      <c r="E729" s="115" t="s">
        <v>461</v>
      </c>
      <c r="F729" s="115" t="s">
        <v>108</v>
      </c>
      <c r="G729" s="115">
        <v>1</v>
      </c>
      <c r="H729" s="115" t="s">
        <v>543</v>
      </c>
      <c r="I729" s="115" t="s">
        <v>505</v>
      </c>
    </row>
    <row r="730" spans="1:9" ht="13">
      <c r="A730" s="114">
        <v>46170</v>
      </c>
      <c r="B730" s="115">
        <v>7002598165</v>
      </c>
      <c r="C730" s="115" t="s">
        <v>524</v>
      </c>
      <c r="D730" s="115" t="s">
        <v>474</v>
      </c>
      <c r="E730" s="115" t="s">
        <v>461</v>
      </c>
      <c r="F730" s="115" t="s">
        <v>108</v>
      </c>
      <c r="G730" s="115">
        <v>2</v>
      </c>
      <c r="H730" s="115" t="s">
        <v>543</v>
      </c>
      <c r="I730" s="115" t="s">
        <v>505</v>
      </c>
    </row>
    <row r="731" spans="1:9" ht="13">
      <c r="A731" s="114">
        <v>46170</v>
      </c>
      <c r="B731" s="115">
        <v>7002598221</v>
      </c>
      <c r="C731" s="115" t="s">
        <v>524</v>
      </c>
      <c r="D731" s="115" t="s">
        <v>474</v>
      </c>
      <c r="E731" s="115" t="s">
        <v>461</v>
      </c>
      <c r="F731" s="115" t="s">
        <v>108</v>
      </c>
      <c r="G731" s="115">
        <v>4</v>
      </c>
      <c r="H731" s="115" t="s">
        <v>543</v>
      </c>
      <c r="I731" s="115" t="s">
        <v>505</v>
      </c>
    </row>
    <row r="732" spans="1:9" ht="13">
      <c r="A732" s="114">
        <v>46170</v>
      </c>
      <c r="B732" s="115">
        <v>7002598232</v>
      </c>
      <c r="C732" s="115" t="s">
        <v>524</v>
      </c>
      <c r="D732" s="115" t="s">
        <v>474</v>
      </c>
      <c r="E732" s="115" t="s">
        <v>461</v>
      </c>
      <c r="F732" s="115" t="s">
        <v>108</v>
      </c>
      <c r="G732" s="115">
        <v>2</v>
      </c>
      <c r="H732" s="115" t="s">
        <v>543</v>
      </c>
      <c r="I732" s="115" t="s">
        <v>505</v>
      </c>
    </row>
    <row r="733" spans="1:9" ht="13">
      <c r="A733" s="114">
        <v>46170</v>
      </c>
      <c r="B733" s="115">
        <v>7002598266</v>
      </c>
      <c r="C733" s="115" t="s">
        <v>524</v>
      </c>
      <c r="D733" s="115" t="s">
        <v>474</v>
      </c>
      <c r="E733" s="115" t="s">
        <v>461</v>
      </c>
      <c r="F733" s="115" t="s">
        <v>108</v>
      </c>
      <c r="G733" s="115">
        <v>3</v>
      </c>
      <c r="H733" s="115" t="s">
        <v>543</v>
      </c>
      <c r="I733" s="115" t="s">
        <v>505</v>
      </c>
    </row>
    <row r="734" spans="1:9" ht="13">
      <c r="A734" s="114">
        <v>46170</v>
      </c>
      <c r="B734" s="115">
        <v>7002598278</v>
      </c>
      <c r="C734" s="115" t="s">
        <v>524</v>
      </c>
      <c r="D734" s="115" t="s">
        <v>474</v>
      </c>
      <c r="E734" s="115" t="s">
        <v>461</v>
      </c>
      <c r="F734" s="115" t="s">
        <v>108</v>
      </c>
      <c r="G734" s="115">
        <v>1</v>
      </c>
      <c r="H734" s="115" t="s">
        <v>543</v>
      </c>
      <c r="I734" s="115" t="s">
        <v>505</v>
      </c>
    </row>
    <row r="735" spans="1:9" ht="13">
      <c r="A735" s="114">
        <v>46170</v>
      </c>
      <c r="B735" s="115">
        <v>7002598390</v>
      </c>
      <c r="C735" s="115" t="s">
        <v>524</v>
      </c>
      <c r="D735" s="115" t="s">
        <v>474</v>
      </c>
      <c r="E735" s="115" t="s">
        <v>461</v>
      </c>
      <c r="F735" s="115" t="s">
        <v>108</v>
      </c>
      <c r="G735" s="115">
        <v>2</v>
      </c>
      <c r="H735" s="115" t="s">
        <v>543</v>
      </c>
      <c r="I735" s="115" t="s">
        <v>505</v>
      </c>
    </row>
    <row r="736" spans="1:9" ht="13">
      <c r="A736" s="114">
        <v>46170</v>
      </c>
      <c r="B736" s="115">
        <v>7002599222</v>
      </c>
      <c r="C736" s="115" t="s">
        <v>524</v>
      </c>
      <c r="D736" s="115" t="s">
        <v>474</v>
      </c>
      <c r="E736" s="115" t="s">
        <v>461</v>
      </c>
      <c r="F736" s="115" t="s">
        <v>108</v>
      </c>
      <c r="G736" s="115">
        <v>7</v>
      </c>
      <c r="H736" s="115" t="s">
        <v>543</v>
      </c>
      <c r="I736" s="115" t="s">
        <v>505</v>
      </c>
    </row>
    <row r="737" spans="1:14" ht="13">
      <c r="A737" s="114">
        <v>46170</v>
      </c>
      <c r="B737" s="115">
        <v>7002601551</v>
      </c>
      <c r="C737" s="115" t="s">
        <v>524</v>
      </c>
      <c r="D737" s="115" t="s">
        <v>474</v>
      </c>
      <c r="E737" s="115" t="s">
        <v>461</v>
      </c>
      <c r="F737" s="115" t="s">
        <v>108</v>
      </c>
      <c r="G737" s="115">
        <v>4</v>
      </c>
      <c r="H737" s="115" t="s">
        <v>543</v>
      </c>
      <c r="I737" s="115" t="s">
        <v>505</v>
      </c>
    </row>
    <row r="738" spans="1:14" ht="13">
      <c r="A738" s="114">
        <v>46170</v>
      </c>
      <c r="B738" s="115">
        <v>7002604485</v>
      </c>
      <c r="C738" s="115" t="s">
        <v>524</v>
      </c>
      <c r="D738" s="115" t="s">
        <v>474</v>
      </c>
      <c r="E738" s="115" t="s">
        <v>485</v>
      </c>
      <c r="F738" s="115" t="s">
        <v>108</v>
      </c>
      <c r="G738" s="115">
        <v>3</v>
      </c>
      <c r="H738" s="115" t="s">
        <v>543</v>
      </c>
      <c r="I738" s="115" t="s">
        <v>505</v>
      </c>
    </row>
    <row r="739" spans="1:14" ht="13">
      <c r="A739" s="114">
        <v>46170</v>
      </c>
      <c r="B739" s="115">
        <v>7002605536</v>
      </c>
      <c r="C739" s="115" t="s">
        <v>524</v>
      </c>
      <c r="D739" s="115" t="s">
        <v>474</v>
      </c>
      <c r="E739" s="115" t="s">
        <v>461</v>
      </c>
      <c r="F739" s="115" t="s">
        <v>108</v>
      </c>
      <c r="G739" s="115">
        <v>4</v>
      </c>
      <c r="H739" s="115" t="s">
        <v>543</v>
      </c>
      <c r="I739" s="115" t="s">
        <v>505</v>
      </c>
    </row>
    <row r="740" spans="1:14" ht="13">
      <c r="A740" s="114">
        <v>46170</v>
      </c>
      <c r="B740" s="115">
        <v>7002605543</v>
      </c>
      <c r="C740" s="115" t="s">
        <v>524</v>
      </c>
      <c r="D740" s="115" t="s">
        <v>474</v>
      </c>
      <c r="E740" s="115" t="s">
        <v>461</v>
      </c>
      <c r="F740" s="115" t="s">
        <v>108</v>
      </c>
      <c r="G740" s="115">
        <v>4</v>
      </c>
      <c r="H740" s="115" t="s">
        <v>543</v>
      </c>
      <c r="I740" s="115" t="s">
        <v>505</v>
      </c>
    </row>
    <row r="741" spans="1:14" ht="13">
      <c r="A741" s="114">
        <v>46170</v>
      </c>
      <c r="B741" s="115">
        <v>7002606131</v>
      </c>
      <c r="C741" s="115" t="s">
        <v>524</v>
      </c>
      <c r="D741" s="115" t="s">
        <v>474</v>
      </c>
      <c r="E741" s="115" t="s">
        <v>485</v>
      </c>
      <c r="F741" s="115" t="s">
        <v>108</v>
      </c>
      <c r="G741" s="115">
        <v>5</v>
      </c>
      <c r="H741" s="115" t="s">
        <v>543</v>
      </c>
      <c r="I741" s="115" t="s">
        <v>505</v>
      </c>
    </row>
    <row r="742" spans="1:14" ht="13">
      <c r="A742" s="114">
        <v>46170</v>
      </c>
      <c r="B742" s="115">
        <v>7002616118</v>
      </c>
      <c r="C742" s="115" t="s">
        <v>524</v>
      </c>
      <c r="D742" s="115" t="s">
        <v>474</v>
      </c>
      <c r="E742" s="115" t="s">
        <v>454</v>
      </c>
      <c r="F742" s="115" t="s">
        <v>108</v>
      </c>
      <c r="G742" s="115">
        <v>7</v>
      </c>
      <c r="H742" s="115" t="s">
        <v>543</v>
      </c>
      <c r="I742" s="115" t="s">
        <v>505</v>
      </c>
    </row>
    <row r="745" spans="1:14" ht="13">
      <c r="A745" s="105" t="s">
        <v>1</v>
      </c>
      <c r="B745" s="105" t="s">
        <v>445</v>
      </c>
      <c r="C745" s="105" t="s">
        <v>446</v>
      </c>
      <c r="D745" s="105" t="s">
        <v>465</v>
      </c>
      <c r="E745" s="105" t="s">
        <v>70</v>
      </c>
      <c r="F745" s="105" t="s">
        <v>447</v>
      </c>
      <c r="G745" s="105" t="s">
        <v>71</v>
      </c>
      <c r="H745" s="105" t="s">
        <v>466</v>
      </c>
      <c r="I745" s="105" t="s">
        <v>448</v>
      </c>
    </row>
    <row r="746" spans="1:14" ht="14">
      <c r="A746" s="118">
        <v>46171</v>
      </c>
      <c r="B746" s="119">
        <v>7002654215</v>
      </c>
      <c r="C746" s="119" t="s">
        <v>546</v>
      </c>
      <c r="D746" s="119" t="s">
        <v>474</v>
      </c>
      <c r="E746" s="119" t="s">
        <v>98</v>
      </c>
      <c r="F746" s="119" t="s">
        <v>102</v>
      </c>
      <c r="G746" s="119">
        <v>13</v>
      </c>
      <c r="H746" s="119">
        <v>13</v>
      </c>
      <c r="I746" s="119" t="s">
        <v>82</v>
      </c>
      <c r="K746" s="224">
        <v>46171</v>
      </c>
      <c r="L746" s="196"/>
      <c r="M746" s="196"/>
      <c r="N746" s="197"/>
    </row>
    <row r="747" spans="1:14" ht="14">
      <c r="A747" s="118">
        <v>46171</v>
      </c>
      <c r="B747" s="119">
        <v>7002654243</v>
      </c>
      <c r="C747" s="119" t="s">
        <v>524</v>
      </c>
      <c r="D747" s="119" t="s">
        <v>474</v>
      </c>
      <c r="E747" s="119" t="s">
        <v>539</v>
      </c>
      <c r="F747" s="119" t="s">
        <v>462</v>
      </c>
      <c r="G747" s="119">
        <v>1</v>
      </c>
      <c r="H747" s="119">
        <v>1</v>
      </c>
      <c r="I747" s="119" t="s">
        <v>82</v>
      </c>
      <c r="K747" s="104" t="s">
        <v>529</v>
      </c>
      <c r="L747" s="104" t="s">
        <v>74</v>
      </c>
      <c r="M747" s="104"/>
      <c r="N747" s="104"/>
    </row>
    <row r="748" spans="1:14" ht="14">
      <c r="A748" s="118">
        <v>46171</v>
      </c>
      <c r="B748" s="119">
        <v>7002550928</v>
      </c>
      <c r="C748" s="119" t="s">
        <v>546</v>
      </c>
      <c r="D748" s="119" t="s">
        <v>474</v>
      </c>
      <c r="E748" s="119" t="s">
        <v>98</v>
      </c>
      <c r="F748" s="119" t="s">
        <v>96</v>
      </c>
      <c r="G748" s="119">
        <v>5</v>
      </c>
      <c r="H748" s="119">
        <v>5</v>
      </c>
      <c r="I748" s="119" t="s">
        <v>505</v>
      </c>
      <c r="K748" s="104" t="s">
        <v>62</v>
      </c>
      <c r="L748" s="104" t="s">
        <v>82</v>
      </c>
      <c r="M748" s="104" t="s">
        <v>505</v>
      </c>
      <c r="N748" s="104" t="s">
        <v>84</v>
      </c>
    </row>
    <row r="749" spans="1:14" ht="14.5">
      <c r="A749" s="118">
        <v>46171</v>
      </c>
      <c r="B749" s="119">
        <v>7002653730</v>
      </c>
      <c r="C749" s="119" t="s">
        <v>524</v>
      </c>
      <c r="D749" s="119" t="s">
        <v>474</v>
      </c>
      <c r="E749" s="119" t="s">
        <v>91</v>
      </c>
      <c r="F749" s="119" t="s">
        <v>462</v>
      </c>
      <c r="G749" s="119">
        <v>2</v>
      </c>
      <c r="H749" s="119">
        <v>2</v>
      </c>
      <c r="I749" s="119" t="s">
        <v>82</v>
      </c>
      <c r="K749" s="113" t="s">
        <v>475</v>
      </c>
      <c r="L749" s="113">
        <v>98</v>
      </c>
      <c r="M749" s="113"/>
      <c r="N749" s="113">
        <v>98</v>
      </c>
    </row>
    <row r="750" spans="1:14" ht="14.5">
      <c r="A750" s="118">
        <v>46171</v>
      </c>
      <c r="B750" s="119">
        <v>7002652311</v>
      </c>
      <c r="C750" s="119" t="s">
        <v>524</v>
      </c>
      <c r="D750" s="119" t="s">
        <v>474</v>
      </c>
      <c r="E750" s="119" t="s">
        <v>539</v>
      </c>
      <c r="F750" s="119" t="s">
        <v>462</v>
      </c>
      <c r="G750" s="119">
        <v>1</v>
      </c>
      <c r="H750" s="119">
        <v>1</v>
      </c>
      <c r="I750" s="119" t="s">
        <v>82</v>
      </c>
      <c r="K750" s="103" t="s">
        <v>548</v>
      </c>
      <c r="L750" s="103">
        <v>98</v>
      </c>
      <c r="M750" s="103"/>
      <c r="N750" s="103">
        <v>98</v>
      </c>
    </row>
    <row r="751" spans="1:14" ht="14.5">
      <c r="A751" s="118">
        <v>46171</v>
      </c>
      <c r="B751" s="119">
        <v>7002653870</v>
      </c>
      <c r="C751" s="119" t="s">
        <v>524</v>
      </c>
      <c r="D751" s="119" t="s">
        <v>515</v>
      </c>
      <c r="E751" s="119" t="s">
        <v>470</v>
      </c>
      <c r="F751" s="119" t="s">
        <v>462</v>
      </c>
      <c r="G751" s="119">
        <v>48</v>
      </c>
      <c r="H751" s="119">
        <v>48</v>
      </c>
      <c r="I751" s="119" t="s">
        <v>82</v>
      </c>
      <c r="K751" s="113" t="s">
        <v>472</v>
      </c>
      <c r="L751" s="113">
        <v>71</v>
      </c>
      <c r="M751" s="113">
        <v>45</v>
      </c>
      <c r="N751" s="113">
        <v>116</v>
      </c>
    </row>
    <row r="752" spans="1:14" ht="14.5">
      <c r="A752" s="118">
        <v>46171</v>
      </c>
      <c r="B752" s="119">
        <v>7002653753</v>
      </c>
      <c r="C752" s="119" t="s">
        <v>524</v>
      </c>
      <c r="D752" s="119" t="s">
        <v>515</v>
      </c>
      <c r="E752" s="119" t="s">
        <v>470</v>
      </c>
      <c r="F752" s="119" t="s">
        <v>462</v>
      </c>
      <c r="G752" s="119">
        <v>46</v>
      </c>
      <c r="H752" s="119">
        <v>46</v>
      </c>
      <c r="I752" s="119" t="s">
        <v>82</v>
      </c>
      <c r="K752" s="103" t="s">
        <v>549</v>
      </c>
      <c r="L752" s="103">
        <v>68</v>
      </c>
      <c r="M752" s="103">
        <v>42</v>
      </c>
      <c r="N752" s="103">
        <v>110</v>
      </c>
    </row>
    <row r="753" spans="1:14" ht="14.5">
      <c r="A753" s="118">
        <v>46171</v>
      </c>
      <c r="B753" s="119">
        <v>7002651928</v>
      </c>
      <c r="C753" s="119" t="s">
        <v>524</v>
      </c>
      <c r="D753" s="119" t="s">
        <v>474</v>
      </c>
      <c r="E753" s="119" t="s">
        <v>91</v>
      </c>
      <c r="F753" s="119" t="s">
        <v>462</v>
      </c>
      <c r="G753" s="119">
        <v>3</v>
      </c>
      <c r="H753" s="119">
        <v>3</v>
      </c>
      <c r="I753" s="119" t="s">
        <v>82</v>
      </c>
      <c r="K753" s="103" t="s">
        <v>550</v>
      </c>
      <c r="L753" s="103">
        <v>2</v>
      </c>
      <c r="M753" s="103">
        <v>1</v>
      </c>
      <c r="N753" s="103">
        <v>3</v>
      </c>
    </row>
    <row r="754" spans="1:14" ht="14.5">
      <c r="A754" s="118">
        <v>46171</v>
      </c>
      <c r="B754" s="119">
        <v>7002608344</v>
      </c>
      <c r="C754" s="119" t="s">
        <v>524</v>
      </c>
      <c r="D754" s="119" t="s">
        <v>474</v>
      </c>
      <c r="E754" s="119" t="s">
        <v>461</v>
      </c>
      <c r="F754" s="119" t="s">
        <v>462</v>
      </c>
      <c r="G754" s="119">
        <v>3</v>
      </c>
      <c r="H754" s="119">
        <v>3</v>
      </c>
      <c r="I754" s="119" t="s">
        <v>82</v>
      </c>
      <c r="K754" s="103" t="s">
        <v>551</v>
      </c>
      <c r="L754" s="103"/>
      <c r="M754" s="103">
        <v>2</v>
      </c>
      <c r="N754" s="103">
        <v>2</v>
      </c>
    </row>
    <row r="755" spans="1:14" ht="14.5">
      <c r="A755" s="118">
        <v>46171</v>
      </c>
      <c r="B755" s="119">
        <v>7002648597</v>
      </c>
      <c r="C755" s="119" t="s">
        <v>524</v>
      </c>
      <c r="D755" s="119" t="s">
        <v>474</v>
      </c>
      <c r="E755" s="119" t="s">
        <v>486</v>
      </c>
      <c r="F755" s="119" t="s">
        <v>462</v>
      </c>
      <c r="G755" s="119">
        <v>12</v>
      </c>
      <c r="H755" s="119">
        <v>12</v>
      </c>
      <c r="I755" s="119" t="s">
        <v>82</v>
      </c>
      <c r="K755" s="103" t="s">
        <v>552</v>
      </c>
      <c r="L755" s="103">
        <v>1</v>
      </c>
      <c r="M755" s="103"/>
      <c r="N755" s="103">
        <v>1</v>
      </c>
    </row>
    <row r="756" spans="1:14" ht="14">
      <c r="A756" s="118">
        <v>46171</v>
      </c>
      <c r="B756" s="119">
        <v>7002648425</v>
      </c>
      <c r="C756" s="119" t="s">
        <v>524</v>
      </c>
      <c r="D756" s="119" t="s">
        <v>474</v>
      </c>
      <c r="E756" s="119" t="s">
        <v>98</v>
      </c>
      <c r="F756" s="119" t="s">
        <v>462</v>
      </c>
      <c r="G756" s="119">
        <v>1</v>
      </c>
      <c r="H756" s="119">
        <v>1</v>
      </c>
      <c r="I756" s="119" t="s">
        <v>505</v>
      </c>
      <c r="K756" s="104" t="s">
        <v>84</v>
      </c>
      <c r="L756" s="104">
        <v>169</v>
      </c>
      <c r="M756" s="104">
        <v>45</v>
      </c>
      <c r="N756" s="104">
        <v>214</v>
      </c>
    </row>
    <row r="757" spans="1:14" ht="13">
      <c r="A757" s="118">
        <v>46171</v>
      </c>
      <c r="B757" s="119">
        <v>7002610726</v>
      </c>
      <c r="C757" s="119" t="s">
        <v>524</v>
      </c>
      <c r="D757" s="119" t="s">
        <v>474</v>
      </c>
      <c r="E757" s="119" t="s">
        <v>463</v>
      </c>
      <c r="F757" s="119" t="s">
        <v>462</v>
      </c>
      <c r="G757" s="119">
        <v>1</v>
      </c>
      <c r="H757" s="119">
        <v>1</v>
      </c>
      <c r="I757" s="119" t="s">
        <v>505</v>
      </c>
    </row>
    <row r="758" spans="1:14" ht="13">
      <c r="A758" s="118">
        <v>46171</v>
      </c>
      <c r="B758" s="119">
        <v>7002647554</v>
      </c>
      <c r="C758" s="119" t="s">
        <v>524</v>
      </c>
      <c r="D758" s="119" t="s">
        <v>474</v>
      </c>
      <c r="E758" s="119" t="s">
        <v>533</v>
      </c>
      <c r="F758" s="119" t="s">
        <v>462</v>
      </c>
      <c r="G758" s="119">
        <v>8</v>
      </c>
      <c r="H758" s="119">
        <v>8</v>
      </c>
      <c r="I758" s="119" t="s">
        <v>505</v>
      </c>
    </row>
    <row r="759" spans="1:14" ht="13">
      <c r="A759" s="118">
        <v>46171</v>
      </c>
      <c r="B759" s="119">
        <v>7002647549</v>
      </c>
      <c r="C759" s="119" t="s">
        <v>524</v>
      </c>
      <c r="D759" s="119" t="s">
        <v>474</v>
      </c>
      <c r="E759" s="119" t="s">
        <v>454</v>
      </c>
      <c r="F759" s="119" t="s">
        <v>462</v>
      </c>
      <c r="G759" s="119">
        <v>1</v>
      </c>
      <c r="H759" s="119">
        <v>1</v>
      </c>
      <c r="I759" s="119" t="s">
        <v>505</v>
      </c>
    </row>
    <row r="760" spans="1:14" ht="13">
      <c r="A760" s="118">
        <v>46171</v>
      </c>
      <c r="B760" s="119">
        <v>7002646530</v>
      </c>
      <c r="C760" s="119" t="s">
        <v>524</v>
      </c>
      <c r="D760" s="119" t="s">
        <v>474</v>
      </c>
      <c r="E760" s="119" t="s">
        <v>486</v>
      </c>
      <c r="F760" s="119" t="s">
        <v>462</v>
      </c>
      <c r="G760" s="119">
        <v>1</v>
      </c>
      <c r="H760" s="119">
        <v>1</v>
      </c>
      <c r="I760" s="119" t="s">
        <v>82</v>
      </c>
    </row>
    <row r="761" spans="1:14" ht="13">
      <c r="A761" s="118">
        <v>46171</v>
      </c>
      <c r="B761" s="119">
        <v>7002646524</v>
      </c>
      <c r="C761" s="119" t="s">
        <v>524</v>
      </c>
      <c r="D761" s="119" t="s">
        <v>474</v>
      </c>
      <c r="E761" s="119" t="s">
        <v>91</v>
      </c>
      <c r="F761" s="119" t="s">
        <v>462</v>
      </c>
      <c r="G761" s="119">
        <v>2</v>
      </c>
      <c r="H761" s="119">
        <v>2</v>
      </c>
      <c r="I761" s="119" t="s">
        <v>505</v>
      </c>
    </row>
    <row r="762" spans="1:14" ht="13">
      <c r="A762" s="118">
        <v>46171</v>
      </c>
      <c r="B762" s="119">
        <v>7002612905</v>
      </c>
      <c r="C762" s="119" t="s">
        <v>524</v>
      </c>
      <c r="D762" s="119" t="s">
        <v>474</v>
      </c>
      <c r="E762" s="119" t="s">
        <v>486</v>
      </c>
      <c r="F762" s="119" t="s">
        <v>112</v>
      </c>
      <c r="G762" s="119">
        <v>1</v>
      </c>
      <c r="H762" s="119">
        <v>1</v>
      </c>
      <c r="I762" s="119" t="s">
        <v>505</v>
      </c>
    </row>
    <row r="763" spans="1:14" ht="13">
      <c r="A763" s="118">
        <v>46171</v>
      </c>
      <c r="B763" s="119">
        <v>7002649118</v>
      </c>
      <c r="C763" s="119" t="s">
        <v>524</v>
      </c>
      <c r="D763" s="119" t="s">
        <v>474</v>
      </c>
      <c r="E763" s="119" t="s">
        <v>463</v>
      </c>
      <c r="F763" s="119" t="s">
        <v>462</v>
      </c>
      <c r="G763" s="119">
        <v>1</v>
      </c>
      <c r="H763" s="119">
        <v>1</v>
      </c>
      <c r="I763" s="119" t="s">
        <v>505</v>
      </c>
    </row>
    <row r="764" spans="1:14" ht="13">
      <c r="A764" s="118">
        <v>46171</v>
      </c>
      <c r="B764" s="119">
        <v>7002649187</v>
      </c>
      <c r="C764" s="119" t="s">
        <v>524</v>
      </c>
      <c r="D764" s="119" t="s">
        <v>474</v>
      </c>
      <c r="E764" s="119" t="s">
        <v>486</v>
      </c>
      <c r="F764" s="119" t="s">
        <v>462</v>
      </c>
      <c r="G764" s="119">
        <v>2</v>
      </c>
      <c r="H764" s="119">
        <v>2</v>
      </c>
      <c r="I764" s="119" t="s">
        <v>82</v>
      </c>
    </row>
    <row r="765" spans="1:14" ht="13">
      <c r="A765" s="118">
        <v>46171</v>
      </c>
      <c r="B765" s="119">
        <v>7002649240</v>
      </c>
      <c r="C765" s="119" t="s">
        <v>524</v>
      </c>
      <c r="D765" s="119" t="s">
        <v>474</v>
      </c>
      <c r="E765" s="119" t="s">
        <v>463</v>
      </c>
      <c r="F765" s="119" t="s">
        <v>462</v>
      </c>
      <c r="G765" s="119">
        <v>3</v>
      </c>
      <c r="H765" s="119">
        <v>3</v>
      </c>
      <c r="I765" s="119" t="s">
        <v>505</v>
      </c>
    </row>
    <row r="766" spans="1:14" ht="13">
      <c r="A766" s="118">
        <v>46171</v>
      </c>
      <c r="B766" s="119">
        <v>7002649272</v>
      </c>
      <c r="C766" s="119" t="s">
        <v>524</v>
      </c>
      <c r="D766" s="119" t="s">
        <v>474</v>
      </c>
      <c r="E766" s="119" t="s">
        <v>91</v>
      </c>
      <c r="F766" s="119" t="s">
        <v>462</v>
      </c>
      <c r="G766" s="119">
        <v>4</v>
      </c>
      <c r="H766" s="119">
        <v>4</v>
      </c>
      <c r="I766" s="119" t="s">
        <v>505</v>
      </c>
    </row>
    <row r="767" spans="1:14" ht="13">
      <c r="A767" s="118">
        <v>46171</v>
      </c>
      <c r="B767" s="119">
        <v>7002650780</v>
      </c>
      <c r="C767" s="119" t="s">
        <v>524</v>
      </c>
      <c r="D767" s="119" t="s">
        <v>474</v>
      </c>
      <c r="E767" s="119" t="s">
        <v>91</v>
      </c>
      <c r="F767" s="119" t="s">
        <v>462</v>
      </c>
      <c r="G767" s="119">
        <v>4</v>
      </c>
      <c r="H767" s="119">
        <v>4</v>
      </c>
      <c r="I767" s="119" t="s">
        <v>82</v>
      </c>
    </row>
    <row r="768" spans="1:14" ht="13">
      <c r="A768" s="118">
        <v>46171</v>
      </c>
      <c r="B768" s="119">
        <v>7002651126</v>
      </c>
      <c r="C768" s="119" t="s">
        <v>524</v>
      </c>
      <c r="D768" s="119" t="s">
        <v>479</v>
      </c>
      <c r="E768" s="119" t="s">
        <v>470</v>
      </c>
      <c r="F768" s="119" t="s">
        <v>462</v>
      </c>
      <c r="G768" s="119">
        <v>15</v>
      </c>
      <c r="H768" s="119">
        <v>15</v>
      </c>
      <c r="I768" s="119" t="s">
        <v>82</v>
      </c>
    </row>
    <row r="769" spans="1:9" ht="13">
      <c r="A769" s="118">
        <v>46171</v>
      </c>
      <c r="B769" s="119">
        <v>7002650274</v>
      </c>
      <c r="C769" s="119" t="s">
        <v>524</v>
      </c>
      <c r="D769" s="119" t="s">
        <v>474</v>
      </c>
      <c r="E769" s="119" t="s">
        <v>91</v>
      </c>
      <c r="F769" s="119" t="s">
        <v>462</v>
      </c>
      <c r="G769" s="119">
        <v>16</v>
      </c>
      <c r="H769" s="119">
        <v>16</v>
      </c>
      <c r="I769" s="119" t="s">
        <v>82</v>
      </c>
    </row>
    <row r="770" spans="1:9" ht="13">
      <c r="A770" s="118">
        <v>46171</v>
      </c>
      <c r="B770" s="119">
        <v>7002649567</v>
      </c>
      <c r="C770" s="119" t="s">
        <v>524</v>
      </c>
      <c r="D770" s="119" t="s">
        <v>474</v>
      </c>
      <c r="E770" s="119" t="s">
        <v>486</v>
      </c>
      <c r="F770" s="119" t="s">
        <v>462</v>
      </c>
      <c r="G770" s="119">
        <v>10</v>
      </c>
      <c r="H770" s="119">
        <v>10</v>
      </c>
      <c r="I770" s="119" t="s">
        <v>82</v>
      </c>
    </row>
    <row r="771" spans="1:9" ht="13">
      <c r="A771" s="118">
        <v>46171</v>
      </c>
      <c r="B771" s="119">
        <v>7002606500</v>
      </c>
      <c r="C771" s="119" t="s">
        <v>524</v>
      </c>
      <c r="D771" s="119" t="s">
        <v>474</v>
      </c>
      <c r="E771" s="119" t="s">
        <v>486</v>
      </c>
      <c r="F771" s="119" t="s">
        <v>462</v>
      </c>
      <c r="G771" s="119">
        <v>1</v>
      </c>
      <c r="H771" s="119">
        <v>1</v>
      </c>
      <c r="I771" s="119" t="s">
        <v>82</v>
      </c>
    </row>
    <row r="772" spans="1:9" ht="13">
      <c r="A772" s="118">
        <v>46171</v>
      </c>
      <c r="B772" s="119">
        <v>7002649395</v>
      </c>
      <c r="C772" s="119" t="s">
        <v>524</v>
      </c>
      <c r="D772" s="119" t="s">
        <v>474</v>
      </c>
      <c r="E772" s="119" t="s">
        <v>463</v>
      </c>
      <c r="F772" s="119" t="s">
        <v>462</v>
      </c>
      <c r="G772" s="119">
        <v>4</v>
      </c>
      <c r="H772" s="119">
        <v>4</v>
      </c>
      <c r="I772" s="119" t="s">
        <v>505</v>
      </c>
    </row>
    <row r="773" spans="1:9" ht="13">
      <c r="A773" s="118">
        <v>46171</v>
      </c>
      <c r="B773" s="119">
        <v>7002649307</v>
      </c>
      <c r="C773" s="119" t="s">
        <v>524</v>
      </c>
      <c r="D773" s="119" t="s">
        <v>474</v>
      </c>
      <c r="E773" s="119" t="s">
        <v>91</v>
      </c>
      <c r="F773" s="119" t="s">
        <v>462</v>
      </c>
      <c r="G773" s="119">
        <v>8</v>
      </c>
      <c r="H773" s="119">
        <v>8</v>
      </c>
      <c r="I773" s="119" t="s">
        <v>505</v>
      </c>
    </row>
    <row r="774" spans="1:9" ht="13">
      <c r="A774" s="118">
        <v>46171</v>
      </c>
      <c r="B774" s="119">
        <v>7002650261</v>
      </c>
      <c r="C774" s="119" t="s">
        <v>524</v>
      </c>
      <c r="D774" s="119" t="s">
        <v>474</v>
      </c>
      <c r="E774" s="119" t="s">
        <v>539</v>
      </c>
      <c r="F774" s="119" t="s">
        <v>462</v>
      </c>
      <c r="G774" s="119">
        <v>1</v>
      </c>
      <c r="H774" s="119">
        <v>1</v>
      </c>
      <c r="I774" s="119" t="s">
        <v>82</v>
      </c>
    </row>
    <row r="775" spans="1:9" ht="13">
      <c r="A775" s="118">
        <v>46171</v>
      </c>
      <c r="B775" s="119">
        <v>7002598516</v>
      </c>
      <c r="C775" s="119" t="s">
        <v>524</v>
      </c>
      <c r="D775" s="119" t="s">
        <v>474</v>
      </c>
      <c r="E775" s="119" t="s">
        <v>486</v>
      </c>
      <c r="F775" s="119" t="s">
        <v>462</v>
      </c>
      <c r="G775" s="119">
        <v>2</v>
      </c>
      <c r="H775" s="119">
        <v>2</v>
      </c>
      <c r="I775" s="119" t="s">
        <v>82</v>
      </c>
    </row>
    <row r="776" spans="1:9" ht="13">
      <c r="A776" s="118">
        <v>46171</v>
      </c>
      <c r="B776" s="119">
        <v>7002655224</v>
      </c>
      <c r="C776" s="119" t="s">
        <v>524</v>
      </c>
      <c r="D776" s="119" t="s">
        <v>474</v>
      </c>
      <c r="E776" s="119" t="s">
        <v>98</v>
      </c>
      <c r="F776" s="119" t="s">
        <v>462</v>
      </c>
      <c r="G776" s="119">
        <v>44</v>
      </c>
      <c r="H776" s="119">
        <v>44</v>
      </c>
      <c r="I776" s="119" t="s">
        <v>82</v>
      </c>
    </row>
    <row r="777" spans="1:9" ht="13">
      <c r="A777" s="118">
        <v>46171</v>
      </c>
      <c r="B777" s="119">
        <v>7002663223</v>
      </c>
      <c r="C777" s="119" t="s">
        <v>546</v>
      </c>
      <c r="D777" s="119" t="s">
        <v>479</v>
      </c>
      <c r="E777" s="119" t="s">
        <v>470</v>
      </c>
      <c r="F777" s="119" t="s">
        <v>96</v>
      </c>
      <c r="G777" s="119">
        <v>8</v>
      </c>
      <c r="H777" s="119">
        <v>8</v>
      </c>
      <c r="I777" s="119" t="s">
        <v>82</v>
      </c>
    </row>
    <row r="778" spans="1:9" ht="13">
      <c r="A778" s="118">
        <v>46171</v>
      </c>
      <c r="B778" s="119">
        <v>7002662386</v>
      </c>
      <c r="C778" s="119" t="s">
        <v>524</v>
      </c>
      <c r="D778" s="119" t="s">
        <v>474</v>
      </c>
      <c r="E778" s="119" t="s">
        <v>91</v>
      </c>
      <c r="F778" s="119" t="s">
        <v>462</v>
      </c>
      <c r="G778" s="119">
        <v>1</v>
      </c>
      <c r="H778" s="119">
        <v>1</v>
      </c>
      <c r="I778" s="119" t="s">
        <v>82</v>
      </c>
    </row>
    <row r="779" spans="1:9" ht="13">
      <c r="A779" s="118">
        <v>46171</v>
      </c>
      <c r="B779" s="119">
        <v>7002667313</v>
      </c>
      <c r="C779" s="119" t="s">
        <v>524</v>
      </c>
      <c r="D779" s="119" t="s">
        <v>474</v>
      </c>
      <c r="E779" s="119" t="s">
        <v>533</v>
      </c>
      <c r="F779" s="119" t="s">
        <v>462</v>
      </c>
      <c r="G779" s="119">
        <v>2</v>
      </c>
      <c r="H779" s="119">
        <v>2</v>
      </c>
      <c r="I779" s="119" t="s">
        <v>82</v>
      </c>
    </row>
    <row r="780" spans="1:9" ht="13">
      <c r="A780" s="118">
        <v>46171</v>
      </c>
      <c r="B780" s="119">
        <v>7002660411</v>
      </c>
      <c r="C780" s="119" t="s">
        <v>524</v>
      </c>
      <c r="D780" s="119" t="s">
        <v>474</v>
      </c>
      <c r="E780" s="119" t="s">
        <v>91</v>
      </c>
      <c r="F780" s="119" t="s">
        <v>462</v>
      </c>
      <c r="G780" s="119">
        <v>2</v>
      </c>
      <c r="H780" s="119">
        <v>2</v>
      </c>
      <c r="I780" s="119" t="s">
        <v>82</v>
      </c>
    </row>
    <row r="781" spans="1:9" ht="13">
      <c r="A781" s="118">
        <v>46171</v>
      </c>
      <c r="B781" s="119">
        <v>7002663300</v>
      </c>
      <c r="C781" s="119" t="s">
        <v>524</v>
      </c>
      <c r="D781" s="119" t="s">
        <v>474</v>
      </c>
      <c r="E781" s="119" t="s">
        <v>533</v>
      </c>
      <c r="F781" s="119" t="s">
        <v>462</v>
      </c>
      <c r="G781" s="119">
        <v>1</v>
      </c>
      <c r="H781" s="119">
        <v>1</v>
      </c>
      <c r="I781" s="119" t="s">
        <v>82</v>
      </c>
    </row>
    <row r="782" spans="1:9" ht="13">
      <c r="A782" s="118">
        <v>46171</v>
      </c>
      <c r="B782" s="119">
        <v>7002665240</v>
      </c>
      <c r="C782" s="119" t="s">
        <v>524</v>
      </c>
      <c r="D782" s="119" t="s">
        <v>474</v>
      </c>
      <c r="E782" s="119" t="s">
        <v>91</v>
      </c>
      <c r="F782" s="119" t="s">
        <v>462</v>
      </c>
      <c r="G782" s="119">
        <v>9</v>
      </c>
      <c r="H782" s="119">
        <v>9</v>
      </c>
      <c r="I782" s="119" t="s">
        <v>82</v>
      </c>
    </row>
    <row r="783" spans="1:9" ht="13">
      <c r="A783" s="118">
        <v>46171</v>
      </c>
      <c r="B783" s="119">
        <v>7002665013</v>
      </c>
      <c r="C783" s="119" t="s">
        <v>524</v>
      </c>
      <c r="D783" s="119" t="s">
        <v>474</v>
      </c>
      <c r="E783" s="119" t="s">
        <v>91</v>
      </c>
      <c r="F783" s="119" t="s">
        <v>462</v>
      </c>
      <c r="G783" s="119">
        <v>1</v>
      </c>
      <c r="H783" s="119">
        <v>1</v>
      </c>
      <c r="I783" s="119" t="s">
        <v>82</v>
      </c>
    </row>
    <row r="784" spans="1:9" ht="13">
      <c r="A784" s="118">
        <v>46171</v>
      </c>
      <c r="B784" s="119">
        <v>7002664477</v>
      </c>
      <c r="C784" s="119" t="s">
        <v>524</v>
      </c>
      <c r="D784" s="119" t="s">
        <v>474</v>
      </c>
      <c r="E784" s="119" t="s">
        <v>539</v>
      </c>
      <c r="F784" s="119" t="s">
        <v>462</v>
      </c>
      <c r="G784" s="119">
        <v>2</v>
      </c>
      <c r="H784" s="119">
        <v>2</v>
      </c>
      <c r="I784" s="119" t="s">
        <v>82</v>
      </c>
    </row>
    <row r="785" spans="1:9" ht="13">
      <c r="A785" s="118">
        <v>46171</v>
      </c>
      <c r="B785" s="119">
        <v>7002666458</v>
      </c>
      <c r="C785" s="119" t="s">
        <v>524</v>
      </c>
      <c r="D785" s="119" t="s">
        <v>474</v>
      </c>
      <c r="E785" s="119" t="s">
        <v>538</v>
      </c>
      <c r="F785" s="119" t="s">
        <v>462</v>
      </c>
      <c r="G785" s="119">
        <v>1</v>
      </c>
      <c r="H785" s="119">
        <v>1</v>
      </c>
      <c r="I785" s="119" t="s">
        <v>82</v>
      </c>
    </row>
    <row r="786" spans="1:9" ht="13">
      <c r="A786" s="118">
        <v>46171</v>
      </c>
      <c r="B786" s="119">
        <v>7002664205</v>
      </c>
      <c r="C786" s="119" t="s">
        <v>524</v>
      </c>
      <c r="D786" s="119" t="s">
        <v>474</v>
      </c>
      <c r="E786" s="119" t="s">
        <v>91</v>
      </c>
      <c r="F786" s="119" t="s">
        <v>462</v>
      </c>
      <c r="G786" s="119">
        <v>2</v>
      </c>
      <c r="H786" s="119">
        <v>2</v>
      </c>
      <c r="I786" s="119" t="s">
        <v>82</v>
      </c>
    </row>
    <row r="787" spans="1:9" ht="13">
      <c r="A787" s="118">
        <v>46171</v>
      </c>
      <c r="B787" s="119">
        <v>7002664113</v>
      </c>
      <c r="C787" s="119" t="s">
        <v>524</v>
      </c>
      <c r="D787" s="119" t="s">
        <v>474</v>
      </c>
      <c r="E787" s="119" t="s">
        <v>91</v>
      </c>
      <c r="F787" s="119" t="s">
        <v>462</v>
      </c>
      <c r="G787" s="119">
        <v>1</v>
      </c>
      <c r="H787" s="119">
        <v>1</v>
      </c>
      <c r="I787" s="119" t="s">
        <v>82</v>
      </c>
    </row>
    <row r="788" spans="1:9" ht="13">
      <c r="A788" s="118">
        <v>46171</v>
      </c>
      <c r="B788" s="119">
        <v>7002576672</v>
      </c>
      <c r="C788" s="119" t="s">
        <v>553</v>
      </c>
      <c r="D788" s="119" t="s">
        <v>476</v>
      </c>
      <c r="E788" s="119" t="s">
        <v>554</v>
      </c>
      <c r="F788" s="119" t="s">
        <v>459</v>
      </c>
      <c r="G788" s="119">
        <v>2</v>
      </c>
      <c r="H788" s="119">
        <v>2</v>
      </c>
      <c r="I788" s="119" t="s">
        <v>82</v>
      </c>
    </row>
    <row r="789" spans="1:9" ht="13">
      <c r="A789" s="118">
        <v>46171</v>
      </c>
      <c r="B789" s="119">
        <v>7002660407</v>
      </c>
      <c r="C789" s="119" t="s">
        <v>524</v>
      </c>
      <c r="D789" s="119" t="s">
        <v>474</v>
      </c>
      <c r="E789" s="119" t="s">
        <v>538</v>
      </c>
      <c r="F789" s="119" t="s">
        <v>462</v>
      </c>
      <c r="G789" s="119">
        <v>1</v>
      </c>
      <c r="H789" s="119">
        <v>1</v>
      </c>
      <c r="I789" s="119" t="s">
        <v>82</v>
      </c>
    </row>
    <row r="790" spans="1:9" ht="13">
      <c r="A790" s="118">
        <v>46171</v>
      </c>
      <c r="B790" s="119">
        <v>7002660390</v>
      </c>
      <c r="C790" s="119" t="s">
        <v>524</v>
      </c>
      <c r="D790" s="119" t="s">
        <v>474</v>
      </c>
      <c r="E790" s="119" t="s">
        <v>538</v>
      </c>
      <c r="F790" s="119" t="s">
        <v>462</v>
      </c>
      <c r="G790" s="119">
        <v>1</v>
      </c>
      <c r="H790" s="119">
        <v>1</v>
      </c>
      <c r="I790" s="119" t="s">
        <v>82</v>
      </c>
    </row>
    <row r="791" spans="1:9" ht="13">
      <c r="A791" s="118">
        <v>46171</v>
      </c>
      <c r="B791" s="119">
        <v>7002668380</v>
      </c>
      <c r="C791" s="119" t="s">
        <v>524</v>
      </c>
      <c r="D791" s="119" t="s">
        <v>474</v>
      </c>
      <c r="E791" s="119" t="s">
        <v>538</v>
      </c>
      <c r="F791" s="119" t="s">
        <v>462</v>
      </c>
      <c r="G791" s="119">
        <v>1</v>
      </c>
      <c r="H791" s="119">
        <v>1</v>
      </c>
      <c r="I791" s="119" t="s">
        <v>82</v>
      </c>
    </row>
    <row r="792" spans="1:9" ht="13">
      <c r="A792" s="118">
        <v>46171</v>
      </c>
      <c r="B792" s="119">
        <v>7002594753</v>
      </c>
      <c r="C792" s="119" t="s">
        <v>555</v>
      </c>
      <c r="D792" s="119" t="s">
        <v>482</v>
      </c>
      <c r="E792" s="119" t="s">
        <v>461</v>
      </c>
      <c r="F792" s="119" t="s">
        <v>96</v>
      </c>
      <c r="G792" s="119">
        <v>197</v>
      </c>
      <c r="H792" s="119">
        <v>197</v>
      </c>
      <c r="I792" s="119" t="s">
        <v>505</v>
      </c>
    </row>
    <row r="793" spans="1:9" ht="13">
      <c r="A793" s="118">
        <v>46171</v>
      </c>
      <c r="B793" s="119">
        <v>7002657232</v>
      </c>
      <c r="C793" s="119" t="s">
        <v>524</v>
      </c>
      <c r="D793" s="119" t="s">
        <v>474</v>
      </c>
      <c r="E793" s="119" t="s">
        <v>539</v>
      </c>
      <c r="F793" s="119" t="s">
        <v>462</v>
      </c>
      <c r="G793" s="119">
        <v>1</v>
      </c>
      <c r="H793" s="119">
        <v>1</v>
      </c>
      <c r="I793" s="119" t="s">
        <v>82</v>
      </c>
    </row>
    <row r="794" spans="1:9" ht="13">
      <c r="A794" s="118">
        <v>46171</v>
      </c>
      <c r="B794" s="119">
        <v>7002669473</v>
      </c>
      <c r="C794" s="119" t="s">
        <v>524</v>
      </c>
      <c r="D794" s="119" t="s">
        <v>474</v>
      </c>
      <c r="E794" s="119" t="s">
        <v>91</v>
      </c>
      <c r="F794" s="119" t="s">
        <v>462</v>
      </c>
      <c r="G794" s="119">
        <v>4</v>
      </c>
      <c r="H794" s="119">
        <v>4</v>
      </c>
      <c r="I794" s="119" t="s">
        <v>82</v>
      </c>
    </row>
    <row r="795" spans="1:9" ht="13">
      <c r="A795" s="118">
        <v>46171</v>
      </c>
      <c r="B795" s="119">
        <v>7002656850</v>
      </c>
      <c r="C795" s="119" t="s">
        <v>524</v>
      </c>
      <c r="D795" s="119" t="s">
        <v>474</v>
      </c>
      <c r="E795" s="119" t="s">
        <v>91</v>
      </c>
      <c r="F795" s="119" t="s">
        <v>462</v>
      </c>
      <c r="G795" s="119">
        <v>2</v>
      </c>
      <c r="H795" s="119">
        <v>2</v>
      </c>
      <c r="I795" s="119" t="s">
        <v>82</v>
      </c>
    </row>
    <row r="796" spans="1:9" ht="13">
      <c r="A796" s="118">
        <v>46171</v>
      </c>
      <c r="B796" s="119">
        <v>7002656755</v>
      </c>
      <c r="C796" s="119" t="s">
        <v>524</v>
      </c>
      <c r="D796" s="119" t="s">
        <v>515</v>
      </c>
      <c r="E796" s="119" t="s">
        <v>470</v>
      </c>
      <c r="F796" s="119" t="s">
        <v>112</v>
      </c>
      <c r="G796" s="119">
        <v>3</v>
      </c>
      <c r="H796" s="119">
        <v>3</v>
      </c>
      <c r="I796" s="119" t="s">
        <v>82</v>
      </c>
    </row>
    <row r="797" spans="1:9" ht="13">
      <c r="A797" s="118">
        <v>46171</v>
      </c>
      <c r="B797" s="119">
        <v>7002656543</v>
      </c>
      <c r="C797" s="119" t="s">
        <v>524</v>
      </c>
      <c r="D797" s="119" t="s">
        <v>474</v>
      </c>
      <c r="E797" s="119" t="s">
        <v>91</v>
      </c>
      <c r="F797" s="119" t="s">
        <v>462</v>
      </c>
      <c r="G797" s="119">
        <v>2</v>
      </c>
      <c r="H797" s="119">
        <v>2</v>
      </c>
      <c r="I797" s="119" t="s">
        <v>82</v>
      </c>
    </row>
    <row r="798" spans="1:9" ht="13">
      <c r="A798" s="118">
        <v>46171</v>
      </c>
      <c r="B798" s="119">
        <v>7002655932</v>
      </c>
      <c r="C798" s="119" t="s">
        <v>524</v>
      </c>
      <c r="D798" s="119" t="s">
        <v>474</v>
      </c>
      <c r="E798" s="119" t="s">
        <v>91</v>
      </c>
      <c r="F798" s="119" t="s">
        <v>462</v>
      </c>
      <c r="G798" s="119">
        <v>11</v>
      </c>
      <c r="H798" s="119">
        <v>11</v>
      </c>
      <c r="I798" s="119" t="s">
        <v>82</v>
      </c>
    </row>
    <row r="799" spans="1:9" ht="13">
      <c r="A799" s="118">
        <v>46171</v>
      </c>
      <c r="B799" s="119">
        <v>7002669425</v>
      </c>
      <c r="C799" s="119" t="s">
        <v>524</v>
      </c>
      <c r="D799" s="119" t="s">
        <v>474</v>
      </c>
      <c r="E799" s="119" t="s">
        <v>538</v>
      </c>
      <c r="F799" s="119" t="s">
        <v>462</v>
      </c>
      <c r="G799" s="119">
        <v>1</v>
      </c>
      <c r="H799" s="119">
        <v>1</v>
      </c>
      <c r="I799" s="119" t="s">
        <v>82</v>
      </c>
    </row>
    <row r="800" spans="1:9" ht="13">
      <c r="A800" s="118">
        <v>46171</v>
      </c>
      <c r="B800" s="119">
        <v>7002645732</v>
      </c>
      <c r="C800" s="119" t="s">
        <v>524</v>
      </c>
      <c r="D800" s="119" t="s">
        <v>474</v>
      </c>
      <c r="E800" s="119" t="s">
        <v>486</v>
      </c>
      <c r="F800" s="119" t="s">
        <v>462</v>
      </c>
      <c r="G800" s="119">
        <v>5</v>
      </c>
      <c r="H800" s="119">
        <v>5</v>
      </c>
      <c r="I800" s="119" t="s">
        <v>82</v>
      </c>
    </row>
    <row r="801" spans="1:9" ht="13">
      <c r="A801" s="118">
        <v>46171</v>
      </c>
      <c r="B801" s="119">
        <v>7002659727</v>
      </c>
      <c r="C801" s="119" t="s">
        <v>524</v>
      </c>
      <c r="D801" s="119" t="s">
        <v>474</v>
      </c>
      <c r="E801" s="119" t="s">
        <v>91</v>
      </c>
      <c r="F801" s="119" t="s">
        <v>462</v>
      </c>
      <c r="G801" s="119">
        <v>1</v>
      </c>
      <c r="H801" s="119">
        <v>1</v>
      </c>
      <c r="I801" s="119" t="s">
        <v>82</v>
      </c>
    </row>
    <row r="802" spans="1:9" ht="13">
      <c r="A802" s="118">
        <v>46171</v>
      </c>
      <c r="B802" s="119">
        <v>7002668429</v>
      </c>
      <c r="C802" s="119" t="s">
        <v>524</v>
      </c>
      <c r="D802" s="119" t="s">
        <v>474</v>
      </c>
      <c r="E802" s="119" t="s">
        <v>538</v>
      </c>
      <c r="F802" s="119" t="s">
        <v>462</v>
      </c>
      <c r="G802" s="119">
        <v>1</v>
      </c>
      <c r="H802" s="119">
        <v>1</v>
      </c>
      <c r="I802" s="119" t="s">
        <v>82</v>
      </c>
    </row>
    <row r="803" spans="1:9" ht="13">
      <c r="A803" s="118">
        <v>46171</v>
      </c>
      <c r="B803" s="119">
        <v>7002659268</v>
      </c>
      <c r="C803" s="119" t="s">
        <v>524</v>
      </c>
      <c r="D803" s="119" t="s">
        <v>474</v>
      </c>
      <c r="E803" s="119" t="s">
        <v>539</v>
      </c>
      <c r="F803" s="119" t="s">
        <v>462</v>
      </c>
      <c r="G803" s="119">
        <v>1</v>
      </c>
      <c r="H803" s="119">
        <v>1</v>
      </c>
      <c r="I803" s="119" t="s">
        <v>82</v>
      </c>
    </row>
    <row r="804" spans="1:9" ht="13">
      <c r="A804" s="118">
        <v>46171</v>
      </c>
      <c r="B804" s="119">
        <v>7002591986</v>
      </c>
      <c r="C804" s="119" t="s">
        <v>555</v>
      </c>
      <c r="D804" s="119" t="s">
        <v>482</v>
      </c>
      <c r="E804" s="119" t="s">
        <v>485</v>
      </c>
      <c r="F804" s="119" t="s">
        <v>462</v>
      </c>
      <c r="G804" s="119">
        <v>25</v>
      </c>
      <c r="H804" s="119">
        <v>25</v>
      </c>
      <c r="I804" s="119" t="s">
        <v>505</v>
      </c>
    </row>
    <row r="805" spans="1:9" ht="13">
      <c r="A805" s="118">
        <v>46171</v>
      </c>
      <c r="B805" s="119">
        <v>7002658233</v>
      </c>
      <c r="C805" s="119" t="s">
        <v>524</v>
      </c>
      <c r="D805" s="119" t="s">
        <v>474</v>
      </c>
      <c r="E805" s="119" t="s">
        <v>539</v>
      </c>
      <c r="F805" s="119" t="s">
        <v>462</v>
      </c>
      <c r="G805" s="119">
        <v>1</v>
      </c>
      <c r="H805" s="119">
        <v>1</v>
      </c>
      <c r="I805" s="119" t="s">
        <v>82</v>
      </c>
    </row>
    <row r="806" spans="1:9" ht="13">
      <c r="A806" s="118">
        <v>46171</v>
      </c>
      <c r="B806" s="119">
        <v>7002657999</v>
      </c>
      <c r="C806" s="119" t="s">
        <v>524</v>
      </c>
      <c r="D806" s="119" t="s">
        <v>474</v>
      </c>
      <c r="E806" s="119" t="s">
        <v>91</v>
      </c>
      <c r="F806" s="119" t="s">
        <v>462</v>
      </c>
      <c r="G806" s="119">
        <v>2</v>
      </c>
      <c r="H806" s="119">
        <v>2</v>
      </c>
      <c r="I806" s="119" t="s">
        <v>82</v>
      </c>
    </row>
    <row r="807" spans="1:9" ht="13">
      <c r="A807" s="118">
        <v>46171</v>
      </c>
      <c r="B807" s="119">
        <v>7002669008</v>
      </c>
      <c r="C807" s="119" t="s">
        <v>524</v>
      </c>
      <c r="D807" s="119" t="s">
        <v>474</v>
      </c>
      <c r="E807" s="119" t="s">
        <v>91</v>
      </c>
      <c r="F807" s="119" t="s">
        <v>462</v>
      </c>
      <c r="G807" s="119">
        <v>1</v>
      </c>
      <c r="H807" s="119">
        <v>1</v>
      </c>
      <c r="I807" s="119" t="s">
        <v>82</v>
      </c>
    </row>
    <row r="808" spans="1:9" ht="13">
      <c r="A808" s="118">
        <v>46171</v>
      </c>
      <c r="B808" s="119">
        <v>7002657476</v>
      </c>
      <c r="C808" s="119" t="s">
        <v>524</v>
      </c>
      <c r="D808" s="119" t="s">
        <v>474</v>
      </c>
      <c r="E808" s="119" t="s">
        <v>91</v>
      </c>
      <c r="F808" s="119" t="s">
        <v>112</v>
      </c>
      <c r="G808" s="119">
        <v>2</v>
      </c>
      <c r="H808" s="119">
        <v>2</v>
      </c>
      <c r="I808" s="119" t="s">
        <v>82</v>
      </c>
    </row>
    <row r="809" spans="1:9" ht="13">
      <c r="A809" s="118">
        <v>46171</v>
      </c>
      <c r="B809" s="119">
        <v>7002645676</v>
      </c>
      <c r="C809" s="119" t="s">
        <v>524</v>
      </c>
      <c r="D809" s="119" t="s">
        <v>474</v>
      </c>
      <c r="E809" s="119" t="s">
        <v>454</v>
      </c>
      <c r="F809" s="119" t="s">
        <v>462</v>
      </c>
      <c r="G809" s="119">
        <v>2</v>
      </c>
      <c r="H809" s="119">
        <v>2</v>
      </c>
      <c r="I809" s="119" t="s">
        <v>505</v>
      </c>
    </row>
    <row r="810" spans="1:9" ht="13">
      <c r="A810" s="118">
        <v>46171</v>
      </c>
      <c r="B810" s="119">
        <v>8000002182</v>
      </c>
      <c r="C810" s="119" t="s">
        <v>524</v>
      </c>
      <c r="D810" s="119" t="s">
        <v>474</v>
      </c>
      <c r="E810" s="119" t="s">
        <v>486</v>
      </c>
      <c r="F810" s="119" t="s">
        <v>488</v>
      </c>
      <c r="G810" s="119">
        <v>5</v>
      </c>
      <c r="H810" s="119">
        <v>5</v>
      </c>
      <c r="I810" s="119" t="s">
        <v>505</v>
      </c>
    </row>
    <row r="811" spans="1:9" ht="13">
      <c r="A811" s="118">
        <v>46171</v>
      </c>
      <c r="B811" s="119">
        <v>7002645534</v>
      </c>
      <c r="C811" s="119" t="s">
        <v>524</v>
      </c>
      <c r="D811" s="119" t="s">
        <v>474</v>
      </c>
      <c r="E811" s="119" t="s">
        <v>98</v>
      </c>
      <c r="F811" s="119" t="s">
        <v>462</v>
      </c>
      <c r="G811" s="119">
        <v>5</v>
      </c>
      <c r="H811" s="119">
        <v>5</v>
      </c>
      <c r="I811" s="119" t="s">
        <v>505</v>
      </c>
    </row>
    <row r="812" spans="1:9" ht="13">
      <c r="A812" s="118">
        <v>46171</v>
      </c>
      <c r="B812" s="119">
        <v>7002639705</v>
      </c>
      <c r="C812" s="119" t="s">
        <v>524</v>
      </c>
      <c r="D812" s="119" t="s">
        <v>474</v>
      </c>
      <c r="E812" s="119" t="s">
        <v>486</v>
      </c>
      <c r="F812" s="119" t="s">
        <v>462</v>
      </c>
      <c r="G812" s="119">
        <v>6</v>
      </c>
      <c r="H812" s="119">
        <v>6</v>
      </c>
      <c r="I812" s="119" t="s">
        <v>82</v>
      </c>
    </row>
    <row r="813" spans="1:9" ht="13">
      <c r="A813" s="118">
        <v>46171</v>
      </c>
      <c r="B813" s="119">
        <v>7002640063</v>
      </c>
      <c r="C813" s="119" t="s">
        <v>524</v>
      </c>
      <c r="D813" s="119" t="s">
        <v>474</v>
      </c>
      <c r="E813" s="119" t="s">
        <v>486</v>
      </c>
      <c r="F813" s="119" t="s">
        <v>462</v>
      </c>
      <c r="G813" s="119">
        <v>2</v>
      </c>
      <c r="H813" s="119">
        <v>2</v>
      </c>
      <c r="I813" s="119" t="s">
        <v>82</v>
      </c>
    </row>
    <row r="814" spans="1:9" ht="13">
      <c r="A814" s="118">
        <v>46171</v>
      </c>
      <c r="B814" s="119">
        <v>7002640296</v>
      </c>
      <c r="C814" s="119" t="s">
        <v>524</v>
      </c>
      <c r="D814" s="119" t="s">
        <v>474</v>
      </c>
      <c r="E814" s="119" t="s">
        <v>98</v>
      </c>
      <c r="F814" s="119" t="s">
        <v>462</v>
      </c>
      <c r="G814" s="119">
        <v>2</v>
      </c>
      <c r="H814" s="119">
        <v>2</v>
      </c>
      <c r="I814" s="119" t="s">
        <v>505</v>
      </c>
    </row>
    <row r="815" spans="1:9" ht="13">
      <c r="A815" s="118">
        <v>46171</v>
      </c>
      <c r="B815" s="119">
        <v>7002640809</v>
      </c>
      <c r="C815" s="119" t="s">
        <v>524</v>
      </c>
      <c r="D815" s="119" t="s">
        <v>474</v>
      </c>
      <c r="E815" s="119" t="s">
        <v>463</v>
      </c>
      <c r="F815" s="119" t="s">
        <v>462</v>
      </c>
      <c r="G815" s="119">
        <v>2</v>
      </c>
      <c r="H815" s="119">
        <v>2</v>
      </c>
      <c r="I815" s="119" t="s">
        <v>505</v>
      </c>
    </row>
    <row r="816" spans="1:9" ht="13">
      <c r="A816" s="118">
        <v>46171</v>
      </c>
      <c r="B816" s="119">
        <v>7002641422</v>
      </c>
      <c r="C816" s="119" t="s">
        <v>524</v>
      </c>
      <c r="D816" s="119" t="s">
        <v>474</v>
      </c>
      <c r="E816" s="119" t="s">
        <v>98</v>
      </c>
      <c r="F816" s="119" t="s">
        <v>462</v>
      </c>
      <c r="G816" s="119">
        <v>1</v>
      </c>
      <c r="H816" s="119">
        <v>1</v>
      </c>
      <c r="I816" s="119" t="s">
        <v>505</v>
      </c>
    </row>
    <row r="817" spans="1:9" ht="13">
      <c r="A817" s="118">
        <v>46171</v>
      </c>
      <c r="B817" s="119">
        <v>7002641433</v>
      </c>
      <c r="C817" s="119" t="s">
        <v>524</v>
      </c>
      <c r="D817" s="119" t="s">
        <v>474</v>
      </c>
      <c r="E817" s="119" t="s">
        <v>533</v>
      </c>
      <c r="F817" s="119" t="s">
        <v>462</v>
      </c>
      <c r="G817" s="119">
        <v>4</v>
      </c>
      <c r="H817" s="119">
        <v>4</v>
      </c>
      <c r="I817" s="119" t="s">
        <v>505</v>
      </c>
    </row>
    <row r="818" spans="1:9" ht="13">
      <c r="A818" s="118">
        <v>46171</v>
      </c>
      <c r="B818" s="119">
        <v>7002641625</v>
      </c>
      <c r="C818" s="119" t="s">
        <v>524</v>
      </c>
      <c r="D818" s="119" t="s">
        <v>474</v>
      </c>
      <c r="E818" s="119" t="s">
        <v>454</v>
      </c>
      <c r="F818" s="119" t="s">
        <v>462</v>
      </c>
      <c r="G818" s="119">
        <v>1</v>
      </c>
      <c r="H818" s="119">
        <v>1</v>
      </c>
      <c r="I818" s="119" t="s">
        <v>505</v>
      </c>
    </row>
    <row r="819" spans="1:9" ht="13">
      <c r="A819" s="118">
        <v>46171</v>
      </c>
      <c r="B819" s="119">
        <v>7002617383</v>
      </c>
      <c r="C819" s="119" t="s">
        <v>524</v>
      </c>
      <c r="D819" s="119" t="s">
        <v>474</v>
      </c>
      <c r="E819" s="119" t="s">
        <v>486</v>
      </c>
      <c r="F819" s="119" t="s">
        <v>462</v>
      </c>
      <c r="G819" s="119">
        <v>5</v>
      </c>
      <c r="H819" s="119">
        <v>5</v>
      </c>
      <c r="I819" s="119" t="s">
        <v>505</v>
      </c>
    </row>
    <row r="820" spans="1:9" ht="13">
      <c r="A820" s="118">
        <v>46171</v>
      </c>
      <c r="B820" s="119">
        <v>7002642167</v>
      </c>
      <c r="C820" s="119" t="s">
        <v>524</v>
      </c>
      <c r="D820" s="119" t="s">
        <v>479</v>
      </c>
      <c r="E820" s="119" t="s">
        <v>103</v>
      </c>
      <c r="F820" s="119" t="s">
        <v>462</v>
      </c>
      <c r="G820" s="119">
        <v>4</v>
      </c>
      <c r="H820" s="119">
        <v>4</v>
      </c>
      <c r="I820" s="119" t="s">
        <v>82</v>
      </c>
    </row>
    <row r="821" spans="1:9" ht="13">
      <c r="A821" s="118">
        <v>46171</v>
      </c>
      <c r="B821" s="119">
        <v>7002642180</v>
      </c>
      <c r="C821" s="119" t="s">
        <v>524</v>
      </c>
      <c r="D821" s="119" t="s">
        <v>479</v>
      </c>
      <c r="E821" s="119" t="s">
        <v>103</v>
      </c>
      <c r="F821" s="119" t="s">
        <v>462</v>
      </c>
      <c r="G821" s="119">
        <v>1</v>
      </c>
      <c r="H821" s="119">
        <v>1</v>
      </c>
      <c r="I821" s="119" t="s">
        <v>505</v>
      </c>
    </row>
    <row r="822" spans="1:9" ht="13">
      <c r="A822" s="118">
        <v>46171</v>
      </c>
      <c r="B822" s="119">
        <v>7002642629</v>
      </c>
      <c r="C822" s="119" t="s">
        <v>524</v>
      </c>
      <c r="D822" s="119" t="s">
        <v>474</v>
      </c>
      <c r="E822" s="119" t="s">
        <v>486</v>
      </c>
      <c r="F822" s="119" t="s">
        <v>462</v>
      </c>
      <c r="G822" s="119">
        <v>1</v>
      </c>
      <c r="H822" s="119">
        <v>1</v>
      </c>
      <c r="I822" s="119" t="s">
        <v>82</v>
      </c>
    </row>
    <row r="823" spans="1:9" ht="13">
      <c r="A823" s="118">
        <v>46171</v>
      </c>
      <c r="B823" s="119">
        <v>7002642704</v>
      </c>
      <c r="C823" s="119" t="s">
        <v>524</v>
      </c>
      <c r="D823" s="119" t="s">
        <v>474</v>
      </c>
      <c r="E823" s="119" t="s">
        <v>98</v>
      </c>
      <c r="F823" s="119" t="s">
        <v>462</v>
      </c>
      <c r="G823" s="119">
        <v>1</v>
      </c>
      <c r="H823" s="119">
        <v>1</v>
      </c>
      <c r="I823" s="119" t="s">
        <v>505</v>
      </c>
    </row>
    <row r="824" spans="1:9" ht="13">
      <c r="A824" s="118">
        <v>46171</v>
      </c>
      <c r="B824" s="119">
        <v>7002642715</v>
      </c>
      <c r="C824" s="119" t="s">
        <v>524</v>
      </c>
      <c r="D824" s="119" t="s">
        <v>479</v>
      </c>
      <c r="E824" s="119" t="s">
        <v>103</v>
      </c>
      <c r="F824" s="119" t="s">
        <v>462</v>
      </c>
      <c r="G824" s="119">
        <v>1</v>
      </c>
      <c r="H824" s="119">
        <v>1</v>
      </c>
      <c r="I824" s="119" t="s">
        <v>82</v>
      </c>
    </row>
    <row r="825" spans="1:9" ht="13">
      <c r="A825" s="118">
        <v>46171</v>
      </c>
      <c r="B825" s="119">
        <v>7002615870</v>
      </c>
      <c r="C825" s="119" t="s">
        <v>524</v>
      </c>
      <c r="D825" s="119" t="s">
        <v>474</v>
      </c>
      <c r="E825" s="119" t="s">
        <v>486</v>
      </c>
      <c r="F825" s="119" t="s">
        <v>462</v>
      </c>
      <c r="G825" s="119">
        <v>1</v>
      </c>
      <c r="H825" s="119">
        <v>1</v>
      </c>
      <c r="I825" s="119" t="s">
        <v>82</v>
      </c>
    </row>
    <row r="826" spans="1:9" ht="13">
      <c r="A826" s="118">
        <v>46171</v>
      </c>
      <c r="B826" s="119">
        <v>7002643145</v>
      </c>
      <c r="C826" s="119" t="s">
        <v>524</v>
      </c>
      <c r="D826" s="119" t="s">
        <v>474</v>
      </c>
      <c r="E826" s="119" t="s">
        <v>486</v>
      </c>
      <c r="F826" s="119" t="s">
        <v>462</v>
      </c>
      <c r="G826" s="119">
        <v>1</v>
      </c>
      <c r="H826" s="119">
        <v>1</v>
      </c>
      <c r="I826" s="119" t="s">
        <v>82</v>
      </c>
    </row>
    <row r="827" spans="1:9" ht="13">
      <c r="A827" s="118">
        <v>46171</v>
      </c>
      <c r="B827" s="119">
        <v>7002643298</v>
      </c>
      <c r="C827" s="119" t="s">
        <v>524</v>
      </c>
      <c r="D827" s="119" t="s">
        <v>474</v>
      </c>
      <c r="E827" s="119" t="s">
        <v>463</v>
      </c>
      <c r="F827" s="119" t="s">
        <v>462</v>
      </c>
      <c r="G827" s="119">
        <v>3</v>
      </c>
      <c r="H827" s="119">
        <v>3</v>
      </c>
      <c r="I827" s="119" t="s">
        <v>505</v>
      </c>
    </row>
    <row r="828" spans="1:9" ht="13">
      <c r="A828" s="118">
        <v>46171</v>
      </c>
      <c r="B828" s="119">
        <v>7002643483</v>
      </c>
      <c r="C828" s="119" t="s">
        <v>524</v>
      </c>
      <c r="D828" s="119" t="s">
        <v>474</v>
      </c>
      <c r="E828" s="119" t="s">
        <v>454</v>
      </c>
      <c r="F828" s="119" t="s">
        <v>462</v>
      </c>
      <c r="G828" s="119">
        <v>1</v>
      </c>
      <c r="H828" s="119">
        <v>1</v>
      </c>
      <c r="I828" s="119" t="s">
        <v>505</v>
      </c>
    </row>
    <row r="829" spans="1:9" ht="13">
      <c r="A829" s="118">
        <v>46171</v>
      </c>
      <c r="B829" s="119">
        <v>7002643555</v>
      </c>
      <c r="C829" s="119" t="s">
        <v>524</v>
      </c>
      <c r="D829" s="119" t="s">
        <v>474</v>
      </c>
      <c r="E829" s="119" t="s">
        <v>533</v>
      </c>
      <c r="F829" s="119" t="s">
        <v>462</v>
      </c>
      <c r="G829" s="119">
        <v>3</v>
      </c>
      <c r="H829" s="119">
        <v>3</v>
      </c>
      <c r="I829" s="119" t="s">
        <v>505</v>
      </c>
    </row>
    <row r="830" spans="1:9" ht="13">
      <c r="A830" s="118">
        <v>46171</v>
      </c>
      <c r="B830" s="119">
        <v>7002643742</v>
      </c>
      <c r="C830" s="119" t="s">
        <v>524</v>
      </c>
      <c r="D830" s="119" t="s">
        <v>474</v>
      </c>
      <c r="E830" s="119" t="s">
        <v>463</v>
      </c>
      <c r="F830" s="119" t="s">
        <v>462</v>
      </c>
      <c r="G830" s="119">
        <v>1</v>
      </c>
      <c r="H830" s="119">
        <v>1</v>
      </c>
      <c r="I830" s="119" t="s">
        <v>505</v>
      </c>
    </row>
    <row r="831" spans="1:9" ht="13">
      <c r="A831" s="118">
        <v>46171</v>
      </c>
      <c r="B831" s="119">
        <v>7002638157</v>
      </c>
      <c r="C831" s="119" t="s">
        <v>524</v>
      </c>
      <c r="D831" s="119" t="s">
        <v>474</v>
      </c>
      <c r="E831" s="119" t="s">
        <v>85</v>
      </c>
      <c r="F831" s="119" t="s">
        <v>462</v>
      </c>
      <c r="G831" s="119">
        <v>16</v>
      </c>
      <c r="H831" s="119">
        <v>16</v>
      </c>
      <c r="I831" s="119" t="s">
        <v>82</v>
      </c>
    </row>
    <row r="832" spans="1:9" ht="13">
      <c r="A832" s="118">
        <v>46171</v>
      </c>
      <c r="B832" s="119">
        <v>7002629073</v>
      </c>
      <c r="C832" s="119" t="s">
        <v>524</v>
      </c>
      <c r="D832" s="119" t="s">
        <v>474</v>
      </c>
      <c r="E832" s="119" t="s">
        <v>454</v>
      </c>
      <c r="F832" s="119" t="s">
        <v>462</v>
      </c>
      <c r="G832" s="119">
        <v>1</v>
      </c>
      <c r="H832" s="119">
        <v>1</v>
      </c>
      <c r="I832" s="119" t="s">
        <v>505</v>
      </c>
    </row>
    <row r="833" spans="1:9" ht="13">
      <c r="A833" s="118">
        <v>46171</v>
      </c>
      <c r="B833" s="119">
        <v>7002637970</v>
      </c>
      <c r="C833" s="119" t="s">
        <v>524</v>
      </c>
      <c r="D833" s="119" t="s">
        <v>474</v>
      </c>
      <c r="E833" s="119" t="s">
        <v>98</v>
      </c>
      <c r="F833" s="119" t="s">
        <v>462</v>
      </c>
      <c r="G833" s="119">
        <v>1</v>
      </c>
      <c r="H833" s="119">
        <v>1</v>
      </c>
      <c r="I833" s="119" t="s">
        <v>505</v>
      </c>
    </row>
    <row r="834" spans="1:9" ht="13">
      <c r="A834" s="118">
        <v>46171</v>
      </c>
      <c r="B834" s="119">
        <v>7002637580</v>
      </c>
      <c r="C834" s="119" t="s">
        <v>524</v>
      </c>
      <c r="D834" s="119" t="s">
        <v>474</v>
      </c>
      <c r="E834" s="119" t="s">
        <v>463</v>
      </c>
      <c r="F834" s="119" t="s">
        <v>462</v>
      </c>
      <c r="G834" s="119">
        <v>3</v>
      </c>
      <c r="H834" s="119">
        <v>3</v>
      </c>
      <c r="I834" s="119" t="s">
        <v>505</v>
      </c>
    </row>
    <row r="835" spans="1:9" ht="13">
      <c r="A835" s="118">
        <v>46171</v>
      </c>
      <c r="B835" s="119">
        <v>7002624748</v>
      </c>
      <c r="C835" s="119" t="s">
        <v>524</v>
      </c>
      <c r="D835" s="119" t="s">
        <v>474</v>
      </c>
      <c r="E835" s="119" t="s">
        <v>461</v>
      </c>
      <c r="F835" s="119" t="s">
        <v>462</v>
      </c>
      <c r="G835" s="119">
        <v>3</v>
      </c>
      <c r="H835" s="119">
        <v>3</v>
      </c>
      <c r="I835" s="119" t="s">
        <v>82</v>
      </c>
    </row>
    <row r="836" spans="1:9" ht="13">
      <c r="A836" s="118">
        <v>46171</v>
      </c>
      <c r="B836" s="119">
        <v>7002631109</v>
      </c>
      <c r="C836" s="119" t="s">
        <v>524</v>
      </c>
      <c r="D836" s="119" t="s">
        <v>474</v>
      </c>
      <c r="E836" s="119" t="s">
        <v>463</v>
      </c>
      <c r="F836" s="119" t="s">
        <v>462</v>
      </c>
      <c r="G836" s="119">
        <v>1</v>
      </c>
      <c r="H836" s="119">
        <v>1</v>
      </c>
      <c r="I836" s="119" t="s">
        <v>505</v>
      </c>
    </row>
    <row r="837" spans="1:9" ht="13">
      <c r="A837" s="118">
        <v>46171</v>
      </c>
      <c r="B837" s="119">
        <v>7002625026</v>
      </c>
      <c r="C837" s="119" t="s">
        <v>524</v>
      </c>
      <c r="D837" s="119" t="s">
        <v>474</v>
      </c>
      <c r="E837" s="119" t="s">
        <v>486</v>
      </c>
      <c r="F837" s="119" t="s">
        <v>462</v>
      </c>
      <c r="G837" s="119">
        <v>1</v>
      </c>
      <c r="H837" s="119">
        <v>1</v>
      </c>
      <c r="I837" s="119" t="s">
        <v>82</v>
      </c>
    </row>
    <row r="838" spans="1:9" ht="13">
      <c r="A838" s="118">
        <v>46171</v>
      </c>
      <c r="B838" s="119">
        <v>7002631692</v>
      </c>
      <c r="C838" s="119" t="s">
        <v>524</v>
      </c>
      <c r="D838" s="119" t="s">
        <v>474</v>
      </c>
      <c r="E838" s="119" t="s">
        <v>463</v>
      </c>
      <c r="F838" s="119" t="s">
        <v>462</v>
      </c>
      <c r="G838" s="119">
        <v>3</v>
      </c>
      <c r="H838" s="119">
        <v>3</v>
      </c>
      <c r="I838" s="119" t="s">
        <v>505</v>
      </c>
    </row>
    <row r="839" spans="1:9" ht="13">
      <c r="A839" s="118">
        <v>46171</v>
      </c>
      <c r="B839" s="119">
        <v>7002632851</v>
      </c>
      <c r="C839" s="119" t="s">
        <v>524</v>
      </c>
      <c r="D839" s="119" t="s">
        <v>474</v>
      </c>
      <c r="E839" s="119" t="s">
        <v>454</v>
      </c>
      <c r="F839" s="119" t="s">
        <v>462</v>
      </c>
      <c r="G839" s="119">
        <v>1</v>
      </c>
      <c r="H839" s="119">
        <v>1</v>
      </c>
      <c r="I839" s="119" t="s">
        <v>505</v>
      </c>
    </row>
    <row r="840" spans="1:9" ht="13">
      <c r="A840" s="118">
        <v>46171</v>
      </c>
      <c r="B840" s="119">
        <v>7002633124</v>
      </c>
      <c r="C840" s="119" t="s">
        <v>524</v>
      </c>
      <c r="D840" s="119" t="s">
        <v>474</v>
      </c>
      <c r="E840" s="119" t="s">
        <v>85</v>
      </c>
      <c r="F840" s="119" t="s">
        <v>462</v>
      </c>
      <c r="G840" s="119">
        <v>16</v>
      </c>
      <c r="H840" s="119">
        <v>16</v>
      </c>
      <c r="I840" s="119" t="s">
        <v>82</v>
      </c>
    </row>
    <row r="841" spans="1:9" ht="13">
      <c r="A841" s="118">
        <v>46171</v>
      </c>
      <c r="B841" s="119">
        <v>7002622992</v>
      </c>
      <c r="C841" s="119" t="s">
        <v>524</v>
      </c>
      <c r="D841" s="119" t="s">
        <v>474</v>
      </c>
      <c r="E841" s="119" t="s">
        <v>486</v>
      </c>
      <c r="F841" s="119" t="s">
        <v>462</v>
      </c>
      <c r="G841" s="119">
        <v>2</v>
      </c>
      <c r="H841" s="119">
        <v>2</v>
      </c>
      <c r="I841" s="119" t="s">
        <v>505</v>
      </c>
    </row>
    <row r="842" spans="1:9" ht="13">
      <c r="A842" s="118">
        <v>46171</v>
      </c>
      <c r="B842" s="119">
        <v>7002621746</v>
      </c>
      <c r="C842" s="119" t="s">
        <v>524</v>
      </c>
      <c r="D842" s="119" t="s">
        <v>474</v>
      </c>
      <c r="E842" s="119" t="s">
        <v>461</v>
      </c>
      <c r="F842" s="119" t="s">
        <v>462</v>
      </c>
      <c r="G842" s="119">
        <v>4</v>
      </c>
      <c r="H842" s="119">
        <v>4</v>
      </c>
      <c r="I842" s="119" t="s">
        <v>82</v>
      </c>
    </row>
    <row r="843" spans="1:9" ht="13">
      <c r="A843" s="118">
        <v>46171</v>
      </c>
      <c r="B843" s="119">
        <v>7002621595</v>
      </c>
      <c r="C843" s="119" t="s">
        <v>524</v>
      </c>
      <c r="D843" s="119" t="s">
        <v>474</v>
      </c>
      <c r="E843" s="119" t="s">
        <v>461</v>
      </c>
      <c r="F843" s="119" t="s">
        <v>462</v>
      </c>
      <c r="G843" s="119">
        <v>4</v>
      </c>
      <c r="H843" s="119">
        <v>4</v>
      </c>
      <c r="I843" s="119" t="s">
        <v>82</v>
      </c>
    </row>
    <row r="844" spans="1:9" ht="13">
      <c r="A844" s="118">
        <v>46171</v>
      </c>
      <c r="B844" s="119">
        <v>7002634422</v>
      </c>
      <c r="C844" s="119" t="s">
        <v>524</v>
      </c>
      <c r="D844" s="119" t="s">
        <v>474</v>
      </c>
      <c r="E844" s="119" t="s">
        <v>98</v>
      </c>
      <c r="F844" s="119" t="s">
        <v>462</v>
      </c>
      <c r="G844" s="119">
        <v>1</v>
      </c>
      <c r="H844" s="119">
        <v>1</v>
      </c>
      <c r="I844" s="119" t="s">
        <v>505</v>
      </c>
    </row>
    <row r="845" spans="1:9" ht="13">
      <c r="A845" s="118">
        <v>46171</v>
      </c>
      <c r="B845" s="119">
        <v>7002643806</v>
      </c>
      <c r="C845" s="119" t="s">
        <v>524</v>
      </c>
      <c r="D845" s="119" t="s">
        <v>474</v>
      </c>
      <c r="E845" s="119" t="s">
        <v>486</v>
      </c>
      <c r="F845" s="119" t="s">
        <v>462</v>
      </c>
      <c r="G845" s="119">
        <v>1</v>
      </c>
      <c r="H845" s="119">
        <v>1</v>
      </c>
      <c r="I845" s="119" t="s">
        <v>82</v>
      </c>
    </row>
    <row r="846" spans="1:9" ht="13">
      <c r="A846" s="118">
        <v>46171</v>
      </c>
      <c r="B846" s="119">
        <v>7002645552</v>
      </c>
      <c r="C846" s="119" t="s">
        <v>524</v>
      </c>
      <c r="D846" s="119" t="s">
        <v>474</v>
      </c>
      <c r="E846" s="119" t="s">
        <v>533</v>
      </c>
      <c r="F846" s="119" t="s">
        <v>462</v>
      </c>
      <c r="G846" s="119">
        <v>2</v>
      </c>
      <c r="H846" s="119">
        <v>2</v>
      </c>
      <c r="I846" s="119" t="s">
        <v>505</v>
      </c>
    </row>
    <row r="847" spans="1:9" ht="13">
      <c r="A847" s="118">
        <v>46171</v>
      </c>
      <c r="B847" s="119">
        <v>7002635577</v>
      </c>
      <c r="C847" s="119" t="s">
        <v>524</v>
      </c>
      <c r="D847" s="119" t="s">
        <v>474</v>
      </c>
      <c r="E847" s="119" t="s">
        <v>463</v>
      </c>
      <c r="F847" s="119" t="s">
        <v>462</v>
      </c>
      <c r="G847" s="119">
        <v>4</v>
      </c>
      <c r="H847" s="119">
        <v>4</v>
      </c>
      <c r="I847" s="119" t="s">
        <v>505</v>
      </c>
    </row>
    <row r="848" spans="1:9" ht="13">
      <c r="A848" s="118">
        <v>46171</v>
      </c>
      <c r="B848" s="119">
        <v>7002635890</v>
      </c>
      <c r="C848" s="119" t="s">
        <v>524</v>
      </c>
      <c r="D848" s="119" t="s">
        <v>474</v>
      </c>
      <c r="E848" s="119" t="s">
        <v>486</v>
      </c>
      <c r="F848" s="119" t="s">
        <v>462</v>
      </c>
      <c r="G848" s="119">
        <v>1</v>
      </c>
      <c r="H848" s="119">
        <v>1</v>
      </c>
      <c r="I848" s="119" t="s">
        <v>82</v>
      </c>
    </row>
    <row r="849" spans="1:9" ht="13">
      <c r="A849" s="118">
        <v>46171</v>
      </c>
      <c r="B849" s="119">
        <v>7002636494</v>
      </c>
      <c r="C849" s="119" t="s">
        <v>524</v>
      </c>
      <c r="D849" s="119" t="s">
        <v>474</v>
      </c>
      <c r="E849" s="119" t="s">
        <v>533</v>
      </c>
      <c r="F849" s="119" t="s">
        <v>462</v>
      </c>
      <c r="G849" s="119">
        <v>1</v>
      </c>
      <c r="H849" s="119">
        <v>1</v>
      </c>
      <c r="I849" s="119" t="s">
        <v>82</v>
      </c>
    </row>
    <row r="850" spans="1:9" ht="13">
      <c r="A850" s="118">
        <v>46171</v>
      </c>
      <c r="B850" s="119">
        <v>7002636667</v>
      </c>
      <c r="C850" s="119" t="s">
        <v>524</v>
      </c>
      <c r="D850" s="119" t="s">
        <v>479</v>
      </c>
      <c r="E850" s="119" t="s">
        <v>103</v>
      </c>
      <c r="F850" s="119" t="s">
        <v>462</v>
      </c>
      <c r="G850" s="119">
        <v>7</v>
      </c>
      <c r="H850" s="119">
        <v>7</v>
      </c>
      <c r="I850" s="119" t="s">
        <v>505</v>
      </c>
    </row>
    <row r="851" spans="1:9" ht="13">
      <c r="A851" s="118">
        <v>46171</v>
      </c>
      <c r="B851" s="119">
        <v>7002636707</v>
      </c>
      <c r="C851" s="119" t="s">
        <v>524</v>
      </c>
      <c r="D851" s="119" t="s">
        <v>479</v>
      </c>
      <c r="E851" s="119" t="s">
        <v>470</v>
      </c>
      <c r="F851" s="119" t="s">
        <v>112</v>
      </c>
      <c r="G851" s="119">
        <v>2</v>
      </c>
      <c r="H851" s="119">
        <v>2</v>
      </c>
      <c r="I851" s="119" t="s">
        <v>505</v>
      </c>
    </row>
    <row r="852" spans="1:9" ht="13">
      <c r="A852" s="118">
        <v>46171</v>
      </c>
      <c r="B852" s="119">
        <v>7002620596</v>
      </c>
      <c r="C852" s="119" t="s">
        <v>524</v>
      </c>
      <c r="D852" s="119" t="s">
        <v>474</v>
      </c>
      <c r="E852" s="119" t="s">
        <v>486</v>
      </c>
      <c r="F852" s="119" t="s">
        <v>462</v>
      </c>
      <c r="G852" s="119">
        <v>2</v>
      </c>
      <c r="H852" s="119">
        <v>2</v>
      </c>
      <c r="I852" s="119" t="s">
        <v>505</v>
      </c>
    </row>
    <row r="853" spans="1:9" ht="13">
      <c r="A853" s="118">
        <v>46171</v>
      </c>
      <c r="B853" s="119">
        <v>7002637097</v>
      </c>
      <c r="C853" s="119" t="s">
        <v>524</v>
      </c>
      <c r="D853" s="119" t="s">
        <v>474</v>
      </c>
      <c r="E853" s="119" t="s">
        <v>463</v>
      </c>
      <c r="F853" s="119" t="s">
        <v>462</v>
      </c>
      <c r="G853" s="119">
        <v>1</v>
      </c>
      <c r="H853" s="119">
        <v>1</v>
      </c>
      <c r="I853" s="119" t="s">
        <v>505</v>
      </c>
    </row>
    <row r="854" spans="1:9" ht="13">
      <c r="A854" s="118">
        <v>46171</v>
      </c>
      <c r="B854" s="119">
        <v>7002637403</v>
      </c>
      <c r="C854" s="119" t="s">
        <v>524</v>
      </c>
      <c r="D854" s="119" t="s">
        <v>515</v>
      </c>
      <c r="E854" s="119" t="s">
        <v>470</v>
      </c>
      <c r="F854" s="119" t="s">
        <v>462</v>
      </c>
      <c r="G854" s="119">
        <v>10</v>
      </c>
      <c r="H854" s="119">
        <v>10</v>
      </c>
      <c r="I854" s="119" t="s">
        <v>505</v>
      </c>
    </row>
    <row r="855" spans="1:9" ht="13">
      <c r="A855" s="118">
        <v>46171</v>
      </c>
      <c r="B855" s="119">
        <v>7002625560</v>
      </c>
      <c r="C855" s="119" t="s">
        <v>524</v>
      </c>
      <c r="D855" s="119" t="s">
        <v>474</v>
      </c>
      <c r="E855" s="119" t="s">
        <v>486</v>
      </c>
      <c r="F855" s="119" t="s">
        <v>462</v>
      </c>
      <c r="G855" s="119">
        <v>1</v>
      </c>
      <c r="H855" s="119">
        <v>1</v>
      </c>
      <c r="I855" s="119" t="s">
        <v>82</v>
      </c>
    </row>
    <row r="856" spans="1:9" ht="13">
      <c r="A856" s="118">
        <v>46171</v>
      </c>
      <c r="B856" s="119">
        <v>7002630478</v>
      </c>
      <c r="C856" s="119" t="s">
        <v>524</v>
      </c>
      <c r="D856" s="119" t="s">
        <v>474</v>
      </c>
      <c r="E856" s="119" t="s">
        <v>533</v>
      </c>
      <c r="F856" s="119" t="s">
        <v>462</v>
      </c>
      <c r="G856" s="119">
        <v>5</v>
      </c>
      <c r="H856" s="119">
        <v>5</v>
      </c>
      <c r="I856" s="119" t="s">
        <v>82</v>
      </c>
    </row>
    <row r="857" spans="1:9" ht="13">
      <c r="A857" s="118">
        <v>46171</v>
      </c>
      <c r="B857" s="119">
        <v>7002644787</v>
      </c>
      <c r="C857" s="119" t="s">
        <v>524</v>
      </c>
      <c r="D857" s="119" t="s">
        <v>474</v>
      </c>
      <c r="E857" s="119" t="s">
        <v>463</v>
      </c>
      <c r="F857" s="119" t="s">
        <v>462</v>
      </c>
      <c r="G857" s="119">
        <v>2</v>
      </c>
      <c r="H857" s="119">
        <v>2</v>
      </c>
      <c r="I857" s="119" t="s">
        <v>505</v>
      </c>
    </row>
    <row r="858" spans="1:9" ht="13">
      <c r="A858" s="118">
        <v>46171</v>
      </c>
      <c r="B858" s="119">
        <v>7002645308</v>
      </c>
      <c r="C858" s="119" t="s">
        <v>524</v>
      </c>
      <c r="D858" s="119" t="s">
        <v>474</v>
      </c>
      <c r="E858" s="119" t="s">
        <v>91</v>
      </c>
      <c r="F858" s="119" t="s">
        <v>462</v>
      </c>
      <c r="G858" s="119">
        <v>15</v>
      </c>
      <c r="H858" s="119">
        <v>15</v>
      </c>
      <c r="I858" s="119" t="s">
        <v>82</v>
      </c>
    </row>
    <row r="859" spans="1:9" ht="13">
      <c r="A859" s="118">
        <v>46171</v>
      </c>
      <c r="B859" s="119">
        <v>7002644947</v>
      </c>
      <c r="C859" s="119" t="s">
        <v>524</v>
      </c>
      <c r="D859" s="119" t="s">
        <v>474</v>
      </c>
      <c r="E859" s="119" t="s">
        <v>91</v>
      </c>
      <c r="F859" s="119" t="s">
        <v>462</v>
      </c>
      <c r="G859" s="119">
        <v>6</v>
      </c>
      <c r="H859" s="119">
        <v>6</v>
      </c>
      <c r="I859" s="119" t="s">
        <v>82</v>
      </c>
    </row>
    <row r="860" spans="1:9" ht="13">
      <c r="A860" s="118">
        <v>46171</v>
      </c>
      <c r="B860" s="119">
        <v>7002627341</v>
      </c>
      <c r="C860" s="119" t="s">
        <v>524</v>
      </c>
      <c r="D860" s="119" t="s">
        <v>474</v>
      </c>
      <c r="E860" s="119" t="s">
        <v>461</v>
      </c>
      <c r="F860" s="119" t="s">
        <v>462</v>
      </c>
      <c r="G860" s="119">
        <v>2</v>
      </c>
      <c r="H860" s="119">
        <v>2</v>
      </c>
      <c r="I860" s="119" t="s">
        <v>82</v>
      </c>
    </row>
    <row r="861" spans="1:9" ht="13">
      <c r="A861" s="118">
        <v>46171</v>
      </c>
      <c r="B861" s="119">
        <v>7002644017</v>
      </c>
      <c r="C861" s="119" t="s">
        <v>524</v>
      </c>
      <c r="D861" s="119" t="s">
        <v>474</v>
      </c>
      <c r="E861" s="119" t="s">
        <v>486</v>
      </c>
      <c r="F861" s="119" t="s">
        <v>462</v>
      </c>
      <c r="G861" s="119">
        <v>1</v>
      </c>
      <c r="H861" s="119">
        <v>1</v>
      </c>
      <c r="I861" s="119" t="s">
        <v>82</v>
      </c>
    </row>
    <row r="862" spans="1:9" ht="13">
      <c r="A862" s="118">
        <v>46171</v>
      </c>
      <c r="B862" s="119">
        <v>7002645721</v>
      </c>
      <c r="C862" s="119" t="s">
        <v>524</v>
      </c>
      <c r="D862" s="119" t="s">
        <v>479</v>
      </c>
      <c r="E862" s="119" t="s">
        <v>103</v>
      </c>
      <c r="F862" s="119" t="s">
        <v>90</v>
      </c>
      <c r="G862" s="119">
        <v>1</v>
      </c>
      <c r="H862" s="119">
        <v>1</v>
      </c>
      <c r="I862" s="119" t="s">
        <v>82</v>
      </c>
    </row>
    <row r="863" spans="1:9" ht="13">
      <c r="A863" s="118">
        <v>46171</v>
      </c>
      <c r="B863" s="119">
        <v>7002645188</v>
      </c>
      <c r="C863" s="119" t="s">
        <v>524</v>
      </c>
      <c r="D863" s="119" t="s">
        <v>474</v>
      </c>
      <c r="E863" s="119" t="s">
        <v>486</v>
      </c>
      <c r="F863" s="119" t="s">
        <v>90</v>
      </c>
      <c r="G863" s="119">
        <v>7</v>
      </c>
      <c r="H863" s="119">
        <v>7</v>
      </c>
      <c r="I863" s="119" t="s">
        <v>82</v>
      </c>
    </row>
    <row r="864" spans="1:9" ht="13">
      <c r="A864" s="118">
        <v>46171</v>
      </c>
      <c r="B864" s="119">
        <v>7002668082</v>
      </c>
      <c r="C864" s="119" t="s">
        <v>524</v>
      </c>
      <c r="D864" s="119" t="s">
        <v>474</v>
      </c>
      <c r="E864" s="119" t="s">
        <v>91</v>
      </c>
      <c r="F864" s="119" t="s">
        <v>90</v>
      </c>
      <c r="G864" s="119">
        <v>3</v>
      </c>
      <c r="H864" s="119">
        <v>3</v>
      </c>
      <c r="I864" s="119" t="s">
        <v>82</v>
      </c>
    </row>
    <row r="865" spans="1:9" ht="13">
      <c r="A865" s="118">
        <v>46171</v>
      </c>
      <c r="B865" s="119">
        <v>7002644805</v>
      </c>
      <c r="C865" s="119" t="s">
        <v>524</v>
      </c>
      <c r="D865" s="119" t="s">
        <v>474</v>
      </c>
      <c r="E865" s="119" t="s">
        <v>91</v>
      </c>
      <c r="F865" s="119" t="s">
        <v>90</v>
      </c>
      <c r="G865" s="119">
        <v>8</v>
      </c>
      <c r="H865" s="119">
        <v>8</v>
      </c>
      <c r="I865" s="119" t="s">
        <v>82</v>
      </c>
    </row>
    <row r="866" spans="1:9" ht="13">
      <c r="A866" s="118">
        <v>46171</v>
      </c>
      <c r="B866" s="119">
        <v>7002643982</v>
      </c>
      <c r="C866" s="119" t="s">
        <v>524</v>
      </c>
      <c r="D866" s="119" t="s">
        <v>474</v>
      </c>
      <c r="E866" s="119" t="s">
        <v>91</v>
      </c>
      <c r="F866" s="119" t="s">
        <v>90</v>
      </c>
      <c r="G866" s="119">
        <v>3</v>
      </c>
      <c r="H866" s="119">
        <v>3</v>
      </c>
      <c r="I866" s="119" t="s">
        <v>82</v>
      </c>
    </row>
    <row r="867" spans="1:9" ht="13">
      <c r="A867" s="118">
        <v>46171</v>
      </c>
      <c r="B867" s="119">
        <v>7002643593</v>
      </c>
      <c r="C867" s="119" t="s">
        <v>524</v>
      </c>
      <c r="D867" s="119" t="s">
        <v>474</v>
      </c>
      <c r="E867" s="119" t="s">
        <v>486</v>
      </c>
      <c r="F867" s="119" t="s">
        <v>90</v>
      </c>
      <c r="G867" s="119">
        <v>12</v>
      </c>
      <c r="H867" s="119">
        <v>12</v>
      </c>
      <c r="I867" s="119" t="s">
        <v>82</v>
      </c>
    </row>
    <row r="868" spans="1:9" ht="13">
      <c r="A868" s="118">
        <v>46171</v>
      </c>
      <c r="B868" s="119">
        <v>7002642954</v>
      </c>
      <c r="C868" s="119" t="s">
        <v>524</v>
      </c>
      <c r="D868" s="119" t="s">
        <v>474</v>
      </c>
      <c r="E868" s="119" t="s">
        <v>91</v>
      </c>
      <c r="F868" s="119" t="s">
        <v>90</v>
      </c>
      <c r="G868" s="119">
        <v>3</v>
      </c>
      <c r="H868" s="119">
        <v>3</v>
      </c>
      <c r="I868" s="119" t="s">
        <v>82</v>
      </c>
    </row>
    <row r="869" spans="1:9" ht="13">
      <c r="A869" s="118">
        <v>46171</v>
      </c>
      <c r="B869" s="119">
        <v>7002645985</v>
      </c>
      <c r="C869" s="119" t="s">
        <v>524</v>
      </c>
      <c r="D869" s="119" t="s">
        <v>474</v>
      </c>
      <c r="E869" s="119" t="s">
        <v>91</v>
      </c>
      <c r="F869" s="119" t="s">
        <v>90</v>
      </c>
      <c r="G869" s="119">
        <v>2</v>
      </c>
      <c r="H869" s="119">
        <v>2</v>
      </c>
      <c r="I869" s="119" t="s">
        <v>82</v>
      </c>
    </row>
    <row r="870" spans="1:9" ht="13">
      <c r="A870" s="118">
        <v>46171</v>
      </c>
      <c r="B870" s="119">
        <v>7002646993</v>
      </c>
      <c r="C870" s="119" t="s">
        <v>524</v>
      </c>
      <c r="D870" s="119" t="s">
        <v>474</v>
      </c>
      <c r="E870" s="119" t="s">
        <v>538</v>
      </c>
      <c r="F870" s="119" t="s">
        <v>90</v>
      </c>
      <c r="G870" s="119">
        <v>10</v>
      </c>
      <c r="H870" s="119">
        <v>10</v>
      </c>
      <c r="I870" s="119" t="s">
        <v>82</v>
      </c>
    </row>
    <row r="871" spans="1:9" ht="13">
      <c r="A871" s="118">
        <v>46171</v>
      </c>
      <c r="B871" s="119">
        <v>7002649102</v>
      </c>
      <c r="C871" s="119" t="s">
        <v>524</v>
      </c>
      <c r="D871" s="119" t="s">
        <v>474</v>
      </c>
      <c r="E871" s="119" t="s">
        <v>91</v>
      </c>
      <c r="F871" s="119" t="s">
        <v>90</v>
      </c>
      <c r="G871" s="119">
        <v>7</v>
      </c>
      <c r="H871" s="119">
        <v>7</v>
      </c>
      <c r="I871" s="119" t="s">
        <v>82</v>
      </c>
    </row>
    <row r="872" spans="1:9" ht="13">
      <c r="A872" s="118">
        <v>46171</v>
      </c>
      <c r="B872" s="119">
        <v>7002646938</v>
      </c>
      <c r="C872" s="119" t="s">
        <v>524</v>
      </c>
      <c r="D872" s="119" t="s">
        <v>474</v>
      </c>
      <c r="E872" s="119" t="s">
        <v>91</v>
      </c>
      <c r="F872" s="119" t="s">
        <v>90</v>
      </c>
      <c r="G872" s="119">
        <v>7</v>
      </c>
      <c r="H872" s="119">
        <v>7</v>
      </c>
      <c r="I872" s="119" t="s">
        <v>82</v>
      </c>
    </row>
    <row r="873" spans="1:9" ht="13">
      <c r="A873" s="118">
        <v>46171</v>
      </c>
      <c r="B873" s="119">
        <v>7002669441</v>
      </c>
      <c r="C873" s="119" t="s">
        <v>524</v>
      </c>
      <c r="D873" s="119" t="s">
        <v>474</v>
      </c>
      <c r="E873" s="119" t="s">
        <v>538</v>
      </c>
      <c r="F873" s="119" t="s">
        <v>90</v>
      </c>
      <c r="G873" s="119">
        <v>1</v>
      </c>
      <c r="H873" s="119">
        <v>1</v>
      </c>
      <c r="I873" s="119" t="s">
        <v>82</v>
      </c>
    </row>
    <row r="874" spans="1:9" ht="13">
      <c r="A874" s="118">
        <v>46171</v>
      </c>
      <c r="B874" s="119">
        <v>7002647565</v>
      </c>
      <c r="C874" s="119" t="s">
        <v>524</v>
      </c>
      <c r="D874" s="119" t="s">
        <v>474</v>
      </c>
      <c r="E874" s="119" t="s">
        <v>486</v>
      </c>
      <c r="F874" s="119" t="s">
        <v>90</v>
      </c>
      <c r="G874" s="119">
        <v>37</v>
      </c>
      <c r="H874" s="119">
        <v>37</v>
      </c>
      <c r="I874" s="119" t="s">
        <v>82</v>
      </c>
    </row>
    <row r="875" spans="1:9" ht="13">
      <c r="A875" s="118">
        <v>46171</v>
      </c>
      <c r="B875" s="119">
        <v>7002642478</v>
      </c>
      <c r="C875" s="119" t="s">
        <v>524</v>
      </c>
      <c r="D875" s="119" t="s">
        <v>474</v>
      </c>
      <c r="E875" s="119" t="s">
        <v>486</v>
      </c>
      <c r="F875" s="119" t="s">
        <v>90</v>
      </c>
      <c r="G875" s="119">
        <v>6</v>
      </c>
      <c r="H875" s="119">
        <v>6</v>
      </c>
      <c r="I875" s="119" t="s">
        <v>82</v>
      </c>
    </row>
    <row r="876" spans="1:9" ht="13">
      <c r="A876" s="118">
        <v>46171</v>
      </c>
      <c r="B876" s="119">
        <v>7002648310</v>
      </c>
      <c r="C876" s="119" t="s">
        <v>524</v>
      </c>
      <c r="D876" s="119" t="s">
        <v>474</v>
      </c>
      <c r="E876" s="119" t="s">
        <v>486</v>
      </c>
      <c r="F876" s="119" t="s">
        <v>90</v>
      </c>
      <c r="G876" s="119">
        <v>6</v>
      </c>
      <c r="H876" s="119">
        <v>6</v>
      </c>
      <c r="I876" s="119" t="s">
        <v>82</v>
      </c>
    </row>
    <row r="877" spans="1:9" ht="13">
      <c r="A877" s="118">
        <v>46171</v>
      </c>
      <c r="B877" s="119">
        <v>7002642146</v>
      </c>
      <c r="C877" s="119" t="s">
        <v>524</v>
      </c>
      <c r="D877" s="119" t="s">
        <v>474</v>
      </c>
      <c r="E877" s="119" t="s">
        <v>486</v>
      </c>
      <c r="F877" s="119" t="s">
        <v>90</v>
      </c>
      <c r="G877" s="119">
        <v>1</v>
      </c>
      <c r="H877" s="119">
        <v>1</v>
      </c>
      <c r="I877" s="119" t="s">
        <v>82</v>
      </c>
    </row>
    <row r="878" spans="1:9" ht="13">
      <c r="A878" s="118">
        <v>46171</v>
      </c>
      <c r="B878" s="119">
        <v>7002634909</v>
      </c>
      <c r="C878" s="119" t="s">
        <v>524</v>
      </c>
      <c r="D878" s="119" t="s">
        <v>474</v>
      </c>
      <c r="E878" s="119" t="s">
        <v>91</v>
      </c>
      <c r="F878" s="119" t="s">
        <v>90</v>
      </c>
      <c r="G878" s="119">
        <v>2</v>
      </c>
      <c r="H878" s="119">
        <v>2</v>
      </c>
      <c r="I878" s="119" t="s">
        <v>82</v>
      </c>
    </row>
    <row r="879" spans="1:9" ht="13">
      <c r="A879" s="118">
        <v>46171</v>
      </c>
      <c r="B879" s="119">
        <v>7002633536</v>
      </c>
      <c r="C879" s="119" t="s">
        <v>524</v>
      </c>
      <c r="D879" s="119" t="s">
        <v>474</v>
      </c>
      <c r="E879" s="119" t="s">
        <v>486</v>
      </c>
      <c r="F879" s="119" t="s">
        <v>90</v>
      </c>
      <c r="G879" s="119">
        <v>2</v>
      </c>
      <c r="H879" s="119">
        <v>2</v>
      </c>
      <c r="I879" s="119" t="s">
        <v>82</v>
      </c>
    </row>
    <row r="880" spans="1:9" ht="13">
      <c r="A880" s="118">
        <v>46171</v>
      </c>
      <c r="B880" s="119">
        <v>7002631911</v>
      </c>
      <c r="C880" s="119" t="s">
        <v>524</v>
      </c>
      <c r="D880" s="119" t="s">
        <v>474</v>
      </c>
      <c r="E880" s="119" t="s">
        <v>486</v>
      </c>
      <c r="F880" s="119" t="s">
        <v>90</v>
      </c>
      <c r="G880" s="119">
        <v>14</v>
      </c>
      <c r="H880" s="119">
        <v>14</v>
      </c>
      <c r="I880" s="119" t="s">
        <v>82</v>
      </c>
    </row>
    <row r="881" spans="1:9" ht="13">
      <c r="A881" s="118">
        <v>46171</v>
      </c>
      <c r="B881" s="119">
        <v>7002630770</v>
      </c>
      <c r="C881" s="119" t="s">
        <v>524</v>
      </c>
      <c r="D881" s="119" t="s">
        <v>474</v>
      </c>
      <c r="E881" s="119" t="s">
        <v>533</v>
      </c>
      <c r="F881" s="119" t="s">
        <v>90</v>
      </c>
      <c r="G881" s="119">
        <v>15</v>
      </c>
      <c r="H881" s="119">
        <v>15</v>
      </c>
      <c r="I881" s="119" t="s">
        <v>82</v>
      </c>
    </row>
    <row r="882" spans="1:9" ht="13">
      <c r="A882" s="118">
        <v>46171</v>
      </c>
      <c r="B882" s="119">
        <v>7002630617</v>
      </c>
      <c r="C882" s="119" t="s">
        <v>524</v>
      </c>
      <c r="D882" s="119" t="s">
        <v>474</v>
      </c>
      <c r="E882" s="119" t="s">
        <v>486</v>
      </c>
      <c r="F882" s="119" t="s">
        <v>90</v>
      </c>
      <c r="G882" s="119">
        <v>1</v>
      </c>
      <c r="H882" s="119">
        <v>1</v>
      </c>
      <c r="I882" s="119" t="s">
        <v>82</v>
      </c>
    </row>
    <row r="883" spans="1:9" ht="13">
      <c r="A883" s="118">
        <v>46171</v>
      </c>
      <c r="B883" s="119">
        <v>7002629121</v>
      </c>
      <c r="C883" s="119" t="s">
        <v>524</v>
      </c>
      <c r="D883" s="119" t="s">
        <v>474</v>
      </c>
      <c r="E883" s="119" t="s">
        <v>486</v>
      </c>
      <c r="F883" s="119" t="s">
        <v>90</v>
      </c>
      <c r="G883" s="119">
        <v>10</v>
      </c>
      <c r="H883" s="119">
        <v>10</v>
      </c>
      <c r="I883" s="119" t="s">
        <v>82</v>
      </c>
    </row>
    <row r="884" spans="1:9" ht="13">
      <c r="A884" s="118">
        <v>46171</v>
      </c>
      <c r="B884" s="119">
        <v>7002628702</v>
      </c>
      <c r="C884" s="119" t="s">
        <v>524</v>
      </c>
      <c r="D884" s="119" t="s">
        <v>474</v>
      </c>
      <c r="E884" s="119" t="s">
        <v>486</v>
      </c>
      <c r="F884" s="119" t="s">
        <v>90</v>
      </c>
      <c r="G884" s="119">
        <v>1</v>
      </c>
      <c r="H884" s="119">
        <v>1</v>
      </c>
      <c r="I884" s="119" t="s">
        <v>82</v>
      </c>
    </row>
    <row r="885" spans="1:9" ht="13">
      <c r="A885" s="118">
        <v>46171</v>
      </c>
      <c r="B885" s="119">
        <v>7002649293</v>
      </c>
      <c r="C885" s="119" t="s">
        <v>524</v>
      </c>
      <c r="D885" s="119" t="s">
        <v>474</v>
      </c>
      <c r="E885" s="119" t="s">
        <v>486</v>
      </c>
      <c r="F885" s="119" t="s">
        <v>90</v>
      </c>
      <c r="G885" s="119">
        <v>2</v>
      </c>
      <c r="H885" s="119">
        <v>2</v>
      </c>
      <c r="I885" s="119" t="s">
        <v>82</v>
      </c>
    </row>
    <row r="886" spans="1:9" ht="13">
      <c r="A886" s="118">
        <v>46171</v>
      </c>
      <c r="B886" s="119">
        <v>7002669584</v>
      </c>
      <c r="C886" s="119" t="s">
        <v>524</v>
      </c>
      <c r="D886" s="119" t="s">
        <v>474</v>
      </c>
      <c r="E886" s="119" t="s">
        <v>91</v>
      </c>
      <c r="F886" s="119" t="s">
        <v>90</v>
      </c>
      <c r="G886" s="119">
        <v>4</v>
      </c>
      <c r="H886" s="119">
        <v>4</v>
      </c>
      <c r="I886" s="119" t="s">
        <v>82</v>
      </c>
    </row>
    <row r="887" spans="1:9" ht="13">
      <c r="A887" s="118">
        <v>46171</v>
      </c>
      <c r="B887" s="119">
        <v>7002640570</v>
      </c>
      <c r="C887" s="119" t="s">
        <v>524</v>
      </c>
      <c r="D887" s="119" t="s">
        <v>474</v>
      </c>
      <c r="E887" s="119" t="s">
        <v>486</v>
      </c>
      <c r="F887" s="119" t="s">
        <v>90</v>
      </c>
      <c r="G887" s="119">
        <v>3</v>
      </c>
      <c r="H887" s="119">
        <v>3</v>
      </c>
      <c r="I887" s="119" t="s">
        <v>82</v>
      </c>
    </row>
    <row r="888" spans="1:9" ht="13">
      <c r="A888" s="118">
        <v>46171</v>
      </c>
      <c r="B888" s="119">
        <v>7002640406</v>
      </c>
      <c r="C888" s="119" t="s">
        <v>524</v>
      </c>
      <c r="D888" s="119" t="s">
        <v>474</v>
      </c>
      <c r="E888" s="119" t="s">
        <v>486</v>
      </c>
      <c r="F888" s="119" t="s">
        <v>90</v>
      </c>
      <c r="G888" s="119">
        <v>3</v>
      </c>
      <c r="H888" s="119">
        <v>3</v>
      </c>
      <c r="I888" s="119" t="s">
        <v>82</v>
      </c>
    </row>
    <row r="889" spans="1:9" ht="13">
      <c r="A889" s="118">
        <v>46171</v>
      </c>
      <c r="B889" s="119">
        <v>7002638937</v>
      </c>
      <c r="C889" s="119" t="s">
        <v>524</v>
      </c>
      <c r="D889" s="119" t="s">
        <v>474</v>
      </c>
      <c r="E889" s="119" t="s">
        <v>486</v>
      </c>
      <c r="F889" s="119" t="s">
        <v>90</v>
      </c>
      <c r="G889" s="119">
        <v>3</v>
      </c>
      <c r="H889" s="119">
        <v>3</v>
      </c>
      <c r="I889" s="119" t="s">
        <v>82</v>
      </c>
    </row>
    <row r="890" spans="1:9" ht="13">
      <c r="A890" s="118">
        <v>46171</v>
      </c>
      <c r="B890" s="119">
        <v>7002637892</v>
      </c>
      <c r="C890" s="119" t="s">
        <v>524</v>
      </c>
      <c r="D890" s="119" t="s">
        <v>474</v>
      </c>
      <c r="E890" s="119" t="s">
        <v>486</v>
      </c>
      <c r="F890" s="119" t="s">
        <v>90</v>
      </c>
      <c r="G890" s="119">
        <v>3</v>
      </c>
      <c r="H890" s="119">
        <v>3</v>
      </c>
      <c r="I890" s="119" t="s">
        <v>82</v>
      </c>
    </row>
    <row r="891" spans="1:9" ht="13">
      <c r="A891" s="118">
        <v>46171</v>
      </c>
      <c r="B891" s="119">
        <v>7002641950</v>
      </c>
      <c r="C891" s="119" t="s">
        <v>524</v>
      </c>
      <c r="D891" s="119" t="s">
        <v>495</v>
      </c>
      <c r="E891" s="119" t="s">
        <v>103</v>
      </c>
      <c r="F891" s="119" t="s">
        <v>90</v>
      </c>
      <c r="G891" s="119">
        <v>4</v>
      </c>
      <c r="H891" s="119">
        <v>4</v>
      </c>
      <c r="I891" s="119" t="s">
        <v>82</v>
      </c>
    </row>
    <row r="892" spans="1:9" ht="13">
      <c r="A892" s="118">
        <v>46171</v>
      </c>
      <c r="B892" s="119">
        <v>7002649579</v>
      </c>
      <c r="C892" s="119" t="s">
        <v>524</v>
      </c>
      <c r="D892" s="119" t="s">
        <v>474</v>
      </c>
      <c r="E892" s="119" t="s">
        <v>486</v>
      </c>
      <c r="F892" s="119" t="s">
        <v>90</v>
      </c>
      <c r="G892" s="119">
        <v>2</v>
      </c>
      <c r="H892" s="119">
        <v>2</v>
      </c>
      <c r="I892" s="119" t="s">
        <v>82</v>
      </c>
    </row>
    <row r="893" spans="1:9" ht="13">
      <c r="A893" s="118">
        <v>46171</v>
      </c>
      <c r="B893" s="119">
        <v>7002649668</v>
      </c>
      <c r="C893" s="119" t="s">
        <v>524</v>
      </c>
      <c r="D893" s="119" t="s">
        <v>474</v>
      </c>
      <c r="E893" s="119" t="s">
        <v>486</v>
      </c>
      <c r="F893" s="119" t="s">
        <v>90</v>
      </c>
      <c r="G893" s="119">
        <v>1</v>
      </c>
      <c r="H893" s="119">
        <v>1</v>
      </c>
      <c r="I893" s="119" t="s">
        <v>82</v>
      </c>
    </row>
    <row r="894" spans="1:9" ht="13">
      <c r="A894" s="118">
        <v>46171</v>
      </c>
      <c r="B894" s="119">
        <v>7002649731</v>
      </c>
      <c r="C894" s="119" t="s">
        <v>524</v>
      </c>
      <c r="D894" s="119" t="s">
        <v>474</v>
      </c>
      <c r="E894" s="119" t="s">
        <v>91</v>
      </c>
      <c r="F894" s="119" t="s">
        <v>90</v>
      </c>
      <c r="G894" s="119">
        <v>1</v>
      </c>
      <c r="H894" s="119">
        <v>1</v>
      </c>
      <c r="I894" s="119" t="s">
        <v>82</v>
      </c>
    </row>
    <row r="895" spans="1:9" ht="13">
      <c r="A895" s="118">
        <v>46171</v>
      </c>
      <c r="B895" s="119">
        <v>7002659848</v>
      </c>
      <c r="C895" s="119" t="s">
        <v>524</v>
      </c>
      <c r="D895" s="119" t="s">
        <v>474</v>
      </c>
      <c r="E895" s="119" t="s">
        <v>91</v>
      </c>
      <c r="F895" s="119" t="s">
        <v>90</v>
      </c>
      <c r="G895" s="119">
        <v>1</v>
      </c>
      <c r="H895" s="119">
        <v>1</v>
      </c>
      <c r="I895" s="119" t="s">
        <v>82</v>
      </c>
    </row>
    <row r="896" spans="1:9" ht="13">
      <c r="A896" s="118">
        <v>46171</v>
      </c>
      <c r="B896" s="119">
        <v>7002662405</v>
      </c>
      <c r="C896" s="119" t="s">
        <v>524</v>
      </c>
      <c r="D896" s="119" t="s">
        <v>474</v>
      </c>
      <c r="E896" s="119" t="s">
        <v>91</v>
      </c>
      <c r="F896" s="119" t="s">
        <v>90</v>
      </c>
      <c r="G896" s="119">
        <v>4</v>
      </c>
      <c r="H896" s="119">
        <v>4</v>
      </c>
      <c r="I896" s="119" t="s">
        <v>82</v>
      </c>
    </row>
    <row r="897" spans="1:9" ht="13">
      <c r="A897" s="118">
        <v>46171</v>
      </c>
      <c r="B897" s="119">
        <v>7002658899</v>
      </c>
      <c r="C897" s="119" t="s">
        <v>524</v>
      </c>
      <c r="D897" s="119" t="s">
        <v>474</v>
      </c>
      <c r="E897" s="119" t="s">
        <v>91</v>
      </c>
      <c r="F897" s="119" t="s">
        <v>90</v>
      </c>
      <c r="G897" s="119">
        <v>1</v>
      </c>
      <c r="H897" s="119">
        <v>1</v>
      </c>
      <c r="I897" s="119" t="s">
        <v>82</v>
      </c>
    </row>
    <row r="898" spans="1:9" ht="13">
      <c r="A898" s="118">
        <v>46171</v>
      </c>
      <c r="B898" s="119">
        <v>7002658834</v>
      </c>
      <c r="C898" s="119" t="s">
        <v>524</v>
      </c>
      <c r="D898" s="119" t="s">
        <v>474</v>
      </c>
      <c r="E898" s="119" t="s">
        <v>91</v>
      </c>
      <c r="F898" s="119" t="s">
        <v>90</v>
      </c>
      <c r="G898" s="119">
        <v>1</v>
      </c>
      <c r="H898" s="119">
        <v>1</v>
      </c>
      <c r="I898" s="119" t="s">
        <v>82</v>
      </c>
    </row>
    <row r="899" spans="1:9" ht="13">
      <c r="A899" s="118">
        <v>46171</v>
      </c>
      <c r="B899" s="119">
        <v>7002658304</v>
      </c>
      <c r="C899" s="119" t="s">
        <v>524</v>
      </c>
      <c r="D899" s="119" t="s">
        <v>474</v>
      </c>
      <c r="E899" s="119" t="s">
        <v>539</v>
      </c>
      <c r="F899" s="119" t="s">
        <v>90</v>
      </c>
      <c r="G899" s="119">
        <v>1</v>
      </c>
      <c r="H899" s="119">
        <v>1</v>
      </c>
      <c r="I899" s="119" t="s">
        <v>82</v>
      </c>
    </row>
    <row r="900" spans="1:9" ht="13">
      <c r="A900" s="118">
        <v>46171</v>
      </c>
      <c r="B900" s="119">
        <v>7002666491</v>
      </c>
      <c r="C900" s="119" t="s">
        <v>524</v>
      </c>
      <c r="D900" s="119" t="s">
        <v>474</v>
      </c>
      <c r="E900" s="119" t="s">
        <v>91</v>
      </c>
      <c r="F900" s="119" t="s">
        <v>90</v>
      </c>
      <c r="G900" s="119">
        <v>1</v>
      </c>
      <c r="H900" s="119">
        <v>1</v>
      </c>
      <c r="I900" s="119" t="s">
        <v>82</v>
      </c>
    </row>
    <row r="901" spans="1:9" ht="13">
      <c r="A901" s="118">
        <v>46171</v>
      </c>
      <c r="B901" s="119">
        <v>7002666436</v>
      </c>
      <c r="C901" s="119" t="s">
        <v>524</v>
      </c>
      <c r="D901" s="119" t="s">
        <v>474</v>
      </c>
      <c r="E901" s="119" t="s">
        <v>91</v>
      </c>
      <c r="F901" s="119" t="s">
        <v>90</v>
      </c>
      <c r="G901" s="119">
        <v>5</v>
      </c>
      <c r="H901" s="119">
        <v>5</v>
      </c>
      <c r="I901" s="119" t="s">
        <v>82</v>
      </c>
    </row>
    <row r="902" spans="1:9" ht="13">
      <c r="A902" s="118">
        <v>46171</v>
      </c>
      <c r="B902" s="119">
        <v>7002665045</v>
      </c>
      <c r="C902" s="119" t="s">
        <v>524</v>
      </c>
      <c r="D902" s="119" t="s">
        <v>479</v>
      </c>
      <c r="E902" s="119" t="s">
        <v>103</v>
      </c>
      <c r="F902" s="119" t="s">
        <v>90</v>
      </c>
      <c r="G902" s="119">
        <v>2</v>
      </c>
      <c r="H902" s="119">
        <v>2</v>
      </c>
      <c r="I902" s="119" t="s">
        <v>82</v>
      </c>
    </row>
    <row r="903" spans="1:9" ht="13">
      <c r="A903" s="118">
        <v>46171</v>
      </c>
      <c r="B903" s="119">
        <v>7002664483</v>
      </c>
      <c r="C903" s="119" t="s">
        <v>524</v>
      </c>
      <c r="D903" s="119" t="s">
        <v>479</v>
      </c>
      <c r="E903" s="119" t="s">
        <v>103</v>
      </c>
      <c r="F903" s="119" t="s">
        <v>90</v>
      </c>
      <c r="G903" s="119">
        <v>1</v>
      </c>
      <c r="H903" s="119">
        <v>1</v>
      </c>
      <c r="I903" s="119" t="s">
        <v>82</v>
      </c>
    </row>
    <row r="904" spans="1:9" ht="13">
      <c r="A904" s="118">
        <v>46171</v>
      </c>
      <c r="B904" s="119">
        <v>7002665141</v>
      </c>
      <c r="C904" s="119" t="s">
        <v>524</v>
      </c>
      <c r="D904" s="119" t="s">
        <v>474</v>
      </c>
      <c r="E904" s="119" t="s">
        <v>91</v>
      </c>
      <c r="F904" s="119" t="s">
        <v>90</v>
      </c>
      <c r="G904" s="119">
        <v>35</v>
      </c>
      <c r="H904" s="119">
        <v>35</v>
      </c>
      <c r="I904" s="119" t="s">
        <v>82</v>
      </c>
    </row>
    <row r="905" spans="1:9" ht="13">
      <c r="A905" s="118">
        <v>46171</v>
      </c>
      <c r="B905" s="119">
        <v>7002657108</v>
      </c>
      <c r="C905" s="119" t="s">
        <v>524</v>
      </c>
      <c r="D905" s="119" t="s">
        <v>474</v>
      </c>
      <c r="E905" s="119" t="s">
        <v>539</v>
      </c>
      <c r="F905" s="119" t="s">
        <v>90</v>
      </c>
      <c r="G905" s="119">
        <v>1</v>
      </c>
      <c r="H905" s="119">
        <v>1</v>
      </c>
      <c r="I905" s="119" t="s">
        <v>82</v>
      </c>
    </row>
    <row r="906" spans="1:9" ht="13">
      <c r="A906" s="118">
        <v>46171</v>
      </c>
      <c r="B906" s="119">
        <v>7002653858</v>
      </c>
      <c r="C906" s="119" t="s">
        <v>524</v>
      </c>
      <c r="D906" s="119" t="s">
        <v>474</v>
      </c>
      <c r="E906" s="119" t="s">
        <v>91</v>
      </c>
      <c r="F906" s="119" t="s">
        <v>90</v>
      </c>
      <c r="G906" s="119">
        <v>1</v>
      </c>
      <c r="H906" s="119">
        <v>1</v>
      </c>
      <c r="I906" s="119" t="s">
        <v>82</v>
      </c>
    </row>
    <row r="907" spans="1:9" ht="13">
      <c r="A907" s="118">
        <v>46171</v>
      </c>
      <c r="B907" s="119">
        <v>7002652859</v>
      </c>
      <c r="C907" s="119" t="s">
        <v>524</v>
      </c>
      <c r="D907" s="119" t="s">
        <v>474</v>
      </c>
      <c r="E907" s="119" t="s">
        <v>91</v>
      </c>
      <c r="F907" s="119" t="s">
        <v>90</v>
      </c>
      <c r="G907" s="119">
        <v>2</v>
      </c>
      <c r="H907" s="119">
        <v>2</v>
      </c>
      <c r="I907" s="119" t="s">
        <v>82</v>
      </c>
    </row>
    <row r="908" spans="1:9" ht="13">
      <c r="A908" s="118">
        <v>46171</v>
      </c>
      <c r="B908" s="119">
        <v>7002652844</v>
      </c>
      <c r="C908" s="119" t="s">
        <v>524</v>
      </c>
      <c r="D908" s="119" t="s">
        <v>474</v>
      </c>
      <c r="E908" s="119" t="s">
        <v>91</v>
      </c>
      <c r="F908" s="119" t="s">
        <v>90</v>
      </c>
      <c r="G908" s="119">
        <v>5</v>
      </c>
      <c r="H908" s="119">
        <v>5</v>
      </c>
      <c r="I908" s="119" t="s">
        <v>82</v>
      </c>
    </row>
    <row r="909" spans="1:9" ht="13">
      <c r="A909" s="118">
        <v>46171</v>
      </c>
      <c r="B909" s="119">
        <v>7002651864</v>
      </c>
      <c r="C909" s="119" t="s">
        <v>524</v>
      </c>
      <c r="D909" s="119" t="s">
        <v>474</v>
      </c>
      <c r="E909" s="119" t="s">
        <v>91</v>
      </c>
      <c r="F909" s="119" t="s">
        <v>90</v>
      </c>
      <c r="G909" s="119">
        <v>1</v>
      </c>
      <c r="H909" s="119">
        <v>1</v>
      </c>
      <c r="I909" s="119" t="s">
        <v>82</v>
      </c>
    </row>
    <row r="910" spans="1:9" ht="13">
      <c r="A910" s="118">
        <v>46171</v>
      </c>
      <c r="B910" s="119">
        <v>7002650290</v>
      </c>
      <c r="C910" s="119" t="s">
        <v>524</v>
      </c>
      <c r="D910" s="119" t="s">
        <v>474</v>
      </c>
      <c r="E910" s="119" t="s">
        <v>539</v>
      </c>
      <c r="F910" s="119" t="s">
        <v>90</v>
      </c>
      <c r="G910" s="119">
        <v>1</v>
      </c>
      <c r="H910" s="119">
        <v>1</v>
      </c>
      <c r="I910" s="119" t="s">
        <v>82</v>
      </c>
    </row>
    <row r="911" spans="1:9" ht="13">
      <c r="A911" s="118">
        <v>46171</v>
      </c>
      <c r="B911" s="119">
        <v>7002650288</v>
      </c>
      <c r="C911" s="119" t="s">
        <v>524</v>
      </c>
      <c r="D911" s="119" t="s">
        <v>474</v>
      </c>
      <c r="E911" s="119" t="s">
        <v>539</v>
      </c>
      <c r="F911" s="119" t="s">
        <v>90</v>
      </c>
      <c r="G911" s="119">
        <v>1</v>
      </c>
      <c r="H911" s="119">
        <v>1</v>
      </c>
      <c r="I911" s="119" t="s">
        <v>82</v>
      </c>
    </row>
    <row r="912" spans="1:9" ht="13">
      <c r="A912" s="118">
        <v>46171</v>
      </c>
      <c r="B912" s="119">
        <v>7002649943</v>
      </c>
      <c r="C912" s="119" t="s">
        <v>524</v>
      </c>
      <c r="D912" s="119" t="s">
        <v>474</v>
      </c>
      <c r="E912" s="119" t="s">
        <v>91</v>
      </c>
      <c r="F912" s="119" t="s">
        <v>90</v>
      </c>
      <c r="G912" s="119">
        <v>5</v>
      </c>
      <c r="H912" s="119">
        <v>5</v>
      </c>
      <c r="I912" s="119" t="s">
        <v>82</v>
      </c>
    </row>
    <row r="913" spans="1:9" ht="13">
      <c r="A913" s="118">
        <v>46171</v>
      </c>
      <c r="B913" s="119">
        <v>7002657357</v>
      </c>
      <c r="C913" s="119" t="s">
        <v>524</v>
      </c>
      <c r="D913" s="119" t="s">
        <v>474</v>
      </c>
      <c r="E913" s="119" t="s">
        <v>91</v>
      </c>
      <c r="F913" s="119" t="s">
        <v>90</v>
      </c>
      <c r="G913" s="119">
        <v>1</v>
      </c>
      <c r="H913" s="119">
        <v>1</v>
      </c>
      <c r="I913" s="119" t="s">
        <v>82</v>
      </c>
    </row>
    <row r="914" spans="1:9" ht="13">
      <c r="A914" s="118">
        <v>46171</v>
      </c>
      <c r="B914" s="119">
        <v>7002654048</v>
      </c>
      <c r="C914" s="119" t="s">
        <v>524</v>
      </c>
      <c r="D914" s="119" t="s">
        <v>474</v>
      </c>
      <c r="E914" s="119" t="s">
        <v>91</v>
      </c>
      <c r="F914" s="119" t="s">
        <v>90</v>
      </c>
      <c r="G914" s="119">
        <v>20</v>
      </c>
      <c r="H914" s="119">
        <v>20</v>
      </c>
      <c r="I914" s="119" t="s">
        <v>82</v>
      </c>
    </row>
    <row r="915" spans="1:9" ht="13">
      <c r="A915" s="118">
        <v>46171</v>
      </c>
      <c r="B915" s="119">
        <v>7002656130</v>
      </c>
      <c r="C915" s="119" t="s">
        <v>524</v>
      </c>
      <c r="D915" s="119" t="s">
        <v>474</v>
      </c>
      <c r="E915" s="119" t="s">
        <v>538</v>
      </c>
      <c r="F915" s="119" t="s">
        <v>90</v>
      </c>
      <c r="G915" s="119">
        <v>7</v>
      </c>
      <c r="H915" s="119">
        <v>7</v>
      </c>
      <c r="I915" s="119" t="s">
        <v>82</v>
      </c>
    </row>
    <row r="916" spans="1:9" ht="13">
      <c r="A916" s="118">
        <v>46171</v>
      </c>
      <c r="B916" s="119">
        <v>7002656059</v>
      </c>
      <c r="C916" s="119" t="s">
        <v>524</v>
      </c>
      <c r="D916" s="119" t="s">
        <v>515</v>
      </c>
      <c r="E916" s="119" t="s">
        <v>470</v>
      </c>
      <c r="F916" s="119" t="s">
        <v>90</v>
      </c>
      <c r="G916" s="119">
        <v>2</v>
      </c>
      <c r="H916" s="119">
        <v>2</v>
      </c>
      <c r="I916" s="119" t="s">
        <v>82</v>
      </c>
    </row>
    <row r="917" spans="1:9" ht="13">
      <c r="A917" s="118">
        <v>46171</v>
      </c>
      <c r="B917" s="119">
        <v>7002655301</v>
      </c>
      <c r="C917" s="119" t="s">
        <v>524</v>
      </c>
      <c r="D917" s="119" t="s">
        <v>474</v>
      </c>
      <c r="E917" s="119" t="s">
        <v>539</v>
      </c>
      <c r="F917" s="119" t="s">
        <v>90</v>
      </c>
      <c r="G917" s="119">
        <v>1</v>
      </c>
      <c r="H917" s="119">
        <v>1</v>
      </c>
      <c r="I917" s="119" t="s">
        <v>82</v>
      </c>
    </row>
    <row r="918" spans="1:9" ht="13">
      <c r="A918" s="118">
        <v>46171</v>
      </c>
      <c r="B918" s="119">
        <v>7002655253</v>
      </c>
      <c r="C918" s="119" t="s">
        <v>524</v>
      </c>
      <c r="D918" s="119" t="s">
        <v>474</v>
      </c>
      <c r="E918" s="119" t="s">
        <v>539</v>
      </c>
      <c r="F918" s="119" t="s">
        <v>90</v>
      </c>
      <c r="G918" s="119">
        <v>1</v>
      </c>
      <c r="H918" s="119">
        <v>1</v>
      </c>
      <c r="I918" s="119" t="s">
        <v>82</v>
      </c>
    </row>
    <row r="919" spans="1:9" ht="13">
      <c r="A919" s="118">
        <v>46171</v>
      </c>
      <c r="B919" s="119">
        <v>7002654262</v>
      </c>
      <c r="C919" s="119" t="s">
        <v>524</v>
      </c>
      <c r="D919" s="119" t="s">
        <v>474</v>
      </c>
      <c r="E919" s="119" t="s">
        <v>539</v>
      </c>
      <c r="F919" s="119" t="s">
        <v>90</v>
      </c>
      <c r="G919" s="119">
        <v>1</v>
      </c>
      <c r="H919" s="119">
        <v>1</v>
      </c>
      <c r="I919" s="119" t="s">
        <v>82</v>
      </c>
    </row>
    <row r="920" spans="1:9" ht="13">
      <c r="A920" s="118">
        <v>46171</v>
      </c>
      <c r="B920" s="119">
        <v>7002618332</v>
      </c>
      <c r="C920" s="119" t="s">
        <v>524</v>
      </c>
      <c r="D920" s="119" t="s">
        <v>474</v>
      </c>
      <c r="E920" s="119" t="s">
        <v>486</v>
      </c>
      <c r="F920" s="119" t="s">
        <v>90</v>
      </c>
      <c r="G920" s="119">
        <v>20</v>
      </c>
      <c r="H920" s="119">
        <v>20</v>
      </c>
      <c r="I920" s="119" t="s">
        <v>82</v>
      </c>
    </row>
    <row r="921" spans="1:9" ht="13">
      <c r="A921" s="118">
        <v>46171</v>
      </c>
      <c r="B921" s="119">
        <v>7002623102</v>
      </c>
      <c r="C921" s="119" t="s">
        <v>524</v>
      </c>
      <c r="D921" s="119" t="s">
        <v>474</v>
      </c>
      <c r="E921" s="119" t="s">
        <v>461</v>
      </c>
      <c r="F921" s="119" t="s">
        <v>90</v>
      </c>
      <c r="G921" s="119">
        <v>1</v>
      </c>
      <c r="H921" s="119">
        <v>1</v>
      </c>
      <c r="I921" s="119" t="s">
        <v>82</v>
      </c>
    </row>
    <row r="922" spans="1:9" ht="13">
      <c r="A922" s="118">
        <v>46171</v>
      </c>
      <c r="B922" s="119">
        <v>7002578786</v>
      </c>
      <c r="C922" s="119" t="s">
        <v>524</v>
      </c>
      <c r="D922" s="119" t="s">
        <v>479</v>
      </c>
      <c r="E922" s="119" t="s">
        <v>452</v>
      </c>
      <c r="F922" s="119" t="s">
        <v>90</v>
      </c>
      <c r="G922" s="119">
        <v>27</v>
      </c>
      <c r="H922" s="119">
        <v>27</v>
      </c>
      <c r="I922" s="119" t="s">
        <v>82</v>
      </c>
    </row>
    <row r="923" spans="1:9" ht="13">
      <c r="A923" s="118">
        <v>46171</v>
      </c>
      <c r="B923" s="119">
        <v>7002578394</v>
      </c>
      <c r="C923" s="119" t="s">
        <v>524</v>
      </c>
      <c r="D923" s="119" t="s">
        <v>474</v>
      </c>
      <c r="E923" s="119" t="s">
        <v>554</v>
      </c>
      <c r="F923" s="119" t="s">
        <v>90</v>
      </c>
      <c r="G923" s="119">
        <v>2</v>
      </c>
      <c r="H923" s="119">
        <v>2</v>
      </c>
      <c r="I923" s="119" t="s">
        <v>82</v>
      </c>
    </row>
    <row r="924" spans="1:9" ht="13">
      <c r="A924" s="118">
        <v>46171</v>
      </c>
      <c r="B924" s="119">
        <v>7002578231</v>
      </c>
      <c r="C924" s="119" t="s">
        <v>524</v>
      </c>
      <c r="D924" s="119" t="s">
        <v>474</v>
      </c>
      <c r="E924" s="119" t="s">
        <v>554</v>
      </c>
      <c r="F924" s="119" t="s">
        <v>90</v>
      </c>
      <c r="G924" s="119">
        <v>2</v>
      </c>
      <c r="H924" s="119">
        <v>2</v>
      </c>
      <c r="I924" s="119" t="s">
        <v>82</v>
      </c>
    </row>
    <row r="925" spans="1:9" ht="13">
      <c r="A925" s="118">
        <v>46171</v>
      </c>
      <c r="B925" s="119">
        <v>7002577763</v>
      </c>
      <c r="C925" s="119" t="s">
        <v>524</v>
      </c>
      <c r="D925" s="119" t="s">
        <v>474</v>
      </c>
      <c r="E925" s="119" t="s">
        <v>554</v>
      </c>
      <c r="F925" s="119" t="s">
        <v>90</v>
      </c>
      <c r="G925" s="119">
        <v>1</v>
      </c>
      <c r="H925" s="119">
        <v>1</v>
      </c>
      <c r="I925" s="119" t="s">
        <v>82</v>
      </c>
    </row>
    <row r="926" spans="1:9" ht="13">
      <c r="A926" s="118">
        <v>46171</v>
      </c>
      <c r="B926" s="119">
        <v>7002577364</v>
      </c>
      <c r="C926" s="119" t="s">
        <v>524</v>
      </c>
      <c r="D926" s="119" t="s">
        <v>474</v>
      </c>
      <c r="E926" s="119" t="s">
        <v>554</v>
      </c>
      <c r="F926" s="119" t="s">
        <v>90</v>
      </c>
      <c r="G926" s="119">
        <v>4</v>
      </c>
      <c r="H926" s="119">
        <v>4</v>
      </c>
      <c r="I926" s="119" t="s">
        <v>82</v>
      </c>
    </row>
    <row r="927" spans="1:9" ht="13">
      <c r="A927" s="118">
        <v>46171</v>
      </c>
      <c r="B927" s="119">
        <v>7002576807</v>
      </c>
      <c r="C927" s="119" t="s">
        <v>524</v>
      </c>
      <c r="D927" s="119" t="s">
        <v>474</v>
      </c>
      <c r="E927" s="119" t="s">
        <v>554</v>
      </c>
      <c r="F927" s="119" t="s">
        <v>90</v>
      </c>
      <c r="G927" s="119">
        <v>4</v>
      </c>
      <c r="H927" s="119">
        <v>4</v>
      </c>
      <c r="I927" s="119" t="s">
        <v>82</v>
      </c>
    </row>
    <row r="928" spans="1:9" ht="13">
      <c r="A928" s="118">
        <v>46171</v>
      </c>
      <c r="B928" s="119">
        <v>7002571554</v>
      </c>
      <c r="C928" s="119" t="s">
        <v>524</v>
      </c>
      <c r="D928" s="119" t="s">
        <v>474</v>
      </c>
      <c r="E928" s="119" t="s">
        <v>554</v>
      </c>
      <c r="F928" s="119" t="s">
        <v>90</v>
      </c>
      <c r="G928" s="119">
        <v>2</v>
      </c>
      <c r="H928" s="119">
        <v>2</v>
      </c>
      <c r="I928" s="119" t="s">
        <v>82</v>
      </c>
    </row>
    <row r="929" spans="1:9" ht="13">
      <c r="A929" s="118">
        <v>46171</v>
      </c>
      <c r="B929" s="119">
        <v>7002569353</v>
      </c>
      <c r="C929" s="119" t="s">
        <v>524</v>
      </c>
      <c r="D929" s="119" t="s">
        <v>479</v>
      </c>
      <c r="E929" s="119" t="s">
        <v>452</v>
      </c>
      <c r="F929" s="119" t="s">
        <v>90</v>
      </c>
      <c r="G929" s="119">
        <v>2</v>
      </c>
      <c r="H929" s="119">
        <v>2</v>
      </c>
      <c r="I929" s="119" t="s">
        <v>82</v>
      </c>
    </row>
    <row r="930" spans="1:9" ht="13">
      <c r="A930" s="118">
        <v>46171</v>
      </c>
      <c r="B930" s="119">
        <v>7002560657</v>
      </c>
      <c r="C930" s="119" t="s">
        <v>524</v>
      </c>
      <c r="D930" s="119" t="s">
        <v>474</v>
      </c>
      <c r="E930" s="119" t="s">
        <v>556</v>
      </c>
      <c r="F930" s="119" t="s">
        <v>90</v>
      </c>
      <c r="G930" s="119">
        <v>4</v>
      </c>
      <c r="H930" s="119">
        <v>4</v>
      </c>
      <c r="I930" s="119" t="s">
        <v>82</v>
      </c>
    </row>
    <row r="931" spans="1:9" ht="13">
      <c r="A931" s="118">
        <v>46171</v>
      </c>
      <c r="B931" s="119">
        <v>7002559535</v>
      </c>
      <c r="C931" s="119" t="s">
        <v>524</v>
      </c>
      <c r="D931" s="119" t="s">
        <v>474</v>
      </c>
      <c r="E931" s="119" t="s">
        <v>556</v>
      </c>
      <c r="F931" s="119" t="s">
        <v>90</v>
      </c>
      <c r="G931" s="119">
        <v>5</v>
      </c>
      <c r="H931" s="119">
        <v>5</v>
      </c>
      <c r="I931" s="119" t="s">
        <v>82</v>
      </c>
    </row>
    <row r="932" spans="1:9" ht="13">
      <c r="A932" s="118">
        <v>46171</v>
      </c>
      <c r="B932" s="119">
        <v>7002559503</v>
      </c>
      <c r="C932" s="119" t="s">
        <v>524</v>
      </c>
      <c r="D932" s="119" t="s">
        <v>474</v>
      </c>
      <c r="E932" s="119" t="s">
        <v>554</v>
      </c>
      <c r="F932" s="119" t="s">
        <v>90</v>
      </c>
      <c r="G932" s="119">
        <v>4</v>
      </c>
      <c r="H932" s="119">
        <v>4</v>
      </c>
      <c r="I932" s="119" t="s">
        <v>82</v>
      </c>
    </row>
    <row r="933" spans="1:9" ht="13">
      <c r="A933" s="118">
        <v>46171</v>
      </c>
      <c r="B933" s="119">
        <v>7002557593</v>
      </c>
      <c r="C933" s="119" t="s">
        <v>524</v>
      </c>
      <c r="D933" s="119" t="s">
        <v>474</v>
      </c>
      <c r="E933" s="119" t="s">
        <v>554</v>
      </c>
      <c r="F933" s="119" t="s">
        <v>90</v>
      </c>
      <c r="G933" s="119">
        <v>4</v>
      </c>
      <c r="H933" s="119">
        <v>4</v>
      </c>
      <c r="I933" s="119" t="s">
        <v>82</v>
      </c>
    </row>
    <row r="934" spans="1:9" ht="13">
      <c r="A934" s="118">
        <v>46171</v>
      </c>
      <c r="B934" s="119">
        <v>7002554620</v>
      </c>
      <c r="C934" s="119" t="s">
        <v>524</v>
      </c>
      <c r="D934" s="119" t="s">
        <v>474</v>
      </c>
      <c r="E934" s="119" t="s">
        <v>554</v>
      </c>
      <c r="F934" s="119" t="s">
        <v>90</v>
      </c>
      <c r="G934" s="119">
        <v>5</v>
      </c>
      <c r="H934" s="119">
        <v>5</v>
      </c>
      <c r="I934" s="119" t="s">
        <v>82</v>
      </c>
    </row>
    <row r="935" spans="1:9" ht="13">
      <c r="A935" s="118">
        <v>46171</v>
      </c>
      <c r="B935" s="119">
        <v>7002554524</v>
      </c>
      <c r="C935" s="119" t="s">
        <v>524</v>
      </c>
      <c r="D935" s="119" t="s">
        <v>474</v>
      </c>
      <c r="E935" s="119" t="s">
        <v>554</v>
      </c>
      <c r="F935" s="119" t="s">
        <v>90</v>
      </c>
      <c r="G935" s="119">
        <v>6</v>
      </c>
      <c r="H935" s="119">
        <v>6</v>
      </c>
      <c r="I935" s="119" t="s">
        <v>82</v>
      </c>
    </row>
    <row r="936" spans="1:9" ht="13">
      <c r="A936" s="118">
        <v>46171</v>
      </c>
      <c r="B936" s="119">
        <v>7002553346</v>
      </c>
      <c r="C936" s="119" t="s">
        <v>524</v>
      </c>
      <c r="D936" s="119" t="s">
        <v>474</v>
      </c>
      <c r="E936" s="119" t="s">
        <v>554</v>
      </c>
      <c r="F936" s="119" t="s">
        <v>90</v>
      </c>
      <c r="G936" s="119">
        <v>8</v>
      </c>
      <c r="H936" s="119">
        <v>8</v>
      </c>
      <c r="I936" s="119" t="s">
        <v>82</v>
      </c>
    </row>
    <row r="937" spans="1:9" ht="13">
      <c r="A937" s="118">
        <v>46171</v>
      </c>
      <c r="B937" s="119">
        <v>7002552566</v>
      </c>
      <c r="C937" s="119" t="s">
        <v>524</v>
      </c>
      <c r="D937" s="119" t="s">
        <v>474</v>
      </c>
      <c r="E937" s="119" t="s">
        <v>554</v>
      </c>
      <c r="F937" s="119" t="s">
        <v>90</v>
      </c>
      <c r="G937" s="119">
        <v>4</v>
      </c>
      <c r="H937" s="119">
        <v>4</v>
      </c>
      <c r="I937" s="119" t="s">
        <v>82</v>
      </c>
    </row>
    <row r="938" spans="1:9" ht="13">
      <c r="A938" s="118">
        <v>46171</v>
      </c>
      <c r="B938" s="119">
        <v>7002551141</v>
      </c>
      <c r="C938" s="119" t="s">
        <v>524</v>
      </c>
      <c r="D938" s="119" t="s">
        <v>474</v>
      </c>
      <c r="E938" s="119" t="s">
        <v>556</v>
      </c>
      <c r="F938" s="119" t="s">
        <v>90</v>
      </c>
      <c r="G938" s="119">
        <v>4</v>
      </c>
      <c r="H938" s="119">
        <v>4</v>
      </c>
      <c r="I938" s="119" t="s">
        <v>82</v>
      </c>
    </row>
    <row r="939" spans="1:9" ht="13">
      <c r="A939" s="118">
        <v>46171</v>
      </c>
      <c r="B939" s="119">
        <v>7002536097</v>
      </c>
      <c r="C939" s="119" t="s">
        <v>524</v>
      </c>
      <c r="D939" s="119" t="s">
        <v>479</v>
      </c>
      <c r="E939" s="119" t="s">
        <v>557</v>
      </c>
      <c r="F939" s="119" t="s">
        <v>90</v>
      </c>
      <c r="G939" s="119">
        <v>4</v>
      </c>
      <c r="H939" s="119">
        <v>4</v>
      </c>
      <c r="I939" s="119" t="s">
        <v>82</v>
      </c>
    </row>
    <row r="940" spans="1:9" ht="13">
      <c r="A940" s="118">
        <v>46171</v>
      </c>
      <c r="B940" s="119">
        <v>7002533865</v>
      </c>
      <c r="C940" s="119" t="s">
        <v>524</v>
      </c>
      <c r="D940" s="119" t="s">
        <v>474</v>
      </c>
      <c r="E940" s="119" t="s">
        <v>556</v>
      </c>
      <c r="F940" s="119" t="s">
        <v>90</v>
      </c>
      <c r="G940" s="119">
        <v>2</v>
      </c>
      <c r="H940" s="119">
        <v>2</v>
      </c>
      <c r="I940" s="119" t="s">
        <v>82</v>
      </c>
    </row>
    <row r="941" spans="1:9" ht="13">
      <c r="A941" s="118">
        <v>46171</v>
      </c>
      <c r="B941" s="119">
        <v>7002625686</v>
      </c>
      <c r="C941" s="119" t="s">
        <v>524</v>
      </c>
      <c r="D941" s="119" t="s">
        <v>474</v>
      </c>
      <c r="E941" s="119" t="s">
        <v>486</v>
      </c>
      <c r="F941" s="119" t="s">
        <v>90</v>
      </c>
      <c r="G941" s="119">
        <v>2</v>
      </c>
      <c r="H941" s="119">
        <v>2</v>
      </c>
      <c r="I941" s="119" t="s">
        <v>82</v>
      </c>
    </row>
    <row r="942" spans="1:9" ht="13">
      <c r="A942" s="118">
        <v>46171</v>
      </c>
      <c r="B942" s="119">
        <v>7002579319</v>
      </c>
      <c r="C942" s="119" t="s">
        <v>524</v>
      </c>
      <c r="D942" s="119" t="s">
        <v>474</v>
      </c>
      <c r="E942" s="119" t="s">
        <v>554</v>
      </c>
      <c r="F942" s="119" t="s">
        <v>90</v>
      </c>
      <c r="G942" s="119">
        <v>10</v>
      </c>
      <c r="H942" s="119">
        <v>10</v>
      </c>
      <c r="I942" s="119" t="s">
        <v>82</v>
      </c>
    </row>
    <row r="943" spans="1:9" ht="13">
      <c r="A943" s="118">
        <v>46171</v>
      </c>
      <c r="B943" s="119">
        <v>7002583740</v>
      </c>
      <c r="C943" s="119" t="s">
        <v>524</v>
      </c>
      <c r="D943" s="119" t="s">
        <v>474</v>
      </c>
      <c r="E943" s="119" t="s">
        <v>525</v>
      </c>
      <c r="F943" s="119" t="s">
        <v>90</v>
      </c>
      <c r="G943" s="119">
        <v>23</v>
      </c>
      <c r="H943" s="119">
        <v>23</v>
      </c>
      <c r="I943" s="119" t="s">
        <v>82</v>
      </c>
    </row>
    <row r="944" spans="1:9" ht="13">
      <c r="A944" s="118">
        <v>46171</v>
      </c>
      <c r="B944" s="119">
        <v>7002618873</v>
      </c>
      <c r="C944" s="119" t="s">
        <v>524</v>
      </c>
      <c r="D944" s="119" t="s">
        <v>474</v>
      </c>
      <c r="E944" s="119" t="s">
        <v>486</v>
      </c>
      <c r="F944" s="119" t="s">
        <v>90</v>
      </c>
      <c r="G944" s="119">
        <v>1</v>
      </c>
      <c r="H944" s="119">
        <v>1</v>
      </c>
      <c r="I944" s="119" t="s">
        <v>82</v>
      </c>
    </row>
    <row r="945" spans="1:9" ht="13">
      <c r="A945" s="118">
        <v>46171</v>
      </c>
      <c r="B945" s="119">
        <v>7002623021</v>
      </c>
      <c r="C945" s="119" t="s">
        <v>524</v>
      </c>
      <c r="D945" s="119" t="s">
        <v>474</v>
      </c>
      <c r="E945" s="119" t="s">
        <v>486</v>
      </c>
      <c r="F945" s="119" t="s">
        <v>90</v>
      </c>
      <c r="G945" s="119">
        <v>1</v>
      </c>
      <c r="H945" s="119">
        <v>1</v>
      </c>
      <c r="I945" s="119" t="s">
        <v>82</v>
      </c>
    </row>
    <row r="946" spans="1:9" ht="13">
      <c r="A946" s="118">
        <v>46171</v>
      </c>
      <c r="B946" s="119">
        <v>7002617273</v>
      </c>
      <c r="C946" s="119" t="s">
        <v>524</v>
      </c>
      <c r="D946" s="119" t="s">
        <v>474</v>
      </c>
      <c r="E946" s="119" t="s">
        <v>486</v>
      </c>
      <c r="F946" s="119" t="s">
        <v>90</v>
      </c>
      <c r="G946" s="119">
        <v>20</v>
      </c>
      <c r="H946" s="119">
        <v>20</v>
      </c>
      <c r="I946" s="119" t="s">
        <v>82</v>
      </c>
    </row>
    <row r="947" spans="1:9" ht="13">
      <c r="A947" s="118">
        <v>46171</v>
      </c>
      <c r="B947" s="119">
        <v>7002617202</v>
      </c>
      <c r="C947" s="119" t="s">
        <v>524</v>
      </c>
      <c r="D947" s="119" t="s">
        <v>474</v>
      </c>
      <c r="E947" s="119" t="s">
        <v>461</v>
      </c>
      <c r="F947" s="119" t="s">
        <v>90</v>
      </c>
      <c r="G947" s="119">
        <v>1</v>
      </c>
      <c r="H947" s="119">
        <v>1</v>
      </c>
      <c r="I947" s="119" t="s">
        <v>82</v>
      </c>
    </row>
    <row r="948" spans="1:9" ht="13">
      <c r="A948" s="118">
        <v>46171</v>
      </c>
      <c r="B948" s="119">
        <v>7002616194</v>
      </c>
      <c r="C948" s="119" t="s">
        <v>524</v>
      </c>
      <c r="D948" s="119" t="s">
        <v>474</v>
      </c>
      <c r="E948" s="119" t="s">
        <v>461</v>
      </c>
      <c r="F948" s="119" t="s">
        <v>90</v>
      </c>
      <c r="G948" s="119">
        <v>3</v>
      </c>
      <c r="H948" s="119">
        <v>3</v>
      </c>
      <c r="I948" s="119" t="s">
        <v>82</v>
      </c>
    </row>
    <row r="949" spans="1:9" ht="13">
      <c r="A949" s="118">
        <v>46171</v>
      </c>
      <c r="B949" s="119">
        <v>7002611335</v>
      </c>
      <c r="C949" s="119" t="s">
        <v>524</v>
      </c>
      <c r="D949" s="119" t="s">
        <v>474</v>
      </c>
      <c r="E949" s="119" t="s">
        <v>486</v>
      </c>
      <c r="F949" s="119" t="s">
        <v>90</v>
      </c>
      <c r="G949" s="119">
        <v>20</v>
      </c>
      <c r="H949" s="119">
        <v>20</v>
      </c>
      <c r="I949" s="119" t="s">
        <v>82</v>
      </c>
    </row>
    <row r="950" spans="1:9" ht="13">
      <c r="A950" s="118">
        <v>46171</v>
      </c>
      <c r="B950" s="119">
        <v>7002611319</v>
      </c>
      <c r="C950" s="119" t="s">
        <v>524</v>
      </c>
      <c r="D950" s="119" t="s">
        <v>474</v>
      </c>
      <c r="E950" s="119" t="s">
        <v>486</v>
      </c>
      <c r="F950" s="119" t="s">
        <v>90</v>
      </c>
      <c r="G950" s="119">
        <v>20</v>
      </c>
      <c r="H950" s="119">
        <v>20</v>
      </c>
      <c r="I950" s="119" t="s">
        <v>82</v>
      </c>
    </row>
    <row r="951" spans="1:9" ht="13">
      <c r="A951" s="118">
        <v>46171</v>
      </c>
      <c r="B951" s="119">
        <v>7002612212</v>
      </c>
      <c r="C951" s="119" t="s">
        <v>524</v>
      </c>
      <c r="D951" s="119" t="s">
        <v>474</v>
      </c>
      <c r="E951" s="119" t="s">
        <v>461</v>
      </c>
      <c r="F951" s="119" t="s">
        <v>90</v>
      </c>
      <c r="G951" s="119">
        <v>2</v>
      </c>
      <c r="H951" s="119">
        <v>2</v>
      </c>
      <c r="I951" s="119" t="s">
        <v>82</v>
      </c>
    </row>
    <row r="952" spans="1:9" ht="13">
      <c r="A952" s="118">
        <v>46171</v>
      </c>
      <c r="B952" s="119">
        <v>7002585734</v>
      </c>
      <c r="C952" s="119" t="s">
        <v>524</v>
      </c>
      <c r="D952" s="119" t="s">
        <v>474</v>
      </c>
      <c r="E952" s="119" t="s">
        <v>525</v>
      </c>
      <c r="F952" s="119" t="s">
        <v>90</v>
      </c>
      <c r="G952" s="119">
        <v>9</v>
      </c>
      <c r="H952" s="119">
        <v>9</v>
      </c>
      <c r="I952" s="119" t="s">
        <v>82</v>
      </c>
    </row>
    <row r="953" spans="1:9" ht="13">
      <c r="A953" s="118">
        <v>46171</v>
      </c>
      <c r="B953" s="119">
        <v>7002611221</v>
      </c>
      <c r="C953" s="119" t="s">
        <v>524</v>
      </c>
      <c r="D953" s="119" t="s">
        <v>474</v>
      </c>
      <c r="E953" s="119" t="s">
        <v>461</v>
      </c>
      <c r="F953" s="119" t="s">
        <v>90</v>
      </c>
      <c r="G953" s="119">
        <v>5</v>
      </c>
      <c r="H953" s="119">
        <v>5</v>
      </c>
      <c r="I953" s="119" t="s">
        <v>82</v>
      </c>
    </row>
    <row r="954" spans="1:9" ht="13">
      <c r="A954" s="118">
        <v>46171</v>
      </c>
      <c r="B954" s="119">
        <v>7002611196</v>
      </c>
      <c r="C954" s="119" t="s">
        <v>524</v>
      </c>
      <c r="D954" s="119" t="s">
        <v>474</v>
      </c>
      <c r="E954" s="119" t="s">
        <v>461</v>
      </c>
      <c r="F954" s="119" t="s">
        <v>90</v>
      </c>
      <c r="G954" s="119">
        <v>1</v>
      </c>
      <c r="H954" s="119">
        <v>1</v>
      </c>
      <c r="I954" s="119" t="s">
        <v>82</v>
      </c>
    </row>
    <row r="955" spans="1:9" ht="13">
      <c r="A955" s="118">
        <v>46171</v>
      </c>
      <c r="B955" s="119">
        <v>7002586096</v>
      </c>
      <c r="C955" s="119" t="s">
        <v>524</v>
      </c>
      <c r="D955" s="119" t="s">
        <v>474</v>
      </c>
      <c r="E955" s="119" t="s">
        <v>554</v>
      </c>
      <c r="F955" s="119" t="s">
        <v>90</v>
      </c>
      <c r="G955" s="119">
        <v>6</v>
      </c>
      <c r="H955" s="119">
        <v>6</v>
      </c>
      <c r="I955" s="119" t="s">
        <v>82</v>
      </c>
    </row>
    <row r="956" spans="1:9" ht="13">
      <c r="A956" s="118">
        <v>46171</v>
      </c>
      <c r="B956" s="119">
        <v>7002596590</v>
      </c>
      <c r="C956" s="119" t="s">
        <v>524</v>
      </c>
      <c r="D956" s="119" t="s">
        <v>474</v>
      </c>
      <c r="E956" s="119" t="s">
        <v>486</v>
      </c>
      <c r="F956" s="119" t="s">
        <v>90</v>
      </c>
      <c r="G956" s="119">
        <v>1</v>
      </c>
      <c r="H956" s="119">
        <v>1</v>
      </c>
      <c r="I956" s="119" t="s">
        <v>82</v>
      </c>
    </row>
    <row r="957" spans="1:9" ht="13">
      <c r="A957" s="118">
        <v>46171</v>
      </c>
      <c r="B957" s="119">
        <v>7002598528</v>
      </c>
      <c r="C957" s="119" t="s">
        <v>524</v>
      </c>
      <c r="D957" s="119" t="s">
        <v>474</v>
      </c>
      <c r="E957" s="119" t="s">
        <v>486</v>
      </c>
      <c r="F957" s="119" t="s">
        <v>90</v>
      </c>
      <c r="G957" s="119">
        <v>2</v>
      </c>
      <c r="H957" s="119">
        <v>2</v>
      </c>
      <c r="I957" s="119" t="s">
        <v>82</v>
      </c>
    </row>
    <row r="958" spans="1:9" ht="13">
      <c r="A958" s="118">
        <v>46171</v>
      </c>
      <c r="B958" s="119">
        <v>7002610315</v>
      </c>
      <c r="C958" s="119" t="s">
        <v>524</v>
      </c>
      <c r="D958" s="119" t="s">
        <v>474</v>
      </c>
      <c r="E958" s="119" t="s">
        <v>486</v>
      </c>
      <c r="F958" s="119" t="s">
        <v>90</v>
      </c>
      <c r="G958" s="119">
        <v>20</v>
      </c>
      <c r="H958" s="119">
        <v>20</v>
      </c>
      <c r="I958" s="119" t="s">
        <v>82</v>
      </c>
    </row>
    <row r="959" spans="1:9" ht="13">
      <c r="A959" s="118">
        <v>46171</v>
      </c>
      <c r="B959" s="119">
        <v>7002599907</v>
      </c>
      <c r="C959" s="119" t="s">
        <v>524</v>
      </c>
      <c r="D959" s="119" t="s">
        <v>474</v>
      </c>
      <c r="E959" s="119" t="s">
        <v>486</v>
      </c>
      <c r="F959" s="119" t="s">
        <v>90</v>
      </c>
      <c r="G959" s="119">
        <v>27</v>
      </c>
      <c r="H959" s="119">
        <v>27</v>
      </c>
      <c r="I959" s="119" t="s">
        <v>82</v>
      </c>
    </row>
    <row r="961" spans="1:15" ht="13">
      <c r="A961" s="105" t="s">
        <v>1</v>
      </c>
      <c r="B961" s="105" t="s">
        <v>445</v>
      </c>
      <c r="C961" s="105" t="s">
        <v>446</v>
      </c>
      <c r="D961" s="105" t="s">
        <v>465</v>
      </c>
      <c r="E961" s="105" t="s">
        <v>70</v>
      </c>
      <c r="F961" s="105" t="s">
        <v>447</v>
      </c>
      <c r="G961" s="105" t="s">
        <v>71</v>
      </c>
      <c r="H961" s="105" t="s">
        <v>466</v>
      </c>
      <c r="I961" s="105" t="s">
        <v>448</v>
      </c>
    </row>
    <row r="962" spans="1:15" ht="13">
      <c r="A962" s="118">
        <v>46174</v>
      </c>
      <c r="B962" s="119">
        <v>7002693778</v>
      </c>
      <c r="C962" s="119" t="s">
        <v>558</v>
      </c>
      <c r="D962" s="119" t="s">
        <v>489</v>
      </c>
      <c r="E962" s="119" t="s">
        <v>91</v>
      </c>
      <c r="F962" s="119" t="s">
        <v>96</v>
      </c>
      <c r="G962" s="119">
        <v>1</v>
      </c>
      <c r="H962" s="119" t="s">
        <v>472</v>
      </c>
      <c r="I962" s="119" t="s">
        <v>82</v>
      </c>
    </row>
    <row r="963" spans="1:15" ht="14">
      <c r="A963" s="118">
        <v>46174</v>
      </c>
      <c r="B963" s="119">
        <v>7002703816</v>
      </c>
      <c r="C963" s="119" t="s">
        <v>558</v>
      </c>
      <c r="D963" s="119" t="s">
        <v>489</v>
      </c>
      <c r="E963" s="119" t="s">
        <v>528</v>
      </c>
      <c r="F963" s="119" t="s">
        <v>96</v>
      </c>
      <c r="G963" s="119">
        <v>5</v>
      </c>
      <c r="H963" s="119" t="s">
        <v>472</v>
      </c>
      <c r="I963" s="119" t="s">
        <v>82</v>
      </c>
      <c r="K963" s="214">
        <v>46174</v>
      </c>
      <c r="L963" s="196"/>
      <c r="M963" s="196"/>
      <c r="N963" s="196"/>
      <c r="O963" s="197"/>
    </row>
    <row r="964" spans="1:15" ht="14.5">
      <c r="A964" s="118">
        <v>46174</v>
      </c>
      <c r="B964" s="119">
        <v>7002710771</v>
      </c>
      <c r="C964" s="119" t="s">
        <v>520</v>
      </c>
      <c r="D964" s="119" t="s">
        <v>474</v>
      </c>
      <c r="E964" s="119" t="s">
        <v>538</v>
      </c>
      <c r="F964" s="119" t="s">
        <v>90</v>
      </c>
      <c r="G964" s="119">
        <v>5</v>
      </c>
      <c r="H964" s="119" t="s">
        <v>475</v>
      </c>
      <c r="I964" s="119" t="s">
        <v>82</v>
      </c>
      <c r="K964" s="120" t="s">
        <v>529</v>
      </c>
      <c r="L964" s="121" t="s">
        <v>503</v>
      </c>
      <c r="M964" s="121" t="s">
        <v>82</v>
      </c>
      <c r="N964" s="121" t="s">
        <v>505</v>
      </c>
      <c r="O964" s="121" t="s">
        <v>84</v>
      </c>
    </row>
    <row r="965" spans="1:15" ht="14.5">
      <c r="A965" s="118">
        <v>46174</v>
      </c>
      <c r="B965" s="119">
        <v>7002699453</v>
      </c>
      <c r="C965" s="119" t="s">
        <v>520</v>
      </c>
      <c r="D965" s="119" t="s">
        <v>474</v>
      </c>
      <c r="E965" s="119" t="s">
        <v>463</v>
      </c>
      <c r="F965" s="119" t="s">
        <v>90</v>
      </c>
      <c r="G965" s="119">
        <v>1</v>
      </c>
      <c r="H965" s="119" t="s">
        <v>475</v>
      </c>
      <c r="I965" s="119" t="s">
        <v>82</v>
      </c>
      <c r="K965" s="113" t="s">
        <v>475</v>
      </c>
      <c r="L965" s="103">
        <v>1</v>
      </c>
      <c r="M965" s="103">
        <v>112</v>
      </c>
      <c r="N965" s="103">
        <v>2</v>
      </c>
      <c r="O965" s="103">
        <v>115</v>
      </c>
    </row>
    <row r="966" spans="1:15" ht="14.5">
      <c r="A966" s="118">
        <v>46174</v>
      </c>
      <c r="B966" s="119">
        <v>7002710737</v>
      </c>
      <c r="C966" s="119" t="s">
        <v>520</v>
      </c>
      <c r="D966" s="119" t="s">
        <v>474</v>
      </c>
      <c r="E966" s="119" t="s">
        <v>463</v>
      </c>
      <c r="F966" s="119" t="s">
        <v>90</v>
      </c>
      <c r="G966" s="119">
        <v>6</v>
      </c>
      <c r="H966" s="119" t="s">
        <v>475</v>
      </c>
      <c r="I966" s="119" t="s">
        <v>82</v>
      </c>
      <c r="K966" s="103" t="s">
        <v>520</v>
      </c>
      <c r="L966" s="103"/>
      <c r="M966" s="103">
        <v>111</v>
      </c>
      <c r="N966" s="103">
        <v>1</v>
      </c>
      <c r="O966" s="103">
        <v>112</v>
      </c>
    </row>
    <row r="967" spans="1:15" ht="14.5">
      <c r="A967" s="118">
        <v>46174</v>
      </c>
      <c r="B967" s="119">
        <v>7002700768</v>
      </c>
      <c r="C967" s="119" t="s">
        <v>520</v>
      </c>
      <c r="D967" s="119" t="s">
        <v>474</v>
      </c>
      <c r="E967" s="119" t="s">
        <v>98</v>
      </c>
      <c r="F967" s="119" t="s">
        <v>90</v>
      </c>
      <c r="G967" s="119">
        <v>3</v>
      </c>
      <c r="H967" s="119" t="s">
        <v>475</v>
      </c>
      <c r="I967" s="119" t="s">
        <v>82</v>
      </c>
      <c r="K967" s="103" t="s">
        <v>559</v>
      </c>
      <c r="L967" s="103">
        <v>1</v>
      </c>
      <c r="M967" s="103"/>
      <c r="N967" s="103">
        <v>1</v>
      </c>
      <c r="O967" s="103">
        <v>2</v>
      </c>
    </row>
    <row r="968" spans="1:15" ht="14.5">
      <c r="A968" s="118">
        <v>46174</v>
      </c>
      <c r="B968" s="119">
        <v>7002702732</v>
      </c>
      <c r="C968" s="119" t="s">
        <v>520</v>
      </c>
      <c r="D968" s="119" t="s">
        <v>474</v>
      </c>
      <c r="E968" s="119" t="s">
        <v>463</v>
      </c>
      <c r="F968" s="119" t="s">
        <v>90</v>
      </c>
      <c r="G968" s="119">
        <v>37</v>
      </c>
      <c r="H968" s="119" t="s">
        <v>475</v>
      </c>
      <c r="I968" s="119" t="s">
        <v>82</v>
      </c>
      <c r="K968" s="103" t="s">
        <v>560</v>
      </c>
      <c r="L968" s="103"/>
      <c r="M968" s="103">
        <v>1</v>
      </c>
      <c r="N968" s="103"/>
      <c r="O968" s="103">
        <v>1</v>
      </c>
    </row>
    <row r="969" spans="1:15" ht="14.5">
      <c r="A969" s="118">
        <v>46174</v>
      </c>
      <c r="B969" s="119">
        <v>7002704164</v>
      </c>
      <c r="C969" s="119" t="s">
        <v>520</v>
      </c>
      <c r="D969" s="119" t="s">
        <v>474</v>
      </c>
      <c r="E969" s="119" t="s">
        <v>98</v>
      </c>
      <c r="F969" s="119" t="s">
        <v>90</v>
      </c>
      <c r="G969" s="119">
        <v>6</v>
      </c>
      <c r="H969" s="119" t="s">
        <v>475</v>
      </c>
      <c r="I969" s="119" t="s">
        <v>82</v>
      </c>
      <c r="K969" s="113" t="s">
        <v>472</v>
      </c>
      <c r="L969" s="103"/>
      <c r="M969" s="103">
        <v>2</v>
      </c>
      <c r="N969" s="103"/>
      <c r="O969" s="103">
        <v>2</v>
      </c>
    </row>
    <row r="970" spans="1:15" ht="14.5">
      <c r="A970" s="118">
        <v>46174</v>
      </c>
      <c r="B970" s="119">
        <v>7002710700</v>
      </c>
      <c r="C970" s="119" t="s">
        <v>520</v>
      </c>
      <c r="D970" s="119" t="s">
        <v>474</v>
      </c>
      <c r="E970" s="119" t="s">
        <v>91</v>
      </c>
      <c r="F970" s="119" t="s">
        <v>90</v>
      </c>
      <c r="G970" s="119">
        <v>5</v>
      </c>
      <c r="H970" s="119" t="s">
        <v>475</v>
      </c>
      <c r="I970" s="119" t="s">
        <v>82</v>
      </c>
      <c r="K970" s="103" t="s">
        <v>561</v>
      </c>
      <c r="L970" s="103"/>
      <c r="M970" s="103">
        <v>2</v>
      </c>
      <c r="N970" s="103"/>
      <c r="O970" s="103">
        <v>2</v>
      </c>
    </row>
    <row r="971" spans="1:15" ht="14.5">
      <c r="A971" s="118">
        <v>46174</v>
      </c>
      <c r="B971" s="119">
        <v>7002710728</v>
      </c>
      <c r="C971" s="119" t="s">
        <v>520</v>
      </c>
      <c r="D971" s="119" t="s">
        <v>474</v>
      </c>
      <c r="E971" s="119" t="s">
        <v>91</v>
      </c>
      <c r="F971" s="119" t="s">
        <v>90</v>
      </c>
      <c r="G971" s="119">
        <v>1</v>
      </c>
      <c r="H971" s="119" t="s">
        <v>475</v>
      </c>
      <c r="I971" s="119" t="s">
        <v>82</v>
      </c>
      <c r="K971" s="122" t="s">
        <v>84</v>
      </c>
      <c r="L971" s="122">
        <v>1</v>
      </c>
      <c r="M971" s="122">
        <v>114</v>
      </c>
      <c r="N971" s="122">
        <v>2</v>
      </c>
      <c r="O971" s="122">
        <v>117</v>
      </c>
    </row>
    <row r="972" spans="1:15" ht="13">
      <c r="A972" s="118">
        <v>46174</v>
      </c>
      <c r="B972" s="119">
        <v>7002710877</v>
      </c>
      <c r="C972" s="119" t="s">
        <v>520</v>
      </c>
      <c r="D972" s="119" t="s">
        <v>479</v>
      </c>
      <c r="E972" s="119" t="s">
        <v>103</v>
      </c>
      <c r="F972" s="119" t="s">
        <v>90</v>
      </c>
      <c r="G972" s="119">
        <v>1</v>
      </c>
      <c r="H972" s="119" t="s">
        <v>475</v>
      </c>
      <c r="I972" s="119" t="s">
        <v>82</v>
      </c>
    </row>
    <row r="973" spans="1:15" ht="13">
      <c r="A973" s="118">
        <v>46174</v>
      </c>
      <c r="B973" s="119">
        <v>7002634027</v>
      </c>
      <c r="C973" s="119" t="s">
        <v>520</v>
      </c>
      <c r="D973" s="119" t="s">
        <v>476</v>
      </c>
      <c r="E973" s="119" t="s">
        <v>452</v>
      </c>
      <c r="F973" s="119" t="s">
        <v>90</v>
      </c>
      <c r="G973" s="119">
        <v>0</v>
      </c>
      <c r="H973" s="119" t="s">
        <v>475</v>
      </c>
      <c r="I973" s="119" t="s">
        <v>82</v>
      </c>
    </row>
    <row r="974" spans="1:15" ht="13">
      <c r="A974" s="118">
        <v>46174</v>
      </c>
      <c r="B974" s="119">
        <v>7002635455</v>
      </c>
      <c r="C974" s="119" t="s">
        <v>520</v>
      </c>
      <c r="D974" s="119" t="s">
        <v>474</v>
      </c>
      <c r="E974" s="119" t="s">
        <v>85</v>
      </c>
      <c r="F974" s="119" t="s">
        <v>90</v>
      </c>
      <c r="G974" s="119">
        <v>2</v>
      </c>
      <c r="H974" s="119" t="s">
        <v>475</v>
      </c>
      <c r="I974" s="119" t="s">
        <v>82</v>
      </c>
    </row>
    <row r="975" spans="1:15" ht="13">
      <c r="A975" s="118">
        <v>46174</v>
      </c>
      <c r="B975" s="119">
        <v>7002682087</v>
      </c>
      <c r="C975" s="119" t="s">
        <v>520</v>
      </c>
      <c r="D975" s="119" t="s">
        <v>495</v>
      </c>
      <c r="E975" s="119" t="s">
        <v>103</v>
      </c>
      <c r="F975" s="119" t="s">
        <v>90</v>
      </c>
      <c r="G975" s="119">
        <v>5</v>
      </c>
      <c r="H975" s="119" t="s">
        <v>475</v>
      </c>
      <c r="I975" s="119" t="s">
        <v>82</v>
      </c>
    </row>
    <row r="976" spans="1:15" ht="13">
      <c r="A976" s="118">
        <v>46174</v>
      </c>
      <c r="B976" s="119">
        <v>7002638033</v>
      </c>
      <c r="C976" s="119" t="s">
        <v>520</v>
      </c>
      <c r="D976" s="119" t="s">
        <v>476</v>
      </c>
      <c r="E976" s="119" t="s">
        <v>452</v>
      </c>
      <c r="F976" s="119" t="s">
        <v>90</v>
      </c>
      <c r="G976" s="119">
        <v>0</v>
      </c>
      <c r="H976" s="119" t="s">
        <v>475</v>
      </c>
      <c r="I976" s="119" t="s">
        <v>82</v>
      </c>
    </row>
    <row r="977" spans="1:9" ht="13">
      <c r="A977" s="118">
        <v>46174</v>
      </c>
      <c r="B977" s="119">
        <v>7002690237</v>
      </c>
      <c r="C977" s="119" t="s">
        <v>520</v>
      </c>
      <c r="D977" s="119" t="s">
        <v>474</v>
      </c>
      <c r="E977" s="119" t="s">
        <v>463</v>
      </c>
      <c r="F977" s="119" t="s">
        <v>90</v>
      </c>
      <c r="G977" s="119">
        <v>2</v>
      </c>
      <c r="H977" s="119" t="s">
        <v>475</v>
      </c>
      <c r="I977" s="119" t="s">
        <v>82</v>
      </c>
    </row>
    <row r="978" spans="1:9" ht="13">
      <c r="A978" s="118">
        <v>46174</v>
      </c>
      <c r="B978" s="119">
        <v>7002688859</v>
      </c>
      <c r="C978" s="119" t="s">
        <v>520</v>
      </c>
      <c r="D978" s="119" t="s">
        <v>474</v>
      </c>
      <c r="E978" s="119" t="s">
        <v>463</v>
      </c>
      <c r="F978" s="119" t="s">
        <v>90</v>
      </c>
      <c r="G978" s="119">
        <v>1</v>
      </c>
      <c r="H978" s="119" t="s">
        <v>475</v>
      </c>
      <c r="I978" s="119" t="s">
        <v>82</v>
      </c>
    </row>
    <row r="979" spans="1:9" ht="13">
      <c r="A979" s="118">
        <v>46174</v>
      </c>
      <c r="B979" s="119">
        <v>7002684265</v>
      </c>
      <c r="C979" s="119" t="s">
        <v>520</v>
      </c>
      <c r="D979" s="119" t="s">
        <v>474</v>
      </c>
      <c r="E979" s="119" t="s">
        <v>454</v>
      </c>
      <c r="F979" s="119" t="s">
        <v>90</v>
      </c>
      <c r="G979" s="119">
        <v>1</v>
      </c>
      <c r="H979" s="119" t="s">
        <v>475</v>
      </c>
      <c r="I979" s="119" t="s">
        <v>82</v>
      </c>
    </row>
    <row r="980" spans="1:9" ht="13">
      <c r="A980" s="118">
        <v>46174</v>
      </c>
      <c r="B980" s="119">
        <v>7002696736</v>
      </c>
      <c r="C980" s="119" t="s">
        <v>520</v>
      </c>
      <c r="D980" s="119" t="s">
        <v>474</v>
      </c>
      <c r="E980" s="119" t="s">
        <v>463</v>
      </c>
      <c r="F980" s="119" t="s">
        <v>90</v>
      </c>
      <c r="G980" s="119">
        <v>5</v>
      </c>
      <c r="H980" s="119" t="s">
        <v>475</v>
      </c>
      <c r="I980" s="119" t="s">
        <v>82</v>
      </c>
    </row>
    <row r="981" spans="1:9" ht="13">
      <c r="A981" s="118">
        <v>46174</v>
      </c>
      <c r="B981" s="119">
        <v>7002688731</v>
      </c>
      <c r="C981" s="119" t="s">
        <v>520</v>
      </c>
      <c r="D981" s="119" t="s">
        <v>474</v>
      </c>
      <c r="E981" s="119" t="s">
        <v>454</v>
      </c>
      <c r="F981" s="119" t="s">
        <v>90</v>
      </c>
      <c r="G981" s="119">
        <v>12</v>
      </c>
      <c r="H981" s="119" t="s">
        <v>475</v>
      </c>
      <c r="I981" s="119" t="s">
        <v>82</v>
      </c>
    </row>
    <row r="982" spans="1:9" ht="13">
      <c r="A982" s="118">
        <v>46174</v>
      </c>
      <c r="B982" s="119">
        <v>7002633452</v>
      </c>
      <c r="C982" s="119" t="s">
        <v>560</v>
      </c>
      <c r="D982" s="119" t="s">
        <v>479</v>
      </c>
      <c r="E982" s="119" t="s">
        <v>525</v>
      </c>
      <c r="F982" s="119" t="s">
        <v>90</v>
      </c>
      <c r="G982" s="119"/>
      <c r="H982" s="119" t="s">
        <v>475</v>
      </c>
      <c r="I982" s="119" t="s">
        <v>82</v>
      </c>
    </row>
    <row r="983" spans="1:9" ht="13">
      <c r="A983" s="118">
        <v>46174</v>
      </c>
      <c r="B983" s="119">
        <v>7002681762</v>
      </c>
      <c r="C983" s="119" t="s">
        <v>520</v>
      </c>
      <c r="D983" s="119" t="s">
        <v>474</v>
      </c>
      <c r="E983" s="119" t="s">
        <v>463</v>
      </c>
      <c r="F983" s="119" t="s">
        <v>90</v>
      </c>
      <c r="G983" s="119">
        <v>5</v>
      </c>
      <c r="H983" s="119" t="s">
        <v>475</v>
      </c>
      <c r="I983" s="119" t="s">
        <v>82</v>
      </c>
    </row>
    <row r="984" spans="1:9" ht="13">
      <c r="A984" s="118">
        <v>46174</v>
      </c>
      <c r="B984" s="119">
        <v>7002681895</v>
      </c>
      <c r="C984" s="119" t="s">
        <v>520</v>
      </c>
      <c r="D984" s="119" t="s">
        <v>474</v>
      </c>
      <c r="E984" s="119" t="s">
        <v>98</v>
      </c>
      <c r="F984" s="119" t="s">
        <v>90</v>
      </c>
      <c r="G984" s="119">
        <v>1</v>
      </c>
      <c r="H984" s="119" t="s">
        <v>475</v>
      </c>
      <c r="I984" s="119" t="s">
        <v>82</v>
      </c>
    </row>
    <row r="985" spans="1:9" ht="13">
      <c r="A985" s="118">
        <v>46174</v>
      </c>
      <c r="B985" s="119">
        <v>7002728479</v>
      </c>
      <c r="C985" s="119" t="s">
        <v>520</v>
      </c>
      <c r="D985" s="119" t="s">
        <v>474</v>
      </c>
      <c r="E985" s="119" t="s">
        <v>98</v>
      </c>
      <c r="F985" s="119" t="s">
        <v>90</v>
      </c>
      <c r="G985" s="119">
        <v>3</v>
      </c>
      <c r="H985" s="119" t="s">
        <v>475</v>
      </c>
      <c r="I985" s="119" t="s">
        <v>82</v>
      </c>
    </row>
    <row r="986" spans="1:9" ht="13">
      <c r="A986" s="118">
        <v>46174</v>
      </c>
      <c r="B986" s="119">
        <v>7002728211</v>
      </c>
      <c r="C986" s="119" t="s">
        <v>520</v>
      </c>
      <c r="D986" s="119" t="s">
        <v>474</v>
      </c>
      <c r="E986" s="119" t="s">
        <v>463</v>
      </c>
      <c r="F986" s="119" t="s">
        <v>90</v>
      </c>
      <c r="G986" s="119">
        <v>4</v>
      </c>
      <c r="H986" s="119" t="s">
        <v>475</v>
      </c>
      <c r="I986" s="119" t="s">
        <v>82</v>
      </c>
    </row>
    <row r="987" spans="1:9" ht="13">
      <c r="A987" s="118">
        <v>46174</v>
      </c>
      <c r="B987" s="119">
        <v>7002727693</v>
      </c>
      <c r="C987" s="119" t="s">
        <v>520</v>
      </c>
      <c r="D987" s="119" t="s">
        <v>474</v>
      </c>
      <c r="E987" s="119" t="s">
        <v>91</v>
      </c>
      <c r="F987" s="119" t="s">
        <v>90</v>
      </c>
      <c r="G987" s="119">
        <v>3</v>
      </c>
      <c r="H987" s="119" t="s">
        <v>475</v>
      </c>
      <c r="I987" s="119" t="s">
        <v>82</v>
      </c>
    </row>
    <row r="988" spans="1:9" ht="13">
      <c r="A988" s="118">
        <v>46174</v>
      </c>
      <c r="B988" s="119">
        <v>7002727617</v>
      </c>
      <c r="C988" s="119" t="s">
        <v>520</v>
      </c>
      <c r="D988" s="119" t="s">
        <v>474</v>
      </c>
      <c r="E988" s="119" t="s">
        <v>463</v>
      </c>
      <c r="F988" s="119" t="s">
        <v>90</v>
      </c>
      <c r="G988" s="119">
        <v>1</v>
      </c>
      <c r="H988" s="119" t="s">
        <v>475</v>
      </c>
      <c r="I988" s="119" t="s">
        <v>82</v>
      </c>
    </row>
    <row r="989" spans="1:9" ht="13">
      <c r="A989" s="118">
        <v>46174</v>
      </c>
      <c r="B989" s="119">
        <v>7002727413</v>
      </c>
      <c r="C989" s="119" t="s">
        <v>520</v>
      </c>
      <c r="D989" s="119" t="s">
        <v>474</v>
      </c>
      <c r="E989" s="119" t="s">
        <v>91</v>
      </c>
      <c r="F989" s="119" t="s">
        <v>90</v>
      </c>
      <c r="G989" s="119">
        <v>5</v>
      </c>
      <c r="H989" s="119" t="s">
        <v>475</v>
      </c>
      <c r="I989" s="119" t="s">
        <v>82</v>
      </c>
    </row>
    <row r="990" spans="1:9" ht="13">
      <c r="A990" s="118">
        <v>46174</v>
      </c>
      <c r="B990" s="119">
        <v>7002727344</v>
      </c>
      <c r="C990" s="119" t="s">
        <v>520</v>
      </c>
      <c r="D990" s="119" t="s">
        <v>474</v>
      </c>
      <c r="E990" s="119" t="s">
        <v>463</v>
      </c>
      <c r="F990" s="119" t="s">
        <v>90</v>
      </c>
      <c r="G990" s="119">
        <v>4</v>
      </c>
      <c r="H990" s="119" t="s">
        <v>475</v>
      </c>
      <c r="I990" s="119" t="s">
        <v>82</v>
      </c>
    </row>
    <row r="991" spans="1:9" ht="13">
      <c r="A991" s="118">
        <v>46174</v>
      </c>
      <c r="B991" s="119">
        <v>7002727210</v>
      </c>
      <c r="C991" s="119" t="s">
        <v>520</v>
      </c>
      <c r="D991" s="119" t="s">
        <v>474</v>
      </c>
      <c r="E991" s="119" t="s">
        <v>91</v>
      </c>
      <c r="F991" s="119" t="s">
        <v>90</v>
      </c>
      <c r="G991" s="119">
        <v>4</v>
      </c>
      <c r="H991" s="119" t="s">
        <v>475</v>
      </c>
      <c r="I991" s="119" t="s">
        <v>82</v>
      </c>
    </row>
    <row r="992" spans="1:9" ht="13">
      <c r="A992" s="118">
        <v>46174</v>
      </c>
      <c r="B992" s="119">
        <v>7002726719</v>
      </c>
      <c r="C992" s="119" t="s">
        <v>520</v>
      </c>
      <c r="D992" s="119" t="s">
        <v>474</v>
      </c>
      <c r="E992" s="119" t="s">
        <v>91</v>
      </c>
      <c r="F992" s="119" t="s">
        <v>90</v>
      </c>
      <c r="G992" s="119">
        <v>4</v>
      </c>
      <c r="H992" s="119" t="s">
        <v>475</v>
      </c>
      <c r="I992" s="119" t="s">
        <v>82</v>
      </c>
    </row>
    <row r="993" spans="1:9" ht="13">
      <c r="A993" s="118">
        <v>46174</v>
      </c>
      <c r="B993" s="119">
        <v>7002726616</v>
      </c>
      <c r="C993" s="119" t="s">
        <v>520</v>
      </c>
      <c r="D993" s="119" t="s">
        <v>474</v>
      </c>
      <c r="E993" s="119" t="s">
        <v>463</v>
      </c>
      <c r="F993" s="119" t="s">
        <v>90</v>
      </c>
      <c r="G993" s="119">
        <v>1</v>
      </c>
      <c r="H993" s="119" t="s">
        <v>475</v>
      </c>
      <c r="I993" s="119" t="s">
        <v>82</v>
      </c>
    </row>
    <row r="994" spans="1:9" ht="13">
      <c r="A994" s="118">
        <v>46174</v>
      </c>
      <c r="B994" s="119">
        <v>7002726477</v>
      </c>
      <c r="C994" s="119" t="s">
        <v>520</v>
      </c>
      <c r="D994" s="119" t="s">
        <v>474</v>
      </c>
      <c r="E994" s="119" t="s">
        <v>463</v>
      </c>
      <c r="F994" s="119" t="s">
        <v>90</v>
      </c>
      <c r="G994" s="119">
        <v>2</v>
      </c>
      <c r="H994" s="119" t="s">
        <v>475</v>
      </c>
      <c r="I994" s="119" t="s">
        <v>82</v>
      </c>
    </row>
    <row r="995" spans="1:9" ht="13">
      <c r="A995" s="118">
        <v>46174</v>
      </c>
      <c r="B995" s="119">
        <v>7002726358</v>
      </c>
      <c r="C995" s="119" t="s">
        <v>520</v>
      </c>
      <c r="D995" s="119" t="s">
        <v>474</v>
      </c>
      <c r="E995" s="119" t="s">
        <v>463</v>
      </c>
      <c r="F995" s="119" t="s">
        <v>90</v>
      </c>
      <c r="G995" s="119">
        <v>3</v>
      </c>
      <c r="H995" s="119" t="s">
        <v>475</v>
      </c>
      <c r="I995" s="119" t="s">
        <v>82</v>
      </c>
    </row>
    <row r="996" spans="1:9" ht="13">
      <c r="A996" s="118">
        <v>46174</v>
      </c>
      <c r="B996" s="119">
        <v>7002725718</v>
      </c>
      <c r="C996" s="119" t="s">
        <v>520</v>
      </c>
      <c r="D996" s="119" t="s">
        <v>474</v>
      </c>
      <c r="E996" s="119" t="s">
        <v>91</v>
      </c>
      <c r="F996" s="119" t="s">
        <v>90</v>
      </c>
      <c r="G996" s="119">
        <v>4</v>
      </c>
      <c r="H996" s="119" t="s">
        <v>475</v>
      </c>
      <c r="I996" s="119" t="s">
        <v>82</v>
      </c>
    </row>
    <row r="997" spans="1:9" ht="13">
      <c r="A997" s="118">
        <v>46174</v>
      </c>
      <c r="B997" s="119">
        <v>7002725424</v>
      </c>
      <c r="C997" s="119" t="s">
        <v>520</v>
      </c>
      <c r="D997" s="119" t="s">
        <v>474</v>
      </c>
      <c r="E997" s="119" t="s">
        <v>463</v>
      </c>
      <c r="F997" s="119" t="s">
        <v>90</v>
      </c>
      <c r="G997" s="119">
        <v>7</v>
      </c>
      <c r="H997" s="119" t="s">
        <v>475</v>
      </c>
      <c r="I997" s="119" t="s">
        <v>82</v>
      </c>
    </row>
    <row r="998" spans="1:9" ht="13">
      <c r="A998" s="118">
        <v>46174</v>
      </c>
      <c r="B998" s="119">
        <v>7002725390</v>
      </c>
      <c r="C998" s="119" t="s">
        <v>520</v>
      </c>
      <c r="D998" s="119" t="s">
        <v>474</v>
      </c>
      <c r="E998" s="119" t="s">
        <v>463</v>
      </c>
      <c r="F998" s="119" t="s">
        <v>90</v>
      </c>
      <c r="G998" s="119">
        <v>11</v>
      </c>
      <c r="H998" s="119" t="s">
        <v>475</v>
      </c>
      <c r="I998" s="119" t="s">
        <v>82</v>
      </c>
    </row>
    <row r="999" spans="1:9" ht="13">
      <c r="A999" s="118">
        <v>46174</v>
      </c>
      <c r="B999" s="119">
        <v>7002725388</v>
      </c>
      <c r="C999" s="119" t="s">
        <v>520</v>
      </c>
      <c r="D999" s="119" t="s">
        <v>474</v>
      </c>
      <c r="E999" s="119" t="s">
        <v>463</v>
      </c>
      <c r="F999" s="119" t="s">
        <v>90</v>
      </c>
      <c r="G999" s="119">
        <v>4</v>
      </c>
      <c r="H999" s="119" t="s">
        <v>475</v>
      </c>
      <c r="I999" s="119" t="s">
        <v>82</v>
      </c>
    </row>
    <row r="1000" spans="1:9" ht="13">
      <c r="A1000" s="118">
        <v>46174</v>
      </c>
      <c r="B1000" s="119">
        <v>7002725357</v>
      </c>
      <c r="C1000" s="119" t="s">
        <v>520</v>
      </c>
      <c r="D1000" s="119" t="s">
        <v>474</v>
      </c>
      <c r="E1000" s="119" t="s">
        <v>463</v>
      </c>
      <c r="F1000" s="119" t="s">
        <v>90</v>
      </c>
      <c r="G1000" s="119">
        <v>6</v>
      </c>
      <c r="H1000" s="119" t="s">
        <v>475</v>
      </c>
      <c r="I1000" s="119" t="s">
        <v>82</v>
      </c>
    </row>
    <row r="1001" spans="1:9" ht="13">
      <c r="A1001" s="118">
        <v>46174</v>
      </c>
      <c r="B1001" s="119">
        <v>7002724721</v>
      </c>
      <c r="C1001" s="119" t="s">
        <v>520</v>
      </c>
      <c r="D1001" s="119" t="s">
        <v>474</v>
      </c>
      <c r="E1001" s="119" t="s">
        <v>91</v>
      </c>
      <c r="F1001" s="119" t="s">
        <v>90</v>
      </c>
      <c r="G1001" s="119">
        <v>1</v>
      </c>
      <c r="H1001" s="119" t="s">
        <v>475</v>
      </c>
      <c r="I1001" s="119" t="s">
        <v>82</v>
      </c>
    </row>
    <row r="1002" spans="1:9" ht="13">
      <c r="A1002" s="118">
        <v>46174</v>
      </c>
      <c r="B1002" s="119">
        <v>7002724695</v>
      </c>
      <c r="C1002" s="119" t="s">
        <v>520</v>
      </c>
      <c r="D1002" s="119" t="s">
        <v>474</v>
      </c>
      <c r="E1002" s="119" t="s">
        <v>91</v>
      </c>
      <c r="F1002" s="119" t="s">
        <v>90</v>
      </c>
      <c r="G1002" s="119">
        <v>5</v>
      </c>
      <c r="H1002" s="119" t="s">
        <v>475</v>
      </c>
      <c r="I1002" s="119" t="s">
        <v>82</v>
      </c>
    </row>
    <row r="1003" spans="1:9" ht="13">
      <c r="A1003" s="118">
        <v>46174</v>
      </c>
      <c r="B1003" s="119">
        <v>7002724611</v>
      </c>
      <c r="C1003" s="119" t="s">
        <v>520</v>
      </c>
      <c r="D1003" s="119" t="s">
        <v>474</v>
      </c>
      <c r="E1003" s="119" t="s">
        <v>463</v>
      </c>
      <c r="F1003" s="119" t="s">
        <v>90</v>
      </c>
      <c r="G1003" s="119">
        <v>4</v>
      </c>
      <c r="H1003" s="119" t="s">
        <v>475</v>
      </c>
      <c r="I1003" s="119" t="s">
        <v>82</v>
      </c>
    </row>
    <row r="1004" spans="1:9" ht="13">
      <c r="A1004" s="118">
        <v>46174</v>
      </c>
      <c r="B1004" s="119">
        <v>7002724383</v>
      </c>
      <c r="C1004" s="119" t="s">
        <v>520</v>
      </c>
      <c r="D1004" s="119" t="s">
        <v>474</v>
      </c>
      <c r="E1004" s="119" t="s">
        <v>463</v>
      </c>
      <c r="F1004" s="119" t="s">
        <v>90</v>
      </c>
      <c r="G1004" s="119">
        <v>10</v>
      </c>
      <c r="H1004" s="119" t="s">
        <v>475</v>
      </c>
      <c r="I1004" s="119" t="s">
        <v>82</v>
      </c>
    </row>
    <row r="1005" spans="1:9" ht="13">
      <c r="A1005" s="118">
        <v>46174</v>
      </c>
      <c r="B1005" s="119">
        <v>7002723917</v>
      </c>
      <c r="C1005" s="119" t="s">
        <v>520</v>
      </c>
      <c r="D1005" s="119" t="s">
        <v>474</v>
      </c>
      <c r="E1005" s="119" t="s">
        <v>463</v>
      </c>
      <c r="F1005" s="119" t="s">
        <v>90</v>
      </c>
      <c r="G1005" s="119">
        <v>1</v>
      </c>
      <c r="H1005" s="119" t="s">
        <v>475</v>
      </c>
      <c r="I1005" s="119" t="s">
        <v>82</v>
      </c>
    </row>
    <row r="1006" spans="1:9" ht="13">
      <c r="A1006" s="118">
        <v>46174</v>
      </c>
      <c r="B1006" s="119">
        <v>7002728716</v>
      </c>
      <c r="C1006" s="119" t="s">
        <v>520</v>
      </c>
      <c r="D1006" s="119" t="s">
        <v>474</v>
      </c>
      <c r="E1006" s="119" t="s">
        <v>454</v>
      </c>
      <c r="F1006" s="119" t="s">
        <v>90</v>
      </c>
      <c r="G1006" s="119">
        <v>3</v>
      </c>
      <c r="H1006" s="119" t="s">
        <v>475</v>
      </c>
      <c r="I1006" s="119" t="s">
        <v>82</v>
      </c>
    </row>
    <row r="1007" spans="1:9" ht="13">
      <c r="A1007" s="118">
        <v>46174</v>
      </c>
      <c r="B1007" s="119">
        <v>7002723722</v>
      </c>
      <c r="C1007" s="119" t="s">
        <v>520</v>
      </c>
      <c r="D1007" s="119" t="s">
        <v>474</v>
      </c>
      <c r="E1007" s="119" t="s">
        <v>91</v>
      </c>
      <c r="F1007" s="119" t="s">
        <v>90</v>
      </c>
      <c r="G1007" s="119">
        <v>1</v>
      </c>
      <c r="H1007" s="119" t="s">
        <v>475</v>
      </c>
      <c r="I1007" s="119" t="s">
        <v>82</v>
      </c>
    </row>
    <row r="1008" spans="1:9" ht="13">
      <c r="A1008" s="118">
        <v>46174</v>
      </c>
      <c r="B1008" s="119">
        <v>7002729591</v>
      </c>
      <c r="C1008" s="119" t="s">
        <v>520</v>
      </c>
      <c r="D1008" s="119" t="s">
        <v>474</v>
      </c>
      <c r="E1008" s="119" t="s">
        <v>463</v>
      </c>
      <c r="F1008" s="119" t="s">
        <v>90</v>
      </c>
      <c r="G1008" s="119">
        <v>1</v>
      </c>
      <c r="H1008" s="119" t="s">
        <v>475</v>
      </c>
      <c r="I1008" s="119" t="s">
        <v>82</v>
      </c>
    </row>
    <row r="1009" spans="1:9" ht="13">
      <c r="A1009" s="118">
        <v>46174</v>
      </c>
      <c r="B1009" s="119">
        <v>7002729914</v>
      </c>
      <c r="C1009" s="119" t="s">
        <v>520</v>
      </c>
      <c r="D1009" s="119" t="s">
        <v>474</v>
      </c>
      <c r="E1009" s="119" t="s">
        <v>463</v>
      </c>
      <c r="F1009" s="119" t="s">
        <v>90</v>
      </c>
      <c r="G1009" s="119">
        <v>13</v>
      </c>
      <c r="H1009" s="119" t="s">
        <v>475</v>
      </c>
      <c r="I1009" s="119" t="s">
        <v>82</v>
      </c>
    </row>
    <row r="1010" spans="1:9" ht="13">
      <c r="A1010" s="118">
        <v>46174</v>
      </c>
      <c r="B1010" s="119">
        <v>7002739488</v>
      </c>
      <c r="C1010" s="119" t="s">
        <v>520</v>
      </c>
      <c r="D1010" s="119" t="s">
        <v>474</v>
      </c>
      <c r="E1010" s="119" t="s">
        <v>91</v>
      </c>
      <c r="F1010" s="119" t="s">
        <v>90</v>
      </c>
      <c r="G1010" s="119">
        <v>16</v>
      </c>
      <c r="H1010" s="119" t="s">
        <v>475</v>
      </c>
      <c r="I1010" s="119" t="s">
        <v>82</v>
      </c>
    </row>
    <row r="1011" spans="1:9" ht="13">
      <c r="A1011" s="118">
        <v>46174</v>
      </c>
      <c r="B1011" s="119">
        <v>7002739272</v>
      </c>
      <c r="C1011" s="119" t="s">
        <v>520</v>
      </c>
      <c r="D1011" s="119" t="s">
        <v>474</v>
      </c>
      <c r="E1011" s="119" t="s">
        <v>91</v>
      </c>
      <c r="F1011" s="119" t="s">
        <v>90</v>
      </c>
      <c r="G1011" s="119">
        <v>1</v>
      </c>
      <c r="H1011" s="119" t="s">
        <v>475</v>
      </c>
      <c r="I1011" s="119" t="s">
        <v>82</v>
      </c>
    </row>
    <row r="1012" spans="1:9" ht="13">
      <c r="A1012" s="118">
        <v>46174</v>
      </c>
      <c r="B1012" s="119">
        <v>7002739066</v>
      </c>
      <c r="C1012" s="119" t="s">
        <v>520</v>
      </c>
      <c r="D1012" s="119" t="s">
        <v>474</v>
      </c>
      <c r="E1012" s="119" t="s">
        <v>91</v>
      </c>
      <c r="F1012" s="119" t="s">
        <v>90</v>
      </c>
      <c r="G1012" s="119">
        <v>1</v>
      </c>
      <c r="H1012" s="119" t="s">
        <v>475</v>
      </c>
      <c r="I1012" s="119" t="s">
        <v>82</v>
      </c>
    </row>
    <row r="1013" spans="1:9" ht="13">
      <c r="A1013" s="118">
        <v>46174</v>
      </c>
      <c r="B1013" s="119">
        <v>7002737531</v>
      </c>
      <c r="C1013" s="119" t="s">
        <v>520</v>
      </c>
      <c r="D1013" s="119" t="s">
        <v>474</v>
      </c>
      <c r="E1013" s="119" t="s">
        <v>91</v>
      </c>
      <c r="F1013" s="119" t="s">
        <v>90</v>
      </c>
      <c r="G1013" s="119">
        <v>2</v>
      </c>
      <c r="H1013" s="119" t="s">
        <v>475</v>
      </c>
      <c r="I1013" s="119" t="s">
        <v>82</v>
      </c>
    </row>
    <row r="1014" spans="1:9" ht="13">
      <c r="A1014" s="118">
        <v>46174</v>
      </c>
      <c r="B1014" s="119">
        <v>7002736416</v>
      </c>
      <c r="C1014" s="119" t="s">
        <v>520</v>
      </c>
      <c r="D1014" s="119" t="s">
        <v>474</v>
      </c>
      <c r="E1014" s="119" t="s">
        <v>533</v>
      </c>
      <c r="F1014" s="119" t="s">
        <v>90</v>
      </c>
      <c r="G1014" s="119">
        <v>4</v>
      </c>
      <c r="H1014" s="119" t="s">
        <v>475</v>
      </c>
      <c r="I1014" s="119" t="s">
        <v>82</v>
      </c>
    </row>
    <row r="1015" spans="1:9" ht="13">
      <c r="A1015" s="118">
        <v>46174</v>
      </c>
      <c r="B1015" s="119">
        <v>7002735491</v>
      </c>
      <c r="C1015" s="119" t="s">
        <v>520</v>
      </c>
      <c r="D1015" s="119" t="s">
        <v>474</v>
      </c>
      <c r="E1015" s="119" t="s">
        <v>454</v>
      </c>
      <c r="F1015" s="119" t="s">
        <v>90</v>
      </c>
      <c r="G1015" s="119">
        <v>3</v>
      </c>
      <c r="H1015" s="119" t="s">
        <v>475</v>
      </c>
      <c r="I1015" s="119" t="s">
        <v>82</v>
      </c>
    </row>
    <row r="1016" spans="1:9" ht="13">
      <c r="A1016" s="118">
        <v>46174</v>
      </c>
      <c r="B1016" s="119">
        <v>7002735415</v>
      </c>
      <c r="C1016" s="119" t="s">
        <v>520</v>
      </c>
      <c r="D1016" s="119" t="s">
        <v>474</v>
      </c>
      <c r="E1016" s="119" t="s">
        <v>533</v>
      </c>
      <c r="F1016" s="119" t="s">
        <v>90</v>
      </c>
      <c r="G1016" s="119">
        <v>2</v>
      </c>
      <c r="H1016" s="119" t="s">
        <v>475</v>
      </c>
      <c r="I1016" s="119" t="s">
        <v>82</v>
      </c>
    </row>
    <row r="1017" spans="1:9" ht="13">
      <c r="A1017" s="118">
        <v>46174</v>
      </c>
      <c r="B1017" s="119">
        <v>7002734615</v>
      </c>
      <c r="C1017" s="119" t="s">
        <v>520</v>
      </c>
      <c r="D1017" s="119" t="s">
        <v>474</v>
      </c>
      <c r="E1017" s="119" t="s">
        <v>91</v>
      </c>
      <c r="F1017" s="119" t="s">
        <v>90</v>
      </c>
      <c r="G1017" s="119">
        <v>2</v>
      </c>
      <c r="H1017" s="119" t="s">
        <v>475</v>
      </c>
      <c r="I1017" s="119" t="s">
        <v>82</v>
      </c>
    </row>
    <row r="1018" spans="1:9" ht="13">
      <c r="A1018" s="118">
        <v>46174</v>
      </c>
      <c r="B1018" s="119">
        <v>7002734476</v>
      </c>
      <c r="C1018" s="119" t="s">
        <v>520</v>
      </c>
      <c r="D1018" s="119" t="s">
        <v>474</v>
      </c>
      <c r="E1018" s="119" t="s">
        <v>533</v>
      </c>
      <c r="F1018" s="119" t="s">
        <v>90</v>
      </c>
      <c r="G1018" s="119">
        <v>1</v>
      </c>
      <c r="H1018" s="119" t="s">
        <v>475</v>
      </c>
      <c r="I1018" s="119" t="s">
        <v>82</v>
      </c>
    </row>
    <row r="1019" spans="1:9" ht="13">
      <c r="A1019" s="118">
        <v>46174</v>
      </c>
      <c r="B1019" s="119">
        <v>7002732573</v>
      </c>
      <c r="C1019" s="119" t="s">
        <v>520</v>
      </c>
      <c r="D1019" s="119" t="s">
        <v>474</v>
      </c>
      <c r="E1019" s="119" t="s">
        <v>98</v>
      </c>
      <c r="F1019" s="119" t="s">
        <v>90</v>
      </c>
      <c r="G1019" s="119">
        <v>12</v>
      </c>
      <c r="H1019" s="119" t="s">
        <v>475</v>
      </c>
      <c r="I1019" s="119" t="s">
        <v>82</v>
      </c>
    </row>
    <row r="1020" spans="1:9" ht="13">
      <c r="A1020" s="118">
        <v>46174</v>
      </c>
      <c r="B1020" s="119">
        <v>7002731590</v>
      </c>
      <c r="C1020" s="119" t="s">
        <v>520</v>
      </c>
      <c r="D1020" s="119" t="s">
        <v>474</v>
      </c>
      <c r="E1020" s="119" t="s">
        <v>533</v>
      </c>
      <c r="F1020" s="119" t="s">
        <v>90</v>
      </c>
      <c r="G1020" s="119">
        <v>1</v>
      </c>
      <c r="H1020" s="119" t="s">
        <v>475</v>
      </c>
      <c r="I1020" s="119" t="s">
        <v>82</v>
      </c>
    </row>
    <row r="1021" spans="1:9" ht="13">
      <c r="A1021" s="118">
        <v>46174</v>
      </c>
      <c r="B1021" s="119">
        <v>7002731526</v>
      </c>
      <c r="C1021" s="119" t="s">
        <v>520</v>
      </c>
      <c r="D1021" s="119" t="s">
        <v>474</v>
      </c>
      <c r="E1021" s="119" t="s">
        <v>454</v>
      </c>
      <c r="F1021" s="119" t="s">
        <v>90</v>
      </c>
      <c r="G1021" s="119">
        <v>1</v>
      </c>
      <c r="H1021" s="119" t="s">
        <v>475</v>
      </c>
      <c r="I1021" s="119" t="s">
        <v>82</v>
      </c>
    </row>
    <row r="1022" spans="1:9" ht="13">
      <c r="A1022" s="118">
        <v>46174</v>
      </c>
      <c r="B1022" s="119">
        <v>7002730481</v>
      </c>
      <c r="C1022" s="119" t="s">
        <v>520</v>
      </c>
      <c r="D1022" s="119" t="s">
        <v>474</v>
      </c>
      <c r="E1022" s="119" t="s">
        <v>98</v>
      </c>
      <c r="F1022" s="119" t="s">
        <v>90</v>
      </c>
      <c r="G1022" s="119">
        <v>1</v>
      </c>
      <c r="H1022" s="119" t="s">
        <v>475</v>
      </c>
      <c r="I1022" s="119" t="s">
        <v>82</v>
      </c>
    </row>
    <row r="1023" spans="1:9" ht="13">
      <c r="A1023" s="118">
        <v>46174</v>
      </c>
      <c r="B1023" s="119">
        <v>7002729657</v>
      </c>
      <c r="C1023" s="119" t="s">
        <v>520</v>
      </c>
      <c r="D1023" s="119" t="s">
        <v>474</v>
      </c>
      <c r="E1023" s="119" t="s">
        <v>91</v>
      </c>
      <c r="F1023" s="119" t="s">
        <v>90</v>
      </c>
      <c r="G1023" s="119">
        <v>4</v>
      </c>
      <c r="H1023" s="119" t="s">
        <v>475</v>
      </c>
      <c r="I1023" s="119" t="s">
        <v>82</v>
      </c>
    </row>
    <row r="1024" spans="1:9" ht="13">
      <c r="A1024" s="118">
        <v>46174</v>
      </c>
      <c r="B1024" s="119">
        <v>7002723612</v>
      </c>
      <c r="C1024" s="119" t="s">
        <v>520</v>
      </c>
      <c r="D1024" s="119" t="s">
        <v>474</v>
      </c>
      <c r="E1024" s="119" t="s">
        <v>91</v>
      </c>
      <c r="F1024" s="119" t="s">
        <v>90</v>
      </c>
      <c r="G1024" s="119">
        <v>10</v>
      </c>
      <c r="H1024" s="119" t="s">
        <v>475</v>
      </c>
      <c r="I1024" s="119" t="s">
        <v>82</v>
      </c>
    </row>
    <row r="1025" spans="1:9" ht="13">
      <c r="A1025" s="118">
        <v>46174</v>
      </c>
      <c r="B1025" s="119">
        <v>7002723397</v>
      </c>
      <c r="C1025" s="119" t="s">
        <v>520</v>
      </c>
      <c r="D1025" s="119" t="s">
        <v>474</v>
      </c>
      <c r="E1025" s="119" t="s">
        <v>463</v>
      </c>
      <c r="F1025" s="119" t="s">
        <v>90</v>
      </c>
      <c r="G1025" s="119">
        <v>1</v>
      </c>
      <c r="H1025" s="119" t="s">
        <v>475</v>
      </c>
      <c r="I1025" s="119" t="s">
        <v>82</v>
      </c>
    </row>
    <row r="1026" spans="1:9" ht="13">
      <c r="A1026" s="118">
        <v>46174</v>
      </c>
      <c r="B1026" s="119">
        <v>7002716781</v>
      </c>
      <c r="C1026" s="119" t="s">
        <v>520</v>
      </c>
      <c r="D1026" s="119" t="s">
        <v>474</v>
      </c>
      <c r="E1026" s="119" t="s">
        <v>454</v>
      </c>
      <c r="F1026" s="119" t="s">
        <v>90</v>
      </c>
      <c r="G1026" s="119">
        <v>6</v>
      </c>
      <c r="H1026" s="119" t="s">
        <v>475</v>
      </c>
      <c r="I1026" s="119" t="s">
        <v>82</v>
      </c>
    </row>
    <row r="1027" spans="1:9" ht="13">
      <c r="A1027" s="118">
        <v>46174</v>
      </c>
      <c r="B1027" s="119">
        <v>7002716752</v>
      </c>
      <c r="C1027" s="119" t="s">
        <v>520</v>
      </c>
      <c r="D1027" s="119" t="s">
        <v>474</v>
      </c>
      <c r="E1027" s="119" t="s">
        <v>463</v>
      </c>
      <c r="F1027" s="119" t="s">
        <v>90</v>
      </c>
      <c r="G1027" s="119">
        <v>6</v>
      </c>
      <c r="H1027" s="119" t="s">
        <v>475</v>
      </c>
      <c r="I1027" s="119" t="s">
        <v>82</v>
      </c>
    </row>
    <row r="1028" spans="1:9" ht="13">
      <c r="A1028" s="118">
        <v>46174</v>
      </c>
      <c r="B1028" s="119">
        <v>7002716747</v>
      </c>
      <c r="C1028" s="119" t="s">
        <v>520</v>
      </c>
      <c r="D1028" s="119" t="s">
        <v>474</v>
      </c>
      <c r="E1028" s="119" t="s">
        <v>533</v>
      </c>
      <c r="F1028" s="119" t="s">
        <v>90</v>
      </c>
      <c r="G1028" s="119">
        <v>25</v>
      </c>
      <c r="H1028" s="119" t="s">
        <v>475</v>
      </c>
      <c r="I1028" s="119" t="s">
        <v>82</v>
      </c>
    </row>
    <row r="1029" spans="1:9" ht="13">
      <c r="A1029" s="118">
        <v>46174</v>
      </c>
      <c r="B1029" s="119">
        <v>7002716723</v>
      </c>
      <c r="C1029" s="119" t="s">
        <v>520</v>
      </c>
      <c r="D1029" s="119" t="s">
        <v>474</v>
      </c>
      <c r="E1029" s="119" t="s">
        <v>463</v>
      </c>
      <c r="F1029" s="119" t="s">
        <v>90</v>
      </c>
      <c r="G1029" s="119">
        <v>10</v>
      </c>
      <c r="H1029" s="119" t="s">
        <v>475</v>
      </c>
      <c r="I1029" s="119" t="s">
        <v>82</v>
      </c>
    </row>
    <row r="1030" spans="1:9" ht="13">
      <c r="A1030" s="118">
        <v>46174</v>
      </c>
      <c r="B1030" s="119">
        <v>7002716710</v>
      </c>
      <c r="C1030" s="119" t="s">
        <v>520</v>
      </c>
      <c r="D1030" s="119" t="s">
        <v>474</v>
      </c>
      <c r="E1030" s="119" t="s">
        <v>91</v>
      </c>
      <c r="F1030" s="119" t="s">
        <v>90</v>
      </c>
      <c r="G1030" s="119">
        <v>1</v>
      </c>
      <c r="H1030" s="119" t="s">
        <v>475</v>
      </c>
      <c r="I1030" s="119" t="s">
        <v>82</v>
      </c>
    </row>
    <row r="1031" spans="1:9" ht="13">
      <c r="A1031" s="118">
        <v>46174</v>
      </c>
      <c r="B1031" s="119">
        <v>7002631025</v>
      </c>
      <c r="C1031" s="119" t="s">
        <v>520</v>
      </c>
      <c r="D1031" s="119" t="s">
        <v>476</v>
      </c>
      <c r="E1031" s="119" t="s">
        <v>452</v>
      </c>
      <c r="F1031" s="119" t="s">
        <v>90</v>
      </c>
      <c r="G1031" s="119">
        <v>0</v>
      </c>
      <c r="H1031" s="119" t="s">
        <v>475</v>
      </c>
      <c r="I1031" s="119" t="s">
        <v>82</v>
      </c>
    </row>
    <row r="1032" spans="1:9" ht="13">
      <c r="A1032" s="118">
        <v>46174</v>
      </c>
      <c r="B1032" s="119">
        <v>7002713910</v>
      </c>
      <c r="C1032" s="119" t="s">
        <v>520</v>
      </c>
      <c r="D1032" s="119" t="s">
        <v>474</v>
      </c>
      <c r="E1032" s="119" t="s">
        <v>98</v>
      </c>
      <c r="F1032" s="119" t="s">
        <v>90</v>
      </c>
      <c r="G1032" s="119">
        <v>1</v>
      </c>
      <c r="H1032" s="119" t="s">
        <v>475</v>
      </c>
      <c r="I1032" s="119" t="s">
        <v>82</v>
      </c>
    </row>
    <row r="1033" spans="1:9" ht="13">
      <c r="A1033" s="118">
        <v>46174</v>
      </c>
      <c r="B1033" s="119">
        <v>7002713787</v>
      </c>
      <c r="C1033" s="119" t="s">
        <v>520</v>
      </c>
      <c r="D1033" s="119" t="s">
        <v>479</v>
      </c>
      <c r="E1033" s="119" t="s">
        <v>103</v>
      </c>
      <c r="F1033" s="119" t="s">
        <v>90</v>
      </c>
      <c r="G1033" s="119">
        <v>1</v>
      </c>
      <c r="H1033" s="119" t="s">
        <v>475</v>
      </c>
      <c r="I1033" s="119" t="s">
        <v>82</v>
      </c>
    </row>
    <row r="1034" spans="1:9" ht="13">
      <c r="A1034" s="118">
        <v>46174</v>
      </c>
      <c r="B1034" s="119">
        <v>7002713773</v>
      </c>
      <c r="C1034" s="119" t="s">
        <v>520</v>
      </c>
      <c r="D1034" s="119" t="s">
        <v>474</v>
      </c>
      <c r="E1034" s="119" t="s">
        <v>98</v>
      </c>
      <c r="F1034" s="119" t="s">
        <v>90</v>
      </c>
      <c r="G1034" s="119">
        <v>120</v>
      </c>
      <c r="H1034" s="119" t="s">
        <v>475</v>
      </c>
      <c r="I1034" s="119" t="s">
        <v>82</v>
      </c>
    </row>
    <row r="1035" spans="1:9" ht="13">
      <c r="A1035" s="118">
        <v>46174</v>
      </c>
      <c r="B1035" s="119">
        <v>7002712875</v>
      </c>
      <c r="C1035" s="119" t="s">
        <v>520</v>
      </c>
      <c r="D1035" s="119" t="s">
        <v>479</v>
      </c>
      <c r="E1035" s="119" t="s">
        <v>103</v>
      </c>
      <c r="F1035" s="119" t="s">
        <v>90</v>
      </c>
      <c r="G1035" s="119">
        <v>1</v>
      </c>
      <c r="H1035" s="119" t="s">
        <v>475</v>
      </c>
      <c r="I1035" s="119" t="s">
        <v>82</v>
      </c>
    </row>
    <row r="1036" spans="1:9" ht="13">
      <c r="A1036" s="118">
        <v>46174</v>
      </c>
      <c r="B1036" s="119">
        <v>7002712868</v>
      </c>
      <c r="C1036" s="119" t="s">
        <v>520</v>
      </c>
      <c r="D1036" s="119" t="s">
        <v>474</v>
      </c>
      <c r="E1036" s="119" t="s">
        <v>91</v>
      </c>
      <c r="F1036" s="119" t="s">
        <v>90</v>
      </c>
      <c r="G1036" s="119">
        <v>2</v>
      </c>
      <c r="H1036" s="119" t="s">
        <v>475</v>
      </c>
      <c r="I1036" s="119" t="s">
        <v>82</v>
      </c>
    </row>
    <row r="1037" spans="1:9" ht="13">
      <c r="A1037" s="118">
        <v>46174</v>
      </c>
      <c r="B1037" s="119">
        <v>7002712788</v>
      </c>
      <c r="C1037" s="119" t="s">
        <v>520</v>
      </c>
      <c r="D1037" s="119" t="s">
        <v>474</v>
      </c>
      <c r="E1037" s="119" t="s">
        <v>463</v>
      </c>
      <c r="F1037" s="119" t="s">
        <v>90</v>
      </c>
      <c r="G1037" s="119">
        <v>46</v>
      </c>
      <c r="H1037" s="119" t="s">
        <v>475</v>
      </c>
      <c r="I1037" s="119" t="s">
        <v>82</v>
      </c>
    </row>
    <row r="1038" spans="1:9" ht="13">
      <c r="A1038" s="118">
        <v>46174</v>
      </c>
      <c r="B1038" s="119">
        <v>7002712726</v>
      </c>
      <c r="C1038" s="119" t="s">
        <v>520</v>
      </c>
      <c r="D1038" s="119" t="s">
        <v>474</v>
      </c>
      <c r="E1038" s="119" t="s">
        <v>454</v>
      </c>
      <c r="F1038" s="119" t="s">
        <v>90</v>
      </c>
      <c r="G1038" s="119">
        <v>5</v>
      </c>
      <c r="H1038" s="119" t="s">
        <v>475</v>
      </c>
      <c r="I1038" s="119" t="s">
        <v>82</v>
      </c>
    </row>
    <row r="1039" spans="1:9" ht="13">
      <c r="A1039" s="118">
        <v>46174</v>
      </c>
      <c r="B1039" s="119">
        <v>7002717730</v>
      </c>
      <c r="C1039" s="119" t="s">
        <v>520</v>
      </c>
      <c r="D1039" s="119" t="s">
        <v>474</v>
      </c>
      <c r="E1039" s="119" t="s">
        <v>463</v>
      </c>
      <c r="F1039" s="119" t="s">
        <v>90</v>
      </c>
      <c r="G1039" s="119">
        <v>6</v>
      </c>
      <c r="H1039" s="119" t="s">
        <v>475</v>
      </c>
      <c r="I1039" s="119" t="s">
        <v>82</v>
      </c>
    </row>
    <row r="1040" spans="1:9" ht="13">
      <c r="A1040" s="118">
        <v>46174</v>
      </c>
      <c r="B1040" s="119">
        <v>7002717748</v>
      </c>
      <c r="C1040" s="119" t="s">
        <v>520</v>
      </c>
      <c r="D1040" s="119" t="s">
        <v>474</v>
      </c>
      <c r="E1040" s="119" t="s">
        <v>454</v>
      </c>
      <c r="F1040" s="119" t="s">
        <v>90</v>
      </c>
      <c r="G1040" s="119">
        <v>15</v>
      </c>
      <c r="H1040" s="119" t="s">
        <v>475</v>
      </c>
      <c r="I1040" s="119" t="s">
        <v>82</v>
      </c>
    </row>
    <row r="1041" spans="1:9" ht="13">
      <c r="A1041" s="118">
        <v>46174</v>
      </c>
      <c r="B1041" s="119">
        <v>7002718712</v>
      </c>
      <c r="C1041" s="119" t="s">
        <v>520</v>
      </c>
      <c r="D1041" s="119" t="s">
        <v>474</v>
      </c>
      <c r="E1041" s="119" t="s">
        <v>91</v>
      </c>
      <c r="F1041" s="119" t="s">
        <v>90</v>
      </c>
      <c r="G1041" s="119">
        <v>1</v>
      </c>
      <c r="H1041" s="119" t="s">
        <v>475</v>
      </c>
      <c r="I1041" s="119" t="s">
        <v>82</v>
      </c>
    </row>
    <row r="1042" spans="1:9" ht="13">
      <c r="A1042" s="118">
        <v>46174</v>
      </c>
      <c r="B1042" s="119">
        <v>7002722706</v>
      </c>
      <c r="C1042" s="119" t="s">
        <v>520</v>
      </c>
      <c r="D1042" s="119" t="s">
        <v>474</v>
      </c>
      <c r="E1042" s="119" t="s">
        <v>91</v>
      </c>
      <c r="F1042" s="119" t="s">
        <v>90</v>
      </c>
      <c r="G1042" s="119">
        <v>4</v>
      </c>
      <c r="H1042" s="119" t="s">
        <v>475</v>
      </c>
      <c r="I1042" s="119" t="s">
        <v>82</v>
      </c>
    </row>
    <row r="1043" spans="1:9" ht="13">
      <c r="A1043" s="118">
        <v>46174</v>
      </c>
      <c r="B1043" s="119">
        <v>7002722684</v>
      </c>
      <c r="C1043" s="119" t="s">
        <v>520</v>
      </c>
      <c r="D1043" s="119" t="s">
        <v>474</v>
      </c>
      <c r="E1043" s="119" t="s">
        <v>91</v>
      </c>
      <c r="F1043" s="119" t="s">
        <v>90</v>
      </c>
      <c r="G1043" s="119">
        <v>4</v>
      </c>
      <c r="H1043" s="119" t="s">
        <v>475</v>
      </c>
      <c r="I1043" s="119" t="s">
        <v>82</v>
      </c>
    </row>
    <row r="1044" spans="1:9" ht="13">
      <c r="A1044" s="118">
        <v>46174</v>
      </c>
      <c r="B1044" s="119">
        <v>7002722429</v>
      </c>
      <c r="C1044" s="119" t="s">
        <v>520</v>
      </c>
      <c r="D1044" s="119" t="s">
        <v>474</v>
      </c>
      <c r="E1044" s="119" t="s">
        <v>463</v>
      </c>
      <c r="F1044" s="119" t="s">
        <v>90</v>
      </c>
      <c r="G1044" s="119">
        <v>9</v>
      </c>
      <c r="H1044" s="119" t="s">
        <v>475</v>
      </c>
      <c r="I1044" s="119" t="s">
        <v>82</v>
      </c>
    </row>
    <row r="1045" spans="1:9" ht="13">
      <c r="A1045" s="118">
        <v>46174</v>
      </c>
      <c r="B1045" s="119">
        <v>7002722380</v>
      </c>
      <c r="C1045" s="119" t="s">
        <v>520</v>
      </c>
      <c r="D1045" s="119" t="s">
        <v>474</v>
      </c>
      <c r="E1045" s="119" t="s">
        <v>463</v>
      </c>
      <c r="F1045" s="119" t="s">
        <v>90</v>
      </c>
      <c r="G1045" s="119">
        <v>1</v>
      </c>
      <c r="H1045" s="119" t="s">
        <v>475</v>
      </c>
      <c r="I1045" s="119" t="s">
        <v>82</v>
      </c>
    </row>
    <row r="1046" spans="1:9" ht="13">
      <c r="A1046" s="118">
        <v>46174</v>
      </c>
      <c r="B1046" s="119">
        <v>7002722262</v>
      </c>
      <c r="C1046" s="119" t="s">
        <v>520</v>
      </c>
      <c r="D1046" s="119" t="s">
        <v>515</v>
      </c>
      <c r="E1046" s="119" t="s">
        <v>470</v>
      </c>
      <c r="F1046" s="119" t="s">
        <v>90</v>
      </c>
      <c r="G1046" s="119">
        <v>1</v>
      </c>
      <c r="H1046" s="119" t="s">
        <v>475</v>
      </c>
      <c r="I1046" s="119" t="s">
        <v>82</v>
      </c>
    </row>
    <row r="1047" spans="1:9" ht="13">
      <c r="A1047" s="118">
        <v>46174</v>
      </c>
      <c r="B1047" s="119">
        <v>7002721439</v>
      </c>
      <c r="C1047" s="119" t="s">
        <v>520</v>
      </c>
      <c r="D1047" s="119" t="s">
        <v>474</v>
      </c>
      <c r="E1047" s="119" t="s">
        <v>463</v>
      </c>
      <c r="F1047" s="119" t="s">
        <v>90</v>
      </c>
      <c r="G1047" s="119">
        <v>10</v>
      </c>
      <c r="H1047" s="119" t="s">
        <v>475</v>
      </c>
      <c r="I1047" s="119" t="s">
        <v>82</v>
      </c>
    </row>
    <row r="1048" spans="1:9" ht="13">
      <c r="A1048" s="118">
        <v>46174</v>
      </c>
      <c r="B1048" s="119">
        <v>7002721375</v>
      </c>
      <c r="C1048" s="119" t="s">
        <v>520</v>
      </c>
      <c r="D1048" s="119" t="s">
        <v>474</v>
      </c>
      <c r="E1048" s="119" t="s">
        <v>463</v>
      </c>
      <c r="F1048" s="119" t="s">
        <v>90</v>
      </c>
      <c r="G1048" s="119">
        <v>11</v>
      </c>
      <c r="H1048" s="119" t="s">
        <v>475</v>
      </c>
      <c r="I1048" s="119" t="s">
        <v>82</v>
      </c>
    </row>
    <row r="1049" spans="1:9" ht="13">
      <c r="A1049" s="118">
        <v>46174</v>
      </c>
      <c r="B1049" s="119">
        <v>7002721155</v>
      </c>
      <c r="C1049" s="119" t="s">
        <v>520</v>
      </c>
      <c r="D1049" s="119" t="s">
        <v>474</v>
      </c>
      <c r="E1049" s="119" t="s">
        <v>528</v>
      </c>
      <c r="F1049" s="119" t="s">
        <v>90</v>
      </c>
      <c r="G1049" s="119">
        <v>27</v>
      </c>
      <c r="H1049" s="119" t="s">
        <v>475</v>
      </c>
      <c r="I1049" s="119" t="s">
        <v>82</v>
      </c>
    </row>
    <row r="1050" spans="1:9" ht="13">
      <c r="A1050" s="118">
        <v>46174</v>
      </c>
      <c r="B1050" s="119">
        <v>7002720546</v>
      </c>
      <c r="C1050" s="119" t="s">
        <v>520</v>
      </c>
      <c r="D1050" s="119" t="s">
        <v>474</v>
      </c>
      <c r="E1050" s="119" t="s">
        <v>98</v>
      </c>
      <c r="F1050" s="119" t="s">
        <v>90</v>
      </c>
      <c r="G1050" s="119">
        <v>12</v>
      </c>
      <c r="H1050" s="119" t="s">
        <v>475</v>
      </c>
      <c r="I1050" s="119" t="s">
        <v>82</v>
      </c>
    </row>
    <row r="1051" spans="1:9" ht="13">
      <c r="A1051" s="118">
        <v>46174</v>
      </c>
      <c r="B1051" s="119">
        <v>7002720461</v>
      </c>
      <c r="C1051" s="119" t="s">
        <v>520</v>
      </c>
      <c r="D1051" s="119" t="s">
        <v>474</v>
      </c>
      <c r="E1051" s="119" t="s">
        <v>463</v>
      </c>
      <c r="F1051" s="119" t="s">
        <v>90</v>
      </c>
      <c r="G1051" s="119">
        <v>10</v>
      </c>
      <c r="H1051" s="119" t="s">
        <v>475</v>
      </c>
      <c r="I1051" s="119" t="s">
        <v>82</v>
      </c>
    </row>
    <row r="1052" spans="1:9" ht="13">
      <c r="A1052" s="118">
        <v>46174</v>
      </c>
      <c r="B1052" s="119">
        <v>7002710978</v>
      </c>
      <c r="C1052" s="119" t="s">
        <v>520</v>
      </c>
      <c r="D1052" s="119" t="s">
        <v>479</v>
      </c>
      <c r="E1052" s="119" t="s">
        <v>103</v>
      </c>
      <c r="F1052" s="119" t="s">
        <v>90</v>
      </c>
      <c r="G1052" s="119">
        <v>3</v>
      </c>
      <c r="H1052" s="119" t="s">
        <v>475</v>
      </c>
      <c r="I1052" s="119" t="s">
        <v>82</v>
      </c>
    </row>
    <row r="1053" spans="1:9" ht="13">
      <c r="A1053" s="118">
        <v>46174</v>
      </c>
      <c r="B1053" s="119">
        <v>7002720255</v>
      </c>
      <c r="C1053" s="119" t="s">
        <v>520</v>
      </c>
      <c r="D1053" s="119" t="s">
        <v>474</v>
      </c>
      <c r="E1053" s="119" t="s">
        <v>463</v>
      </c>
      <c r="F1053" s="119" t="s">
        <v>90</v>
      </c>
      <c r="G1053" s="119">
        <v>2</v>
      </c>
      <c r="H1053" s="119" t="s">
        <v>475</v>
      </c>
      <c r="I1053" s="119" t="s">
        <v>82</v>
      </c>
    </row>
    <row r="1054" spans="1:9" ht="13">
      <c r="A1054" s="118">
        <v>46174</v>
      </c>
      <c r="B1054" s="119">
        <v>7002719944</v>
      </c>
      <c r="C1054" s="119" t="s">
        <v>520</v>
      </c>
      <c r="D1054" s="119" t="s">
        <v>479</v>
      </c>
      <c r="E1054" s="119" t="s">
        <v>470</v>
      </c>
      <c r="F1054" s="119" t="s">
        <v>90</v>
      </c>
      <c r="G1054" s="119">
        <v>13</v>
      </c>
      <c r="H1054" s="119" t="s">
        <v>475</v>
      </c>
      <c r="I1054" s="119" t="s">
        <v>82</v>
      </c>
    </row>
    <row r="1055" spans="1:9" ht="13">
      <c r="A1055" s="118">
        <v>46174</v>
      </c>
      <c r="B1055" s="119">
        <v>7002719900</v>
      </c>
      <c r="C1055" s="119" t="s">
        <v>520</v>
      </c>
      <c r="D1055" s="119" t="s">
        <v>474</v>
      </c>
      <c r="E1055" s="119" t="s">
        <v>98</v>
      </c>
      <c r="F1055" s="119" t="s">
        <v>90</v>
      </c>
      <c r="G1055" s="119">
        <v>2</v>
      </c>
      <c r="H1055" s="119" t="s">
        <v>475</v>
      </c>
      <c r="I1055" s="119" t="s">
        <v>82</v>
      </c>
    </row>
    <row r="1056" spans="1:9" ht="13">
      <c r="A1056" s="118">
        <v>46174</v>
      </c>
      <c r="B1056" s="119">
        <v>7002719784</v>
      </c>
      <c r="C1056" s="119" t="s">
        <v>520</v>
      </c>
      <c r="D1056" s="119" t="s">
        <v>474</v>
      </c>
      <c r="E1056" s="119" t="s">
        <v>463</v>
      </c>
      <c r="F1056" s="119" t="s">
        <v>90</v>
      </c>
      <c r="G1056" s="119">
        <v>12</v>
      </c>
      <c r="H1056" s="119" t="s">
        <v>475</v>
      </c>
      <c r="I1056" s="119" t="s">
        <v>82</v>
      </c>
    </row>
    <row r="1057" spans="1:9" ht="13">
      <c r="A1057" s="118">
        <v>46174</v>
      </c>
      <c r="B1057" s="119">
        <v>7002719766</v>
      </c>
      <c r="C1057" s="119" t="s">
        <v>520</v>
      </c>
      <c r="D1057" s="119" t="s">
        <v>474</v>
      </c>
      <c r="E1057" s="119" t="s">
        <v>98</v>
      </c>
      <c r="F1057" s="119" t="s">
        <v>90</v>
      </c>
      <c r="G1057" s="119">
        <v>18</v>
      </c>
      <c r="H1057" s="119" t="s">
        <v>475</v>
      </c>
      <c r="I1057" s="119" t="s">
        <v>82</v>
      </c>
    </row>
    <row r="1058" spans="1:9" ht="13">
      <c r="A1058" s="118">
        <v>46174</v>
      </c>
      <c r="B1058" s="119">
        <v>7002719750</v>
      </c>
      <c r="C1058" s="119" t="s">
        <v>520</v>
      </c>
      <c r="D1058" s="119" t="s">
        <v>474</v>
      </c>
      <c r="E1058" s="119" t="s">
        <v>98</v>
      </c>
      <c r="F1058" s="119" t="s">
        <v>90</v>
      </c>
      <c r="G1058" s="119">
        <v>12</v>
      </c>
      <c r="H1058" s="119" t="s">
        <v>475</v>
      </c>
      <c r="I1058" s="119" t="s">
        <v>82</v>
      </c>
    </row>
    <row r="1059" spans="1:9" ht="13">
      <c r="A1059" s="118">
        <v>46174</v>
      </c>
      <c r="B1059" s="119">
        <v>7002719721</v>
      </c>
      <c r="C1059" s="119" t="s">
        <v>520</v>
      </c>
      <c r="D1059" s="119" t="s">
        <v>474</v>
      </c>
      <c r="E1059" s="119" t="s">
        <v>533</v>
      </c>
      <c r="F1059" s="119" t="s">
        <v>90</v>
      </c>
      <c r="G1059" s="119">
        <v>1</v>
      </c>
      <c r="H1059" s="119" t="s">
        <v>475</v>
      </c>
      <c r="I1059" s="119" t="s">
        <v>82</v>
      </c>
    </row>
    <row r="1060" spans="1:9" ht="13">
      <c r="A1060" s="118">
        <v>46174</v>
      </c>
      <c r="B1060" s="119">
        <v>7002719713</v>
      </c>
      <c r="C1060" s="119" t="s">
        <v>520</v>
      </c>
      <c r="D1060" s="119" t="s">
        <v>479</v>
      </c>
      <c r="E1060" s="119" t="s">
        <v>103</v>
      </c>
      <c r="F1060" s="119" t="s">
        <v>90</v>
      </c>
      <c r="G1060" s="119">
        <v>2</v>
      </c>
      <c r="H1060" s="119" t="s">
        <v>475</v>
      </c>
      <c r="I1060" s="119" t="s">
        <v>82</v>
      </c>
    </row>
    <row r="1061" spans="1:9" ht="13">
      <c r="A1061" s="118">
        <v>46174</v>
      </c>
      <c r="B1061" s="119">
        <v>7002719709</v>
      </c>
      <c r="C1061" s="119" t="s">
        <v>520</v>
      </c>
      <c r="D1061" s="119" t="s">
        <v>474</v>
      </c>
      <c r="E1061" s="119" t="s">
        <v>454</v>
      </c>
      <c r="F1061" s="119" t="s">
        <v>90</v>
      </c>
      <c r="G1061" s="119">
        <v>10</v>
      </c>
      <c r="H1061" s="119" t="s">
        <v>475</v>
      </c>
      <c r="I1061" s="119" t="s">
        <v>82</v>
      </c>
    </row>
    <row r="1062" spans="1:9" ht="13">
      <c r="A1062" s="118">
        <v>46174</v>
      </c>
      <c r="B1062" s="119">
        <v>7002719648</v>
      </c>
      <c r="C1062" s="119" t="s">
        <v>520</v>
      </c>
      <c r="D1062" s="119" t="s">
        <v>474</v>
      </c>
      <c r="E1062" s="119" t="s">
        <v>454</v>
      </c>
      <c r="F1062" s="119" t="s">
        <v>90</v>
      </c>
      <c r="G1062" s="119">
        <v>1</v>
      </c>
      <c r="H1062" s="119" t="s">
        <v>475</v>
      </c>
      <c r="I1062" s="119" t="s">
        <v>82</v>
      </c>
    </row>
    <row r="1063" spans="1:9" ht="13">
      <c r="A1063" s="118">
        <v>46174</v>
      </c>
      <c r="B1063" s="119">
        <v>7002720118</v>
      </c>
      <c r="C1063" s="119" t="s">
        <v>520</v>
      </c>
      <c r="D1063" s="119" t="s">
        <v>474</v>
      </c>
      <c r="E1063" s="119" t="s">
        <v>98</v>
      </c>
      <c r="F1063" s="119" t="s">
        <v>90</v>
      </c>
      <c r="G1063" s="119">
        <v>1</v>
      </c>
      <c r="H1063" s="119" t="s">
        <v>475</v>
      </c>
      <c r="I1063" s="119" t="s">
        <v>82</v>
      </c>
    </row>
    <row r="1064" spans="1:9" ht="13">
      <c r="A1064" s="118">
        <v>46174</v>
      </c>
      <c r="B1064" s="119">
        <v>7002629412</v>
      </c>
      <c r="C1064" s="119" t="s">
        <v>520</v>
      </c>
      <c r="D1064" s="119" t="s">
        <v>476</v>
      </c>
      <c r="E1064" s="119" t="s">
        <v>452</v>
      </c>
      <c r="F1064" s="119" t="s">
        <v>90</v>
      </c>
      <c r="G1064" s="119">
        <v>0</v>
      </c>
      <c r="H1064" s="119" t="s">
        <v>475</v>
      </c>
      <c r="I1064" s="119" t="s">
        <v>82</v>
      </c>
    </row>
    <row r="1065" spans="1:9" ht="13">
      <c r="A1065" s="118">
        <v>46174</v>
      </c>
      <c r="B1065" s="119">
        <v>7002627951</v>
      </c>
      <c r="C1065" s="119" t="s">
        <v>520</v>
      </c>
      <c r="D1065" s="119" t="s">
        <v>476</v>
      </c>
      <c r="E1065" s="119" t="s">
        <v>452</v>
      </c>
      <c r="F1065" s="119" t="s">
        <v>90</v>
      </c>
      <c r="G1065" s="119">
        <v>0</v>
      </c>
      <c r="H1065" s="119" t="s">
        <v>475</v>
      </c>
      <c r="I1065" s="119" t="s">
        <v>82</v>
      </c>
    </row>
    <row r="1066" spans="1:9" ht="13">
      <c r="A1066" s="118">
        <v>46174</v>
      </c>
      <c r="B1066" s="119">
        <v>7002513445</v>
      </c>
      <c r="C1066" s="119" t="s">
        <v>559</v>
      </c>
      <c r="D1066" s="119" t="s">
        <v>476</v>
      </c>
      <c r="E1066" s="119" t="s">
        <v>554</v>
      </c>
      <c r="F1066" s="119" t="s">
        <v>90</v>
      </c>
      <c r="G1066" s="119">
        <v>4</v>
      </c>
      <c r="H1066" s="119" t="s">
        <v>475</v>
      </c>
      <c r="I1066" s="119" t="s">
        <v>505</v>
      </c>
    </row>
    <row r="1067" spans="1:9" ht="13">
      <c r="A1067" s="118">
        <v>46174</v>
      </c>
      <c r="B1067" s="119">
        <v>7002535753</v>
      </c>
      <c r="C1067" s="119" t="s">
        <v>559</v>
      </c>
      <c r="D1067" s="119" t="s">
        <v>495</v>
      </c>
      <c r="E1067" s="119" t="s">
        <v>98</v>
      </c>
      <c r="F1067" s="119" t="s">
        <v>90</v>
      </c>
      <c r="G1067" s="119">
        <v>10</v>
      </c>
      <c r="H1067" s="119" t="s">
        <v>475</v>
      </c>
      <c r="I1067" s="119" t="s">
        <v>503</v>
      </c>
    </row>
    <row r="1068" spans="1:9" ht="13">
      <c r="A1068" s="118">
        <v>46174</v>
      </c>
      <c r="B1068" s="119">
        <v>7002601201</v>
      </c>
      <c r="C1068" s="119" t="s">
        <v>520</v>
      </c>
      <c r="D1068" s="119" t="s">
        <v>474</v>
      </c>
      <c r="E1068" s="119" t="s">
        <v>450</v>
      </c>
      <c r="F1068" s="119" t="s">
        <v>90</v>
      </c>
      <c r="G1068" s="119">
        <v>1</v>
      </c>
      <c r="H1068" s="119" t="s">
        <v>475</v>
      </c>
      <c r="I1068" s="119" t="s">
        <v>82</v>
      </c>
    </row>
    <row r="1069" spans="1:9" ht="13">
      <c r="A1069" s="118">
        <v>46174</v>
      </c>
      <c r="B1069" s="119">
        <v>7002617142</v>
      </c>
      <c r="C1069" s="119" t="s">
        <v>520</v>
      </c>
      <c r="D1069" s="119" t="s">
        <v>476</v>
      </c>
      <c r="E1069" s="119" t="s">
        <v>452</v>
      </c>
      <c r="F1069" s="119" t="s">
        <v>90</v>
      </c>
      <c r="G1069" s="119">
        <v>0</v>
      </c>
      <c r="H1069" s="119" t="s">
        <v>475</v>
      </c>
      <c r="I1069" s="119" t="s">
        <v>82</v>
      </c>
    </row>
    <row r="1070" spans="1:9" ht="13">
      <c r="A1070" s="118">
        <v>46174</v>
      </c>
      <c r="B1070" s="119">
        <v>7002620227</v>
      </c>
      <c r="C1070" s="119" t="s">
        <v>520</v>
      </c>
      <c r="D1070" s="119" t="s">
        <v>476</v>
      </c>
      <c r="E1070" s="119" t="s">
        <v>452</v>
      </c>
      <c r="F1070" s="119" t="s">
        <v>90</v>
      </c>
      <c r="G1070" s="119">
        <v>0</v>
      </c>
      <c r="H1070" s="119" t="s">
        <v>475</v>
      </c>
      <c r="I1070" s="119" t="s">
        <v>82</v>
      </c>
    </row>
    <row r="1071" spans="1:9" ht="13">
      <c r="A1071" s="118">
        <v>46174</v>
      </c>
      <c r="B1071" s="119">
        <v>7002621242</v>
      </c>
      <c r="C1071" s="119" t="s">
        <v>520</v>
      </c>
      <c r="D1071" s="119" t="s">
        <v>476</v>
      </c>
      <c r="E1071" s="119" t="s">
        <v>452</v>
      </c>
      <c r="F1071" s="119" t="s">
        <v>90</v>
      </c>
      <c r="G1071" s="119">
        <v>0</v>
      </c>
      <c r="H1071" s="119" t="s">
        <v>475</v>
      </c>
      <c r="I1071" s="119" t="s">
        <v>82</v>
      </c>
    </row>
    <row r="1072" spans="1:9" ht="13">
      <c r="A1072" s="118">
        <v>46174</v>
      </c>
      <c r="B1072" s="119">
        <v>7002621416</v>
      </c>
      <c r="C1072" s="119" t="s">
        <v>520</v>
      </c>
      <c r="D1072" s="119" t="s">
        <v>476</v>
      </c>
      <c r="E1072" s="119" t="s">
        <v>452</v>
      </c>
      <c r="F1072" s="119" t="s">
        <v>90</v>
      </c>
      <c r="G1072" s="119">
        <v>0</v>
      </c>
      <c r="H1072" s="119" t="s">
        <v>475</v>
      </c>
      <c r="I1072" s="119" t="s">
        <v>82</v>
      </c>
    </row>
    <row r="1073" spans="1:15" ht="13">
      <c r="A1073" s="118">
        <v>46174</v>
      </c>
      <c r="B1073" s="119">
        <v>7002624228</v>
      </c>
      <c r="C1073" s="119" t="s">
        <v>520</v>
      </c>
      <c r="D1073" s="119" t="s">
        <v>476</v>
      </c>
      <c r="E1073" s="119" t="s">
        <v>452</v>
      </c>
      <c r="F1073" s="119" t="s">
        <v>90</v>
      </c>
      <c r="G1073" s="119">
        <v>0</v>
      </c>
      <c r="H1073" s="119" t="s">
        <v>475</v>
      </c>
      <c r="I1073" s="119" t="s">
        <v>82</v>
      </c>
    </row>
    <row r="1074" spans="1:15" ht="13">
      <c r="A1074" s="118">
        <v>46174</v>
      </c>
      <c r="B1074" s="119">
        <v>7002624418</v>
      </c>
      <c r="C1074" s="119" t="s">
        <v>520</v>
      </c>
      <c r="D1074" s="119" t="s">
        <v>476</v>
      </c>
      <c r="E1074" s="119" t="s">
        <v>452</v>
      </c>
      <c r="F1074" s="119" t="s">
        <v>90</v>
      </c>
      <c r="G1074" s="119">
        <v>0</v>
      </c>
      <c r="H1074" s="119" t="s">
        <v>475</v>
      </c>
      <c r="I1074" s="119" t="s">
        <v>82</v>
      </c>
    </row>
    <row r="1075" spans="1:15" ht="13">
      <c r="A1075" s="118">
        <v>46174</v>
      </c>
      <c r="B1075" s="119">
        <v>7002627373</v>
      </c>
      <c r="C1075" s="119" t="s">
        <v>520</v>
      </c>
      <c r="D1075" s="119" t="s">
        <v>476</v>
      </c>
      <c r="E1075" s="119" t="s">
        <v>452</v>
      </c>
      <c r="F1075" s="119" t="s">
        <v>90</v>
      </c>
      <c r="G1075" s="119">
        <v>0</v>
      </c>
      <c r="H1075" s="119" t="s">
        <v>475</v>
      </c>
      <c r="I1075" s="119" t="s">
        <v>82</v>
      </c>
    </row>
    <row r="1076" spans="1:15" ht="13">
      <c r="A1076" s="118">
        <v>46174</v>
      </c>
      <c r="B1076" s="119">
        <v>7002624614</v>
      </c>
      <c r="C1076" s="119" t="s">
        <v>520</v>
      </c>
      <c r="D1076" s="119" t="s">
        <v>474</v>
      </c>
      <c r="E1076" s="119" t="s">
        <v>450</v>
      </c>
      <c r="F1076" s="119" t="s">
        <v>90</v>
      </c>
      <c r="G1076" s="119">
        <v>1</v>
      </c>
      <c r="H1076" s="119" t="s">
        <v>475</v>
      </c>
      <c r="I1076" s="119" t="s">
        <v>82</v>
      </c>
    </row>
    <row r="1077" spans="1:15" ht="13">
      <c r="A1077" s="118">
        <v>46174</v>
      </c>
      <c r="B1077" s="119">
        <v>7002626433</v>
      </c>
      <c r="C1077" s="119" t="s">
        <v>520</v>
      </c>
      <c r="D1077" s="119" t="s">
        <v>476</v>
      </c>
      <c r="E1077" s="119" t="s">
        <v>452</v>
      </c>
      <c r="F1077" s="119" t="s">
        <v>90</v>
      </c>
      <c r="G1077" s="119">
        <v>0</v>
      </c>
      <c r="H1077" s="119" t="s">
        <v>475</v>
      </c>
      <c r="I1077" s="119" t="s">
        <v>82</v>
      </c>
    </row>
    <row r="1078" spans="1:15" ht="13">
      <c r="A1078" s="118">
        <v>46174</v>
      </c>
      <c r="B1078" s="119">
        <v>7002626091</v>
      </c>
      <c r="C1078" s="119" t="s">
        <v>520</v>
      </c>
      <c r="D1078" s="119" t="s">
        <v>476</v>
      </c>
      <c r="E1078" s="119" t="s">
        <v>533</v>
      </c>
      <c r="F1078" s="119" t="s">
        <v>90</v>
      </c>
      <c r="G1078" s="119">
        <v>99</v>
      </c>
      <c r="H1078" s="119" t="s">
        <v>475</v>
      </c>
      <c r="I1078" s="119" t="s">
        <v>505</v>
      </c>
    </row>
    <row r="1079" spans="1:15" ht="13">
      <c r="A1079" s="109"/>
      <c r="B1079" s="110"/>
      <c r="C1079" s="110"/>
      <c r="D1079" s="110"/>
      <c r="E1079" s="110"/>
      <c r="F1079" s="110"/>
      <c r="G1079" s="110"/>
      <c r="H1079" s="110"/>
      <c r="I1079" s="110"/>
    </row>
    <row r="1080" spans="1:15" ht="13">
      <c r="A1080" s="109"/>
      <c r="B1080" s="110"/>
      <c r="C1080" s="110"/>
      <c r="D1080" s="110"/>
      <c r="E1080" s="110"/>
      <c r="F1080" s="110"/>
      <c r="G1080" s="110"/>
      <c r="H1080" s="110"/>
      <c r="I1080" s="110"/>
    </row>
    <row r="1081" spans="1:15" ht="14">
      <c r="A1081" s="105" t="s">
        <v>1</v>
      </c>
      <c r="B1081" s="105" t="s">
        <v>445</v>
      </c>
      <c r="C1081" s="105" t="s">
        <v>446</v>
      </c>
      <c r="D1081" s="105" t="s">
        <v>465</v>
      </c>
      <c r="E1081" s="105" t="s">
        <v>70</v>
      </c>
      <c r="F1081" s="105" t="s">
        <v>447</v>
      </c>
      <c r="G1081" s="105" t="s">
        <v>71</v>
      </c>
      <c r="H1081" s="105" t="s">
        <v>466</v>
      </c>
      <c r="I1081" s="105" t="s">
        <v>448</v>
      </c>
      <c r="K1081" s="214">
        <v>46175</v>
      </c>
      <c r="L1081" s="196"/>
      <c r="M1081" s="196"/>
      <c r="N1081" s="196"/>
      <c r="O1081" s="197"/>
    </row>
    <row r="1082" spans="1:15" ht="14.5">
      <c r="A1082" s="118">
        <v>46175</v>
      </c>
      <c r="B1082" s="119">
        <v>7002562281</v>
      </c>
      <c r="C1082" s="119" t="s">
        <v>562</v>
      </c>
      <c r="D1082" s="119" t="s">
        <v>476</v>
      </c>
      <c r="E1082" s="119" t="s">
        <v>450</v>
      </c>
      <c r="F1082" s="119" t="s">
        <v>459</v>
      </c>
      <c r="G1082" s="119">
        <v>17</v>
      </c>
      <c r="H1082" s="119" t="s">
        <v>472</v>
      </c>
      <c r="I1082" s="119" t="s">
        <v>82</v>
      </c>
      <c r="K1082" s="123" t="s">
        <v>529</v>
      </c>
      <c r="L1082" s="123" t="s">
        <v>74</v>
      </c>
      <c r="M1082" s="123"/>
      <c r="N1082" s="123"/>
      <c r="O1082" s="123"/>
    </row>
    <row r="1083" spans="1:15" ht="14.5">
      <c r="A1083" s="118">
        <v>46175</v>
      </c>
      <c r="B1083" s="119">
        <v>7002576672</v>
      </c>
      <c r="C1083" s="119" t="s">
        <v>563</v>
      </c>
      <c r="D1083" s="119" t="s">
        <v>478</v>
      </c>
      <c r="E1083" s="119" t="s">
        <v>554</v>
      </c>
      <c r="F1083" s="119" t="s">
        <v>459</v>
      </c>
      <c r="G1083" s="119">
        <v>3</v>
      </c>
      <c r="H1083" s="119" t="s">
        <v>472</v>
      </c>
      <c r="I1083" s="119" t="s">
        <v>82</v>
      </c>
      <c r="K1083" s="123" t="s">
        <v>62</v>
      </c>
      <c r="L1083" s="123" t="s">
        <v>503</v>
      </c>
      <c r="M1083" s="123" t="s">
        <v>82</v>
      </c>
      <c r="N1083" s="123" t="s">
        <v>505</v>
      </c>
      <c r="O1083" s="123" t="s">
        <v>84</v>
      </c>
    </row>
    <row r="1084" spans="1:15" ht="14.5">
      <c r="A1084" s="118">
        <v>46175</v>
      </c>
      <c r="B1084" s="119">
        <v>7002703816</v>
      </c>
      <c r="C1084" s="119" t="s">
        <v>564</v>
      </c>
      <c r="D1084" s="119" t="s">
        <v>489</v>
      </c>
      <c r="E1084" s="119" t="s">
        <v>528</v>
      </c>
      <c r="F1084" s="119" t="s">
        <v>96</v>
      </c>
      <c r="G1084" s="119">
        <v>5</v>
      </c>
      <c r="H1084" s="119" t="s">
        <v>472</v>
      </c>
      <c r="I1084" s="119" t="s">
        <v>505</v>
      </c>
      <c r="K1084" s="113" t="s">
        <v>475</v>
      </c>
      <c r="L1084" s="103">
        <v>3</v>
      </c>
      <c r="M1084" s="103">
        <v>56</v>
      </c>
      <c r="N1084" s="103"/>
      <c r="O1084" s="103">
        <v>59</v>
      </c>
    </row>
    <row r="1085" spans="1:15" ht="14.5">
      <c r="A1085" s="118">
        <v>46175</v>
      </c>
      <c r="B1085" s="119">
        <v>7002722493</v>
      </c>
      <c r="C1085" s="119" t="s">
        <v>564</v>
      </c>
      <c r="D1085" s="119" t="s">
        <v>489</v>
      </c>
      <c r="E1085" s="119" t="s">
        <v>98</v>
      </c>
      <c r="F1085" s="119" t="s">
        <v>108</v>
      </c>
      <c r="G1085" s="119">
        <v>4</v>
      </c>
      <c r="H1085" s="119" t="s">
        <v>472</v>
      </c>
      <c r="I1085" s="119" t="s">
        <v>82</v>
      </c>
      <c r="K1085" s="103" t="s">
        <v>524</v>
      </c>
      <c r="L1085" s="103"/>
      <c r="M1085" s="103">
        <v>56</v>
      </c>
      <c r="N1085" s="103"/>
      <c r="O1085" s="103">
        <v>56</v>
      </c>
    </row>
    <row r="1086" spans="1:15" ht="14.5">
      <c r="A1086" s="118">
        <v>46175</v>
      </c>
      <c r="B1086" s="119">
        <v>7002511809</v>
      </c>
      <c r="C1086" s="119" t="s">
        <v>562</v>
      </c>
      <c r="D1086" s="119" t="s">
        <v>476</v>
      </c>
      <c r="E1086" s="119" t="s">
        <v>450</v>
      </c>
      <c r="F1086" s="119" t="s">
        <v>459</v>
      </c>
      <c r="G1086" s="119">
        <v>4</v>
      </c>
      <c r="H1086" s="119" t="s">
        <v>472</v>
      </c>
      <c r="I1086" s="119" t="s">
        <v>82</v>
      </c>
      <c r="K1086" s="103" t="s">
        <v>565</v>
      </c>
      <c r="L1086" s="103">
        <v>1</v>
      </c>
      <c r="M1086" s="103"/>
      <c r="N1086" s="103"/>
      <c r="O1086" s="103">
        <v>1</v>
      </c>
    </row>
    <row r="1087" spans="1:15" ht="14.5">
      <c r="A1087" s="118">
        <v>46175</v>
      </c>
      <c r="B1087" s="119">
        <v>7002693778</v>
      </c>
      <c r="C1087" s="119" t="s">
        <v>564</v>
      </c>
      <c r="D1087" s="119" t="s">
        <v>489</v>
      </c>
      <c r="E1087" s="119" t="s">
        <v>91</v>
      </c>
      <c r="F1087" s="119" t="s">
        <v>96</v>
      </c>
      <c r="G1087" s="119">
        <v>1</v>
      </c>
      <c r="H1087" s="119" t="s">
        <v>472</v>
      </c>
      <c r="I1087" s="119" t="s">
        <v>505</v>
      </c>
      <c r="K1087" s="103" t="s">
        <v>559</v>
      </c>
      <c r="L1087" s="103">
        <v>1</v>
      </c>
      <c r="M1087" s="103"/>
      <c r="N1087" s="103"/>
      <c r="O1087" s="103">
        <v>1</v>
      </c>
    </row>
    <row r="1088" spans="1:15" ht="14.5">
      <c r="A1088" s="118">
        <v>46175</v>
      </c>
      <c r="B1088" s="119">
        <v>7002676389</v>
      </c>
      <c r="C1088" s="119" t="s">
        <v>453</v>
      </c>
      <c r="D1088" s="119" t="s">
        <v>478</v>
      </c>
      <c r="E1088" s="119" t="s">
        <v>463</v>
      </c>
      <c r="F1088" s="119" t="s">
        <v>96</v>
      </c>
      <c r="G1088" s="119">
        <v>1</v>
      </c>
      <c r="H1088" s="119" t="s">
        <v>472</v>
      </c>
      <c r="I1088" s="119" t="s">
        <v>82</v>
      </c>
      <c r="K1088" s="103" t="s">
        <v>566</v>
      </c>
      <c r="L1088" s="103">
        <v>1</v>
      </c>
      <c r="M1088" s="103"/>
      <c r="N1088" s="103"/>
      <c r="O1088" s="103">
        <v>1</v>
      </c>
    </row>
    <row r="1089" spans="1:15" ht="14.5">
      <c r="A1089" s="118">
        <v>46175</v>
      </c>
      <c r="B1089" s="119">
        <v>7002716925</v>
      </c>
      <c r="C1089" s="119" t="s">
        <v>524</v>
      </c>
      <c r="D1089" s="119" t="s">
        <v>474</v>
      </c>
      <c r="E1089" s="119" t="s">
        <v>461</v>
      </c>
      <c r="F1089" s="119" t="s">
        <v>90</v>
      </c>
      <c r="G1089" s="119">
        <v>4</v>
      </c>
      <c r="H1089" s="119" t="s">
        <v>475</v>
      </c>
      <c r="I1089" s="119" t="s">
        <v>82</v>
      </c>
      <c r="K1089" s="113" t="s">
        <v>472</v>
      </c>
      <c r="L1089" s="103"/>
      <c r="M1089" s="103">
        <v>5</v>
      </c>
      <c r="N1089" s="103">
        <v>2</v>
      </c>
      <c r="O1089" s="103">
        <v>7</v>
      </c>
    </row>
    <row r="1090" spans="1:15" ht="14.5">
      <c r="A1090" s="118">
        <v>46175</v>
      </c>
      <c r="B1090" s="119">
        <v>7002716902</v>
      </c>
      <c r="C1090" s="119" t="s">
        <v>524</v>
      </c>
      <c r="D1090" s="119" t="s">
        <v>474</v>
      </c>
      <c r="E1090" s="119" t="s">
        <v>461</v>
      </c>
      <c r="F1090" s="119" t="s">
        <v>90</v>
      </c>
      <c r="G1090" s="119">
        <v>6</v>
      </c>
      <c r="H1090" s="119" t="s">
        <v>475</v>
      </c>
      <c r="I1090" s="119" t="s">
        <v>82</v>
      </c>
      <c r="K1090" s="103" t="s">
        <v>564</v>
      </c>
      <c r="L1090" s="103"/>
      <c r="M1090" s="103">
        <v>1</v>
      </c>
      <c r="N1090" s="103">
        <v>2</v>
      </c>
      <c r="O1090" s="103">
        <v>3</v>
      </c>
    </row>
    <row r="1091" spans="1:15" ht="14.5">
      <c r="A1091" s="118">
        <v>46175</v>
      </c>
      <c r="B1091" s="119">
        <v>7002723290</v>
      </c>
      <c r="C1091" s="119" t="s">
        <v>524</v>
      </c>
      <c r="D1091" s="119" t="s">
        <v>515</v>
      </c>
      <c r="E1091" s="119" t="s">
        <v>470</v>
      </c>
      <c r="F1091" s="119" t="s">
        <v>90</v>
      </c>
      <c r="G1091" s="119">
        <v>74</v>
      </c>
      <c r="H1091" s="119" t="s">
        <v>475</v>
      </c>
      <c r="I1091" s="119" t="s">
        <v>82</v>
      </c>
      <c r="K1091" s="103" t="s">
        <v>562</v>
      </c>
      <c r="L1091" s="103"/>
      <c r="M1091" s="103">
        <v>2</v>
      </c>
      <c r="N1091" s="103"/>
      <c r="O1091" s="103">
        <v>2</v>
      </c>
    </row>
    <row r="1092" spans="1:15" ht="14.5">
      <c r="A1092" s="118">
        <v>46175</v>
      </c>
      <c r="B1092" s="119">
        <v>7002743433</v>
      </c>
      <c r="C1092" s="119" t="s">
        <v>524</v>
      </c>
      <c r="D1092" s="119" t="s">
        <v>515</v>
      </c>
      <c r="E1092" s="119" t="s">
        <v>470</v>
      </c>
      <c r="F1092" s="119" t="s">
        <v>90</v>
      </c>
      <c r="G1092" s="119">
        <v>29</v>
      </c>
      <c r="H1092" s="119" t="s">
        <v>475</v>
      </c>
      <c r="I1092" s="119" t="s">
        <v>82</v>
      </c>
      <c r="K1092" s="103" t="s">
        <v>453</v>
      </c>
      <c r="L1092" s="103"/>
      <c r="M1092" s="103">
        <v>1</v>
      </c>
      <c r="N1092" s="103"/>
      <c r="O1092" s="103">
        <v>1</v>
      </c>
    </row>
    <row r="1093" spans="1:15" ht="14.5">
      <c r="A1093" s="118">
        <v>46175</v>
      </c>
      <c r="B1093" s="119">
        <v>7002743405</v>
      </c>
      <c r="C1093" s="119" t="s">
        <v>524</v>
      </c>
      <c r="D1093" s="119" t="s">
        <v>474</v>
      </c>
      <c r="E1093" s="119" t="s">
        <v>463</v>
      </c>
      <c r="F1093" s="119" t="s">
        <v>90</v>
      </c>
      <c r="G1093" s="119">
        <v>2</v>
      </c>
      <c r="H1093" s="119" t="s">
        <v>475</v>
      </c>
      <c r="I1093" s="119" t="s">
        <v>82</v>
      </c>
      <c r="K1093" s="103" t="s">
        <v>563</v>
      </c>
      <c r="L1093" s="103"/>
      <c r="M1093" s="103">
        <v>1</v>
      </c>
      <c r="N1093" s="103"/>
      <c r="O1093" s="103">
        <v>1</v>
      </c>
    </row>
    <row r="1094" spans="1:15" ht="14.5">
      <c r="A1094" s="118">
        <v>46175</v>
      </c>
      <c r="B1094" s="119">
        <v>7002747396</v>
      </c>
      <c r="C1094" s="119" t="s">
        <v>524</v>
      </c>
      <c r="D1094" s="119" t="s">
        <v>474</v>
      </c>
      <c r="E1094" s="119" t="s">
        <v>463</v>
      </c>
      <c r="F1094" s="119" t="s">
        <v>90</v>
      </c>
      <c r="G1094" s="119">
        <v>2</v>
      </c>
      <c r="H1094" s="119" t="s">
        <v>475</v>
      </c>
      <c r="I1094" s="119" t="s">
        <v>82</v>
      </c>
      <c r="K1094" s="123" t="s">
        <v>84</v>
      </c>
      <c r="L1094" s="123">
        <v>3</v>
      </c>
      <c r="M1094" s="123">
        <v>61</v>
      </c>
      <c r="N1094" s="123">
        <v>2</v>
      </c>
      <c r="O1094" s="123">
        <v>66</v>
      </c>
    </row>
    <row r="1095" spans="1:15" ht="13">
      <c r="A1095" s="118">
        <v>46175</v>
      </c>
      <c r="B1095" s="119">
        <v>7002743386</v>
      </c>
      <c r="C1095" s="119" t="s">
        <v>524</v>
      </c>
      <c r="D1095" s="119" t="s">
        <v>474</v>
      </c>
      <c r="E1095" s="119" t="s">
        <v>463</v>
      </c>
      <c r="F1095" s="119" t="s">
        <v>90</v>
      </c>
      <c r="G1095" s="119">
        <v>1</v>
      </c>
      <c r="H1095" s="119" t="s">
        <v>475</v>
      </c>
      <c r="I1095" s="119" t="s">
        <v>82</v>
      </c>
    </row>
    <row r="1096" spans="1:15" ht="13">
      <c r="A1096" s="118">
        <v>46175</v>
      </c>
      <c r="B1096" s="119">
        <v>7002712953</v>
      </c>
      <c r="C1096" s="119" t="s">
        <v>524</v>
      </c>
      <c r="D1096" s="119" t="s">
        <v>474</v>
      </c>
      <c r="E1096" s="119" t="s">
        <v>461</v>
      </c>
      <c r="F1096" s="119" t="s">
        <v>90</v>
      </c>
      <c r="G1096" s="119">
        <v>7</v>
      </c>
      <c r="H1096" s="119" t="s">
        <v>475</v>
      </c>
      <c r="I1096" s="119" t="s">
        <v>82</v>
      </c>
    </row>
    <row r="1097" spans="1:15" ht="13">
      <c r="A1097" s="118">
        <v>46175</v>
      </c>
      <c r="B1097" s="119">
        <v>7002742387</v>
      </c>
      <c r="C1097" s="119" t="s">
        <v>524</v>
      </c>
      <c r="D1097" s="119" t="s">
        <v>474</v>
      </c>
      <c r="E1097" s="119" t="s">
        <v>463</v>
      </c>
      <c r="F1097" s="119" t="s">
        <v>90</v>
      </c>
      <c r="G1097" s="119">
        <v>2</v>
      </c>
      <c r="H1097" s="119" t="s">
        <v>475</v>
      </c>
      <c r="I1097" s="119" t="s">
        <v>82</v>
      </c>
    </row>
    <row r="1098" spans="1:15" ht="13">
      <c r="A1098" s="118">
        <v>46175</v>
      </c>
      <c r="B1098" s="119">
        <v>7002725284</v>
      </c>
      <c r="C1098" s="119" t="s">
        <v>524</v>
      </c>
      <c r="D1098" s="119" t="s">
        <v>515</v>
      </c>
      <c r="E1098" s="119" t="s">
        <v>470</v>
      </c>
      <c r="F1098" s="119" t="s">
        <v>90</v>
      </c>
      <c r="G1098" s="119">
        <v>97</v>
      </c>
      <c r="H1098" s="119" t="s">
        <v>475</v>
      </c>
      <c r="I1098" s="119" t="s">
        <v>82</v>
      </c>
    </row>
    <row r="1099" spans="1:15" ht="13">
      <c r="A1099" s="118">
        <v>46175</v>
      </c>
      <c r="B1099" s="119">
        <v>7002723023</v>
      </c>
      <c r="C1099" s="119" t="s">
        <v>524</v>
      </c>
      <c r="D1099" s="119" t="s">
        <v>474</v>
      </c>
      <c r="E1099" s="119" t="s">
        <v>461</v>
      </c>
      <c r="F1099" s="119" t="s">
        <v>90</v>
      </c>
      <c r="G1099" s="119">
        <v>1</v>
      </c>
      <c r="H1099" s="119" t="s">
        <v>475</v>
      </c>
      <c r="I1099" s="119" t="s">
        <v>82</v>
      </c>
    </row>
    <row r="1100" spans="1:15" ht="13">
      <c r="A1100" s="118">
        <v>46175</v>
      </c>
      <c r="B1100" s="119">
        <v>7002741411</v>
      </c>
      <c r="C1100" s="119" t="s">
        <v>524</v>
      </c>
      <c r="D1100" s="119" t="s">
        <v>474</v>
      </c>
      <c r="E1100" s="119" t="s">
        <v>463</v>
      </c>
      <c r="F1100" s="119" t="s">
        <v>90</v>
      </c>
      <c r="G1100" s="119">
        <v>1</v>
      </c>
      <c r="H1100" s="119" t="s">
        <v>475</v>
      </c>
      <c r="I1100" s="119" t="s">
        <v>82</v>
      </c>
    </row>
    <row r="1101" spans="1:15" ht="13">
      <c r="A1101" s="118">
        <v>46175</v>
      </c>
      <c r="B1101" s="119">
        <v>7002741374</v>
      </c>
      <c r="C1101" s="119" t="s">
        <v>524</v>
      </c>
      <c r="D1101" s="119" t="s">
        <v>474</v>
      </c>
      <c r="E1101" s="119" t="s">
        <v>463</v>
      </c>
      <c r="F1101" s="119" t="s">
        <v>90</v>
      </c>
      <c r="G1101" s="119">
        <v>2</v>
      </c>
      <c r="H1101" s="119" t="s">
        <v>475</v>
      </c>
      <c r="I1101" s="119" t="s">
        <v>82</v>
      </c>
    </row>
    <row r="1102" spans="1:15" ht="13">
      <c r="A1102" s="118">
        <v>46175</v>
      </c>
      <c r="B1102" s="119">
        <v>7002698562</v>
      </c>
      <c r="C1102" s="119" t="s">
        <v>524</v>
      </c>
      <c r="D1102" s="119" t="s">
        <v>474</v>
      </c>
      <c r="E1102" s="119" t="s">
        <v>461</v>
      </c>
      <c r="F1102" s="119" t="s">
        <v>90</v>
      </c>
      <c r="G1102" s="119">
        <v>4</v>
      </c>
      <c r="H1102" s="119" t="s">
        <v>475</v>
      </c>
      <c r="I1102" s="119" t="s">
        <v>82</v>
      </c>
    </row>
    <row r="1103" spans="1:15" ht="13">
      <c r="A1103" s="118">
        <v>46175</v>
      </c>
      <c r="B1103" s="119">
        <v>7002626091</v>
      </c>
      <c r="C1103" s="119" t="s">
        <v>566</v>
      </c>
      <c r="D1103" s="119" t="s">
        <v>476</v>
      </c>
      <c r="E1103" s="119" t="s">
        <v>533</v>
      </c>
      <c r="F1103" s="119" t="s">
        <v>90</v>
      </c>
      <c r="G1103" s="119">
        <v>99</v>
      </c>
      <c r="H1103" s="119" t="s">
        <v>475</v>
      </c>
      <c r="I1103" s="119" t="s">
        <v>503</v>
      </c>
    </row>
    <row r="1104" spans="1:15" ht="13">
      <c r="A1104" s="118">
        <v>46175</v>
      </c>
      <c r="B1104" s="119">
        <v>7002746376</v>
      </c>
      <c r="C1104" s="119" t="s">
        <v>524</v>
      </c>
      <c r="D1104" s="119" t="s">
        <v>474</v>
      </c>
      <c r="E1104" s="119" t="s">
        <v>463</v>
      </c>
      <c r="F1104" s="119" t="s">
        <v>90</v>
      </c>
      <c r="G1104" s="119">
        <v>2</v>
      </c>
      <c r="H1104" s="119" t="s">
        <v>475</v>
      </c>
      <c r="I1104" s="119" t="s">
        <v>82</v>
      </c>
    </row>
    <row r="1105" spans="1:9" ht="13">
      <c r="A1105" s="118">
        <v>46175</v>
      </c>
      <c r="B1105" s="119">
        <v>7002745550</v>
      </c>
      <c r="C1105" s="119" t="s">
        <v>524</v>
      </c>
      <c r="D1105" s="119" t="s">
        <v>474</v>
      </c>
      <c r="E1105" s="119" t="s">
        <v>91</v>
      </c>
      <c r="F1105" s="119" t="s">
        <v>90</v>
      </c>
      <c r="G1105" s="119">
        <v>1</v>
      </c>
      <c r="H1105" s="119" t="s">
        <v>475</v>
      </c>
      <c r="I1105" s="119" t="s">
        <v>82</v>
      </c>
    </row>
    <row r="1106" spans="1:9" ht="13">
      <c r="A1106" s="118">
        <v>46175</v>
      </c>
      <c r="B1106" s="119">
        <v>7002749401</v>
      </c>
      <c r="C1106" s="119" t="s">
        <v>524</v>
      </c>
      <c r="D1106" s="119" t="s">
        <v>474</v>
      </c>
      <c r="E1106" s="119" t="s">
        <v>463</v>
      </c>
      <c r="F1106" s="119" t="s">
        <v>90</v>
      </c>
      <c r="G1106" s="119">
        <v>1</v>
      </c>
      <c r="H1106" s="119" t="s">
        <v>475</v>
      </c>
      <c r="I1106" s="119" t="s">
        <v>82</v>
      </c>
    </row>
    <row r="1107" spans="1:9" ht="13">
      <c r="A1107" s="118">
        <v>46175</v>
      </c>
      <c r="B1107" s="119">
        <v>7002749398</v>
      </c>
      <c r="C1107" s="119" t="s">
        <v>524</v>
      </c>
      <c r="D1107" s="119" t="s">
        <v>474</v>
      </c>
      <c r="E1107" s="119" t="s">
        <v>463</v>
      </c>
      <c r="F1107" s="119" t="s">
        <v>90</v>
      </c>
      <c r="G1107" s="119">
        <v>2</v>
      </c>
      <c r="H1107" s="119" t="s">
        <v>475</v>
      </c>
      <c r="I1107" s="119" t="s">
        <v>82</v>
      </c>
    </row>
    <row r="1108" spans="1:9" ht="13">
      <c r="A1108" s="118">
        <v>46175</v>
      </c>
      <c r="B1108" s="119">
        <v>7002693695</v>
      </c>
      <c r="C1108" s="119" t="s">
        <v>524</v>
      </c>
      <c r="D1108" s="119" t="s">
        <v>474</v>
      </c>
      <c r="E1108" s="119" t="s">
        <v>525</v>
      </c>
      <c r="F1108" s="119" t="s">
        <v>90</v>
      </c>
      <c r="G1108" s="119">
        <v>356</v>
      </c>
      <c r="H1108" s="119" t="s">
        <v>475</v>
      </c>
      <c r="I1108" s="119" t="s">
        <v>82</v>
      </c>
    </row>
    <row r="1109" spans="1:9" ht="13">
      <c r="A1109" s="118">
        <v>46175</v>
      </c>
      <c r="B1109" s="119">
        <v>7002693365</v>
      </c>
      <c r="C1109" s="119" t="s">
        <v>524</v>
      </c>
      <c r="D1109" s="119" t="s">
        <v>474</v>
      </c>
      <c r="E1109" s="119" t="s">
        <v>485</v>
      </c>
      <c r="F1109" s="119" t="s">
        <v>90</v>
      </c>
      <c r="G1109" s="119">
        <v>78</v>
      </c>
      <c r="H1109" s="119" t="s">
        <v>475</v>
      </c>
      <c r="I1109" s="119" t="s">
        <v>82</v>
      </c>
    </row>
    <row r="1110" spans="1:9" ht="13">
      <c r="A1110" s="118">
        <v>46175</v>
      </c>
      <c r="B1110" s="119">
        <v>7002745402</v>
      </c>
      <c r="C1110" s="119" t="s">
        <v>524</v>
      </c>
      <c r="D1110" s="119" t="s">
        <v>474</v>
      </c>
      <c r="E1110" s="119" t="s">
        <v>463</v>
      </c>
      <c r="F1110" s="119" t="s">
        <v>90</v>
      </c>
      <c r="G1110" s="119">
        <v>1</v>
      </c>
      <c r="H1110" s="119" t="s">
        <v>475</v>
      </c>
      <c r="I1110" s="119" t="s">
        <v>82</v>
      </c>
    </row>
    <row r="1111" spans="1:9" ht="13">
      <c r="A1111" s="118">
        <v>46175</v>
      </c>
      <c r="B1111" s="119">
        <v>7002699571</v>
      </c>
      <c r="C1111" s="119" t="s">
        <v>524</v>
      </c>
      <c r="D1111" s="119" t="s">
        <v>474</v>
      </c>
      <c r="E1111" s="119" t="s">
        <v>461</v>
      </c>
      <c r="F1111" s="119" t="s">
        <v>90</v>
      </c>
      <c r="G1111" s="119">
        <v>3</v>
      </c>
      <c r="H1111" s="119" t="s">
        <v>475</v>
      </c>
      <c r="I1111" s="119" t="s">
        <v>82</v>
      </c>
    </row>
    <row r="1112" spans="1:9" ht="13">
      <c r="A1112" s="118">
        <v>46175</v>
      </c>
      <c r="B1112" s="119">
        <v>7002740586</v>
      </c>
      <c r="C1112" s="119" t="s">
        <v>524</v>
      </c>
      <c r="D1112" s="119" t="s">
        <v>474</v>
      </c>
      <c r="E1112" s="119" t="s">
        <v>91</v>
      </c>
      <c r="F1112" s="119" t="s">
        <v>90</v>
      </c>
      <c r="G1112" s="119">
        <v>1</v>
      </c>
      <c r="H1112" s="119" t="s">
        <v>475</v>
      </c>
      <c r="I1112" s="119" t="s">
        <v>82</v>
      </c>
    </row>
    <row r="1113" spans="1:9" ht="13">
      <c r="A1113" s="118">
        <v>46175</v>
      </c>
      <c r="B1113" s="119">
        <v>7002696133</v>
      </c>
      <c r="C1113" s="119" t="s">
        <v>524</v>
      </c>
      <c r="D1113" s="119" t="s">
        <v>474</v>
      </c>
      <c r="E1113" s="119" t="s">
        <v>461</v>
      </c>
      <c r="F1113" s="119" t="s">
        <v>90</v>
      </c>
      <c r="G1113" s="119">
        <v>1</v>
      </c>
      <c r="H1113" s="119" t="s">
        <v>475</v>
      </c>
      <c r="I1113" s="119" t="s">
        <v>82</v>
      </c>
    </row>
    <row r="1114" spans="1:9" ht="13">
      <c r="A1114" s="118">
        <v>46175</v>
      </c>
      <c r="B1114" s="119">
        <v>7002747436</v>
      </c>
      <c r="C1114" s="119" t="s">
        <v>524</v>
      </c>
      <c r="D1114" s="119" t="s">
        <v>515</v>
      </c>
      <c r="E1114" s="119" t="s">
        <v>470</v>
      </c>
      <c r="F1114" s="119" t="s">
        <v>90</v>
      </c>
      <c r="G1114" s="119">
        <v>53</v>
      </c>
      <c r="H1114" s="119" t="s">
        <v>475</v>
      </c>
      <c r="I1114" s="119" t="s">
        <v>82</v>
      </c>
    </row>
    <row r="1115" spans="1:9" ht="13">
      <c r="A1115" s="118">
        <v>46175</v>
      </c>
      <c r="B1115" s="119">
        <v>7002745375</v>
      </c>
      <c r="C1115" s="119" t="s">
        <v>524</v>
      </c>
      <c r="D1115" s="119" t="s">
        <v>474</v>
      </c>
      <c r="E1115" s="119" t="s">
        <v>463</v>
      </c>
      <c r="F1115" s="119" t="s">
        <v>90</v>
      </c>
      <c r="G1115" s="119">
        <v>1</v>
      </c>
      <c r="H1115" s="119" t="s">
        <v>475</v>
      </c>
      <c r="I1115" s="119" t="s">
        <v>82</v>
      </c>
    </row>
    <row r="1116" spans="1:9" ht="13">
      <c r="A1116" s="118">
        <v>46175</v>
      </c>
      <c r="B1116" s="119">
        <v>7002693320</v>
      </c>
      <c r="C1116" s="119" t="s">
        <v>524</v>
      </c>
      <c r="D1116" s="119" t="s">
        <v>474</v>
      </c>
      <c r="E1116" s="119" t="s">
        <v>461</v>
      </c>
      <c r="F1116" s="119" t="s">
        <v>90</v>
      </c>
      <c r="G1116" s="119">
        <v>8</v>
      </c>
      <c r="H1116" s="119" t="s">
        <v>475</v>
      </c>
      <c r="I1116" s="119" t="s">
        <v>82</v>
      </c>
    </row>
    <row r="1117" spans="1:9" ht="13">
      <c r="A1117" s="118">
        <v>46175</v>
      </c>
      <c r="B1117" s="119">
        <v>7002745381</v>
      </c>
      <c r="C1117" s="119" t="s">
        <v>524</v>
      </c>
      <c r="D1117" s="119" t="s">
        <v>474</v>
      </c>
      <c r="E1117" s="119" t="s">
        <v>463</v>
      </c>
      <c r="F1117" s="119" t="s">
        <v>90</v>
      </c>
      <c r="G1117" s="119">
        <v>2</v>
      </c>
      <c r="H1117" s="119" t="s">
        <v>475</v>
      </c>
      <c r="I1117" s="119" t="s">
        <v>82</v>
      </c>
    </row>
    <row r="1118" spans="1:9" ht="13">
      <c r="A1118" s="118">
        <v>46175</v>
      </c>
      <c r="B1118" s="119">
        <v>7002739324</v>
      </c>
      <c r="C1118" s="119" t="s">
        <v>524</v>
      </c>
      <c r="D1118" s="119" t="s">
        <v>474</v>
      </c>
      <c r="E1118" s="119" t="s">
        <v>463</v>
      </c>
      <c r="F1118" s="119" t="s">
        <v>90</v>
      </c>
      <c r="G1118" s="119">
        <v>1</v>
      </c>
      <c r="H1118" s="119" t="s">
        <v>475</v>
      </c>
      <c r="I1118" s="119" t="s">
        <v>82</v>
      </c>
    </row>
    <row r="1119" spans="1:9" ht="13">
      <c r="A1119" s="118">
        <v>46175</v>
      </c>
      <c r="B1119" s="119">
        <v>7002680792</v>
      </c>
      <c r="C1119" s="119" t="s">
        <v>524</v>
      </c>
      <c r="D1119" s="119" t="s">
        <v>474</v>
      </c>
      <c r="E1119" s="119" t="s">
        <v>461</v>
      </c>
      <c r="F1119" s="119" t="s">
        <v>90</v>
      </c>
      <c r="G1119" s="119">
        <v>2</v>
      </c>
      <c r="H1119" s="119" t="s">
        <v>475</v>
      </c>
      <c r="I1119" s="119" t="s">
        <v>82</v>
      </c>
    </row>
    <row r="1120" spans="1:9" ht="13">
      <c r="A1120" s="118">
        <v>46175</v>
      </c>
      <c r="B1120" s="119">
        <v>7002740529</v>
      </c>
      <c r="C1120" s="119" t="s">
        <v>524</v>
      </c>
      <c r="D1120" s="119" t="s">
        <v>479</v>
      </c>
      <c r="E1120" s="119" t="s">
        <v>470</v>
      </c>
      <c r="F1120" s="119" t="s">
        <v>90</v>
      </c>
      <c r="G1120" s="119">
        <v>3</v>
      </c>
      <c r="H1120" s="119" t="s">
        <v>475</v>
      </c>
      <c r="I1120" s="119" t="s">
        <v>82</v>
      </c>
    </row>
    <row r="1121" spans="1:9" ht="13">
      <c r="A1121" s="118">
        <v>46175</v>
      </c>
      <c r="B1121" s="119">
        <v>7002680849</v>
      </c>
      <c r="C1121" s="119" t="s">
        <v>524</v>
      </c>
      <c r="D1121" s="119" t="s">
        <v>474</v>
      </c>
      <c r="E1121" s="119" t="s">
        <v>461</v>
      </c>
      <c r="F1121" s="119" t="s">
        <v>90</v>
      </c>
      <c r="G1121" s="119">
        <v>5</v>
      </c>
      <c r="H1121" s="119" t="s">
        <v>475</v>
      </c>
      <c r="I1121" s="119" t="s">
        <v>82</v>
      </c>
    </row>
    <row r="1122" spans="1:9" ht="13">
      <c r="A1122" s="118">
        <v>46175</v>
      </c>
      <c r="B1122" s="119">
        <v>7002680854</v>
      </c>
      <c r="C1122" s="119" t="s">
        <v>524</v>
      </c>
      <c r="D1122" s="119" t="s">
        <v>474</v>
      </c>
      <c r="E1122" s="119" t="s">
        <v>461</v>
      </c>
      <c r="F1122" s="119" t="s">
        <v>90</v>
      </c>
      <c r="G1122" s="119">
        <v>4</v>
      </c>
      <c r="H1122" s="119" t="s">
        <v>475</v>
      </c>
      <c r="I1122" s="119" t="s">
        <v>82</v>
      </c>
    </row>
    <row r="1123" spans="1:9" ht="13">
      <c r="A1123" s="118">
        <v>46175</v>
      </c>
      <c r="B1123" s="119">
        <v>7002681807</v>
      </c>
      <c r="C1123" s="119" t="s">
        <v>524</v>
      </c>
      <c r="D1123" s="119" t="s">
        <v>474</v>
      </c>
      <c r="E1123" s="119" t="s">
        <v>461</v>
      </c>
      <c r="F1123" s="119" t="s">
        <v>90</v>
      </c>
      <c r="G1123" s="119">
        <v>1</v>
      </c>
      <c r="H1123" s="119" t="s">
        <v>475</v>
      </c>
      <c r="I1123" s="119" t="s">
        <v>82</v>
      </c>
    </row>
    <row r="1124" spans="1:9" ht="13">
      <c r="A1124" s="118">
        <v>46175</v>
      </c>
      <c r="B1124" s="119">
        <v>7002681912</v>
      </c>
      <c r="C1124" s="119" t="s">
        <v>524</v>
      </c>
      <c r="D1124" s="119" t="s">
        <v>474</v>
      </c>
      <c r="E1124" s="119" t="s">
        <v>485</v>
      </c>
      <c r="F1124" s="119" t="s">
        <v>90</v>
      </c>
      <c r="G1124" s="119">
        <v>1</v>
      </c>
      <c r="H1124" s="119" t="s">
        <v>475</v>
      </c>
      <c r="I1124" s="119" t="s">
        <v>82</v>
      </c>
    </row>
    <row r="1125" spans="1:9" ht="13">
      <c r="A1125" s="118">
        <v>46175</v>
      </c>
      <c r="B1125" s="119">
        <v>7002682806</v>
      </c>
      <c r="C1125" s="119" t="s">
        <v>524</v>
      </c>
      <c r="D1125" s="119" t="s">
        <v>474</v>
      </c>
      <c r="E1125" s="119" t="s">
        <v>461</v>
      </c>
      <c r="F1125" s="119" t="s">
        <v>90</v>
      </c>
      <c r="G1125" s="119">
        <v>5</v>
      </c>
      <c r="H1125" s="119" t="s">
        <v>475</v>
      </c>
      <c r="I1125" s="119" t="s">
        <v>82</v>
      </c>
    </row>
    <row r="1126" spans="1:9" ht="13">
      <c r="A1126" s="118">
        <v>46175</v>
      </c>
      <c r="B1126" s="119">
        <v>7002713923</v>
      </c>
      <c r="C1126" s="119" t="s">
        <v>524</v>
      </c>
      <c r="D1126" s="119" t="s">
        <v>474</v>
      </c>
      <c r="E1126" s="119" t="s">
        <v>461</v>
      </c>
      <c r="F1126" s="119" t="s">
        <v>90</v>
      </c>
      <c r="G1126" s="119">
        <v>3</v>
      </c>
      <c r="H1126" s="119" t="s">
        <v>475</v>
      </c>
      <c r="I1126" s="119" t="s">
        <v>82</v>
      </c>
    </row>
    <row r="1127" spans="1:9" ht="13">
      <c r="A1127" s="118">
        <v>46175</v>
      </c>
      <c r="B1127" s="119">
        <v>7002535753</v>
      </c>
      <c r="C1127" s="119" t="s">
        <v>565</v>
      </c>
      <c r="D1127" s="119" t="s">
        <v>495</v>
      </c>
      <c r="E1127" s="119" t="s">
        <v>98</v>
      </c>
      <c r="F1127" s="119" t="s">
        <v>90</v>
      </c>
      <c r="G1127" s="119">
        <v>10</v>
      </c>
      <c r="H1127" s="119" t="s">
        <v>475</v>
      </c>
      <c r="I1127" s="119" t="s">
        <v>503</v>
      </c>
    </row>
    <row r="1128" spans="1:9" ht="13">
      <c r="A1128" s="118">
        <v>46175</v>
      </c>
      <c r="B1128" s="119">
        <v>7002682868</v>
      </c>
      <c r="C1128" s="119" t="s">
        <v>524</v>
      </c>
      <c r="D1128" s="119" t="s">
        <v>474</v>
      </c>
      <c r="E1128" s="119" t="s">
        <v>461</v>
      </c>
      <c r="F1128" s="119" t="s">
        <v>90</v>
      </c>
      <c r="G1128" s="119">
        <v>4</v>
      </c>
      <c r="H1128" s="119" t="s">
        <v>475</v>
      </c>
      <c r="I1128" s="119" t="s">
        <v>82</v>
      </c>
    </row>
    <row r="1129" spans="1:9" ht="13">
      <c r="A1129" s="118">
        <v>46175</v>
      </c>
      <c r="B1129" s="119">
        <v>7002714793</v>
      </c>
      <c r="C1129" s="119" t="s">
        <v>524</v>
      </c>
      <c r="D1129" s="119" t="s">
        <v>474</v>
      </c>
      <c r="E1129" s="119" t="s">
        <v>485</v>
      </c>
      <c r="F1129" s="119" t="s">
        <v>90</v>
      </c>
      <c r="G1129" s="119">
        <v>1</v>
      </c>
      <c r="H1129" s="119" t="s">
        <v>475</v>
      </c>
      <c r="I1129" s="119" t="s">
        <v>82</v>
      </c>
    </row>
    <row r="1130" spans="1:9" ht="13">
      <c r="A1130" s="118">
        <v>46175</v>
      </c>
      <c r="B1130" s="119">
        <v>7002685825</v>
      </c>
      <c r="C1130" s="119" t="s">
        <v>524</v>
      </c>
      <c r="D1130" s="119" t="s">
        <v>474</v>
      </c>
      <c r="E1130" s="119" t="s">
        <v>461</v>
      </c>
      <c r="F1130" s="119" t="s">
        <v>90</v>
      </c>
      <c r="G1130" s="119">
        <v>2</v>
      </c>
      <c r="H1130" s="119" t="s">
        <v>475</v>
      </c>
      <c r="I1130" s="119" t="s">
        <v>82</v>
      </c>
    </row>
    <row r="1131" spans="1:9" ht="13">
      <c r="A1131" s="118">
        <v>46175</v>
      </c>
      <c r="B1131" s="119">
        <v>7002688837</v>
      </c>
      <c r="C1131" s="119" t="s">
        <v>524</v>
      </c>
      <c r="D1131" s="119" t="s">
        <v>474</v>
      </c>
      <c r="E1131" s="119" t="s">
        <v>461</v>
      </c>
      <c r="F1131" s="119" t="s">
        <v>90</v>
      </c>
      <c r="G1131" s="119">
        <v>8</v>
      </c>
      <c r="H1131" s="119" t="s">
        <v>475</v>
      </c>
      <c r="I1131" s="119" t="s">
        <v>82</v>
      </c>
    </row>
    <row r="1132" spans="1:9" ht="13">
      <c r="A1132" s="118">
        <v>46175</v>
      </c>
      <c r="B1132" s="119">
        <v>7002687827</v>
      </c>
      <c r="C1132" s="119" t="s">
        <v>524</v>
      </c>
      <c r="D1132" s="119" t="s">
        <v>474</v>
      </c>
      <c r="E1132" s="119" t="s">
        <v>461</v>
      </c>
      <c r="F1132" s="119" t="s">
        <v>90</v>
      </c>
      <c r="G1132" s="119">
        <v>6</v>
      </c>
      <c r="H1132" s="119" t="s">
        <v>475</v>
      </c>
      <c r="I1132" s="119" t="s">
        <v>82</v>
      </c>
    </row>
    <row r="1133" spans="1:9" ht="13">
      <c r="A1133" s="118">
        <v>46175</v>
      </c>
      <c r="B1133" s="119">
        <v>7002513445</v>
      </c>
      <c r="C1133" s="119" t="s">
        <v>559</v>
      </c>
      <c r="D1133" s="119" t="s">
        <v>476</v>
      </c>
      <c r="E1133" s="119" t="s">
        <v>554</v>
      </c>
      <c r="F1133" s="119" t="s">
        <v>90</v>
      </c>
      <c r="G1133" s="119">
        <v>4</v>
      </c>
      <c r="H1133" s="119" t="s">
        <v>475</v>
      </c>
      <c r="I1133" s="119" t="s">
        <v>503</v>
      </c>
    </row>
    <row r="1134" spans="1:9" ht="13">
      <c r="A1134" s="118">
        <v>46175</v>
      </c>
      <c r="B1134" s="119">
        <v>7002689797</v>
      </c>
      <c r="C1134" s="119" t="s">
        <v>524</v>
      </c>
      <c r="D1134" s="119" t="s">
        <v>474</v>
      </c>
      <c r="E1134" s="119" t="s">
        <v>461</v>
      </c>
      <c r="F1134" s="119" t="s">
        <v>90</v>
      </c>
      <c r="G1134" s="119">
        <v>3</v>
      </c>
      <c r="H1134" s="119" t="s">
        <v>475</v>
      </c>
      <c r="I1134" s="119" t="s">
        <v>82</v>
      </c>
    </row>
    <row r="1135" spans="1:9" ht="13">
      <c r="A1135" s="118">
        <v>46175</v>
      </c>
      <c r="B1135" s="119">
        <v>7002686861</v>
      </c>
      <c r="C1135" s="119" t="s">
        <v>524</v>
      </c>
      <c r="D1135" s="119" t="s">
        <v>474</v>
      </c>
      <c r="E1135" s="119" t="s">
        <v>463</v>
      </c>
      <c r="F1135" s="119" t="s">
        <v>90</v>
      </c>
      <c r="G1135" s="119">
        <v>1</v>
      </c>
      <c r="H1135" s="119" t="s">
        <v>475</v>
      </c>
      <c r="I1135" s="119" t="s">
        <v>82</v>
      </c>
    </row>
    <row r="1136" spans="1:9" ht="13">
      <c r="A1136" s="118">
        <v>46175</v>
      </c>
      <c r="B1136" s="119">
        <v>7002686857</v>
      </c>
      <c r="C1136" s="119" t="s">
        <v>524</v>
      </c>
      <c r="D1136" s="119" t="s">
        <v>474</v>
      </c>
      <c r="E1136" s="119" t="s">
        <v>461</v>
      </c>
      <c r="F1136" s="119" t="s">
        <v>90</v>
      </c>
      <c r="G1136" s="119">
        <v>1</v>
      </c>
      <c r="H1136" s="119" t="s">
        <v>475</v>
      </c>
      <c r="I1136" s="119" t="s">
        <v>82</v>
      </c>
    </row>
    <row r="1137" spans="1:15" ht="13">
      <c r="A1137" s="118">
        <v>46175</v>
      </c>
      <c r="B1137" s="119">
        <v>7002715733</v>
      </c>
      <c r="C1137" s="119" t="s">
        <v>524</v>
      </c>
      <c r="D1137" s="119" t="s">
        <v>474</v>
      </c>
      <c r="E1137" s="119" t="s">
        <v>91</v>
      </c>
      <c r="F1137" s="119" t="s">
        <v>90</v>
      </c>
      <c r="G1137" s="119">
        <v>5</v>
      </c>
      <c r="H1137" s="119" t="s">
        <v>475</v>
      </c>
      <c r="I1137" s="119" t="s">
        <v>82</v>
      </c>
    </row>
    <row r="1138" spans="1:15" ht="13">
      <c r="A1138" s="118">
        <v>46175</v>
      </c>
      <c r="B1138" s="119">
        <v>7002714914</v>
      </c>
      <c r="C1138" s="119" t="s">
        <v>524</v>
      </c>
      <c r="D1138" s="119" t="s">
        <v>474</v>
      </c>
      <c r="E1138" s="119" t="s">
        <v>461</v>
      </c>
      <c r="F1138" s="119" t="s">
        <v>90</v>
      </c>
      <c r="G1138" s="119">
        <v>1</v>
      </c>
      <c r="H1138" s="119" t="s">
        <v>475</v>
      </c>
      <c r="I1138" s="119" t="s">
        <v>82</v>
      </c>
    </row>
    <row r="1139" spans="1:15" ht="13">
      <c r="A1139" s="118">
        <v>46175</v>
      </c>
      <c r="B1139" s="119">
        <v>7002685856</v>
      </c>
      <c r="C1139" s="119" t="s">
        <v>524</v>
      </c>
      <c r="D1139" s="119" t="s">
        <v>474</v>
      </c>
      <c r="E1139" s="119" t="s">
        <v>461</v>
      </c>
      <c r="F1139" s="119" t="s">
        <v>90</v>
      </c>
      <c r="G1139" s="119">
        <v>2</v>
      </c>
      <c r="H1139" s="119" t="s">
        <v>475</v>
      </c>
      <c r="I1139" s="119" t="s">
        <v>82</v>
      </c>
    </row>
    <row r="1140" spans="1:15" ht="13">
      <c r="A1140" s="118">
        <v>46175</v>
      </c>
      <c r="B1140" s="119">
        <v>7002686826</v>
      </c>
      <c r="C1140" s="119" t="s">
        <v>524</v>
      </c>
      <c r="D1140" s="119" t="s">
        <v>474</v>
      </c>
      <c r="E1140" s="119" t="s">
        <v>461</v>
      </c>
      <c r="F1140" s="119" t="s">
        <v>90</v>
      </c>
      <c r="G1140" s="119">
        <v>7</v>
      </c>
      <c r="H1140" s="119" t="s">
        <v>475</v>
      </c>
      <c r="I1140" s="119" t="s">
        <v>82</v>
      </c>
    </row>
    <row r="1141" spans="1:15" ht="13">
      <c r="A1141" s="118">
        <v>46175</v>
      </c>
      <c r="B1141" s="119">
        <v>7002690942</v>
      </c>
      <c r="C1141" s="119" t="s">
        <v>524</v>
      </c>
      <c r="D1141" s="119" t="s">
        <v>474</v>
      </c>
      <c r="E1141" s="119" t="s">
        <v>485</v>
      </c>
      <c r="F1141" s="119" t="s">
        <v>90</v>
      </c>
      <c r="G1141" s="119">
        <v>2</v>
      </c>
      <c r="H1141" s="119" t="s">
        <v>475</v>
      </c>
      <c r="I1141" s="119" t="s">
        <v>82</v>
      </c>
    </row>
    <row r="1142" spans="1:15" ht="13">
      <c r="A1142" s="118">
        <v>46175</v>
      </c>
      <c r="B1142" s="119">
        <v>7002680831</v>
      </c>
      <c r="C1142" s="119" t="s">
        <v>524</v>
      </c>
      <c r="D1142" s="119" t="s">
        <v>474</v>
      </c>
      <c r="E1142" s="119" t="s">
        <v>461</v>
      </c>
      <c r="F1142" s="119" t="s">
        <v>90</v>
      </c>
      <c r="G1142" s="119">
        <v>3</v>
      </c>
      <c r="H1142" s="119" t="s">
        <v>475</v>
      </c>
      <c r="I1142" s="119" t="s">
        <v>82</v>
      </c>
    </row>
    <row r="1143" spans="1:15" ht="13">
      <c r="A1143" s="118">
        <v>46175</v>
      </c>
      <c r="B1143" s="119">
        <v>7002737314</v>
      </c>
      <c r="C1143" s="119" t="s">
        <v>524</v>
      </c>
      <c r="D1143" s="119" t="s">
        <v>474</v>
      </c>
      <c r="E1143" s="119" t="s">
        <v>461</v>
      </c>
      <c r="F1143" s="119" t="s">
        <v>90</v>
      </c>
      <c r="G1143" s="119">
        <v>2</v>
      </c>
      <c r="H1143" s="119" t="s">
        <v>475</v>
      </c>
      <c r="I1143" s="119" t="s">
        <v>82</v>
      </c>
    </row>
    <row r="1144" spans="1:15" ht="13">
      <c r="A1144" s="118">
        <v>46175</v>
      </c>
      <c r="B1144" s="119">
        <v>7002733315</v>
      </c>
      <c r="C1144" s="119" t="s">
        <v>524</v>
      </c>
      <c r="D1144" s="119" t="s">
        <v>474</v>
      </c>
      <c r="E1144" s="119" t="s">
        <v>461</v>
      </c>
      <c r="F1144" s="119" t="s">
        <v>90</v>
      </c>
      <c r="G1144" s="119">
        <v>1</v>
      </c>
      <c r="H1144" s="119" t="s">
        <v>475</v>
      </c>
      <c r="I1144" s="119" t="s">
        <v>82</v>
      </c>
    </row>
    <row r="1145" spans="1:15" ht="13">
      <c r="A1145" s="118">
        <v>46175</v>
      </c>
      <c r="B1145" s="119">
        <v>7002733246</v>
      </c>
      <c r="C1145" s="119" t="s">
        <v>524</v>
      </c>
      <c r="D1145" s="119" t="s">
        <v>474</v>
      </c>
      <c r="E1145" s="119" t="s">
        <v>85</v>
      </c>
      <c r="F1145" s="119" t="s">
        <v>90</v>
      </c>
      <c r="G1145" s="119">
        <v>16</v>
      </c>
      <c r="H1145" s="119" t="s">
        <v>475</v>
      </c>
      <c r="I1145" s="119" t="s">
        <v>82</v>
      </c>
    </row>
    <row r="1146" spans="1:15" ht="13">
      <c r="A1146" s="118">
        <v>46175</v>
      </c>
      <c r="B1146" s="119">
        <v>7002713718</v>
      </c>
      <c r="C1146" s="119" t="s">
        <v>524</v>
      </c>
      <c r="D1146" s="119" t="s">
        <v>474</v>
      </c>
      <c r="E1146" s="119" t="s">
        <v>91</v>
      </c>
      <c r="F1146" s="119" t="s">
        <v>90</v>
      </c>
      <c r="G1146" s="119">
        <v>15</v>
      </c>
      <c r="H1146" s="119" t="s">
        <v>475</v>
      </c>
      <c r="I1146" s="119" t="s">
        <v>82</v>
      </c>
    </row>
    <row r="1147" spans="1:15" ht="13">
      <c r="A1147" s="118">
        <v>46175</v>
      </c>
      <c r="B1147" s="119">
        <v>7002747404</v>
      </c>
      <c r="C1147" s="119" t="s">
        <v>524</v>
      </c>
      <c r="D1147" s="119" t="s">
        <v>474</v>
      </c>
      <c r="E1147" s="119" t="s">
        <v>463</v>
      </c>
      <c r="F1147" s="119" t="s">
        <v>90</v>
      </c>
      <c r="G1147" s="119">
        <v>2</v>
      </c>
      <c r="H1147" s="119" t="s">
        <v>475</v>
      </c>
      <c r="I1147" s="119" t="s">
        <v>82</v>
      </c>
    </row>
    <row r="1148" spans="1:15" ht="13">
      <c r="A1148" s="109"/>
      <c r="B1148" s="110"/>
      <c r="C1148" s="110"/>
      <c r="D1148" s="110"/>
      <c r="E1148" s="110"/>
      <c r="F1148" s="110"/>
      <c r="G1148" s="110"/>
      <c r="H1148" s="110"/>
      <c r="I1148" s="110"/>
    </row>
    <row r="1149" spans="1:15" ht="13">
      <c r="A1149" s="109"/>
      <c r="B1149" s="110"/>
      <c r="C1149" s="110"/>
      <c r="D1149" s="110"/>
      <c r="E1149" s="110"/>
      <c r="F1149" s="110"/>
      <c r="G1149" s="110"/>
      <c r="H1149" s="110"/>
      <c r="I1149" s="110"/>
    </row>
    <row r="1150" spans="1:15" ht="13">
      <c r="A1150" s="105" t="s">
        <v>1</v>
      </c>
      <c r="B1150" s="105" t="s">
        <v>445</v>
      </c>
      <c r="C1150" s="105" t="s">
        <v>446</v>
      </c>
      <c r="D1150" s="105" t="s">
        <v>465</v>
      </c>
      <c r="E1150" s="105" t="s">
        <v>70</v>
      </c>
      <c r="F1150" s="105" t="s">
        <v>447</v>
      </c>
      <c r="G1150" s="105" t="s">
        <v>71</v>
      </c>
      <c r="H1150" s="105" t="s">
        <v>466</v>
      </c>
      <c r="I1150" s="105" t="s">
        <v>448</v>
      </c>
    </row>
    <row r="1151" spans="1:15" ht="14">
      <c r="A1151" s="118">
        <v>46176</v>
      </c>
      <c r="B1151" s="119">
        <v>7002703816</v>
      </c>
      <c r="C1151" s="119" t="s">
        <v>567</v>
      </c>
      <c r="D1151" s="119" t="s">
        <v>489</v>
      </c>
      <c r="E1151" s="119" t="s">
        <v>528</v>
      </c>
      <c r="F1151" s="119" t="s">
        <v>96</v>
      </c>
      <c r="G1151" s="119">
        <v>5</v>
      </c>
      <c r="H1151" s="119" t="s">
        <v>472</v>
      </c>
      <c r="I1151" s="119" t="s">
        <v>503</v>
      </c>
      <c r="K1151" s="214">
        <v>46176</v>
      </c>
      <c r="L1151" s="196"/>
      <c r="M1151" s="196"/>
      <c r="N1151" s="196"/>
      <c r="O1151" s="197"/>
    </row>
    <row r="1152" spans="1:15" ht="14">
      <c r="A1152" s="118">
        <v>46176</v>
      </c>
      <c r="B1152" s="119">
        <v>7002727363</v>
      </c>
      <c r="C1152" s="119" t="s">
        <v>568</v>
      </c>
      <c r="D1152" s="119" t="s">
        <v>476</v>
      </c>
      <c r="E1152" s="119" t="s">
        <v>486</v>
      </c>
      <c r="F1152" s="119" t="s">
        <v>462</v>
      </c>
      <c r="G1152" s="119">
        <v>0</v>
      </c>
      <c r="H1152" s="119" t="s">
        <v>472</v>
      </c>
      <c r="I1152" s="119" t="s">
        <v>82</v>
      </c>
      <c r="K1152" s="54" t="s">
        <v>529</v>
      </c>
      <c r="L1152" s="54" t="s">
        <v>74</v>
      </c>
      <c r="M1152" s="54"/>
      <c r="N1152" s="54"/>
      <c r="O1152" s="54"/>
    </row>
    <row r="1153" spans="1:19" ht="14">
      <c r="A1153" s="118">
        <v>46176</v>
      </c>
      <c r="B1153" s="119">
        <v>7002693778</v>
      </c>
      <c r="C1153" s="119" t="s">
        <v>567</v>
      </c>
      <c r="D1153" s="119" t="s">
        <v>489</v>
      </c>
      <c r="E1153" s="119" t="s">
        <v>91</v>
      </c>
      <c r="F1153" s="119" t="s">
        <v>96</v>
      </c>
      <c r="G1153" s="119">
        <v>1</v>
      </c>
      <c r="H1153" s="119" t="s">
        <v>472</v>
      </c>
      <c r="I1153" s="119" t="s">
        <v>503</v>
      </c>
      <c r="K1153" s="54" t="s">
        <v>62</v>
      </c>
      <c r="L1153" s="54" t="s">
        <v>503</v>
      </c>
      <c r="M1153" s="54" t="s">
        <v>82</v>
      </c>
      <c r="N1153" s="54" t="s">
        <v>505</v>
      </c>
      <c r="O1153" s="54" t="s">
        <v>84</v>
      </c>
    </row>
    <row r="1154" spans="1:19" ht="14">
      <c r="A1154" s="118">
        <v>46176</v>
      </c>
      <c r="B1154" s="119">
        <v>7002676412</v>
      </c>
      <c r="C1154" s="119" t="s">
        <v>569</v>
      </c>
      <c r="D1154" s="119" t="s">
        <v>476</v>
      </c>
      <c r="E1154" s="119" t="s">
        <v>488</v>
      </c>
      <c r="F1154" s="119" t="s">
        <v>459</v>
      </c>
      <c r="G1154" s="119">
        <v>0</v>
      </c>
      <c r="H1154" s="119" t="s">
        <v>472</v>
      </c>
      <c r="I1154" s="119" t="s">
        <v>82</v>
      </c>
      <c r="K1154" s="97" t="s">
        <v>475</v>
      </c>
      <c r="L1154" s="97">
        <v>3</v>
      </c>
      <c r="M1154" s="97">
        <v>32</v>
      </c>
      <c r="N1154" s="97"/>
      <c r="O1154" s="97">
        <v>35</v>
      </c>
    </row>
    <row r="1155" spans="1:19" ht="14">
      <c r="A1155" s="118">
        <v>46176</v>
      </c>
      <c r="B1155" s="119">
        <v>7002676389</v>
      </c>
      <c r="C1155" s="119" t="s">
        <v>453</v>
      </c>
      <c r="D1155" s="119" t="s">
        <v>478</v>
      </c>
      <c r="E1155" s="119" t="s">
        <v>463</v>
      </c>
      <c r="F1155" s="119" t="s">
        <v>96</v>
      </c>
      <c r="G1155" s="119">
        <v>1</v>
      </c>
      <c r="H1155" s="119" t="s">
        <v>472</v>
      </c>
      <c r="I1155" s="119" t="s">
        <v>505</v>
      </c>
      <c r="K1155" s="16" t="s">
        <v>524</v>
      </c>
      <c r="L1155" s="16"/>
      <c r="M1155" s="16">
        <v>29</v>
      </c>
      <c r="N1155" s="16"/>
      <c r="O1155" s="16">
        <v>29</v>
      </c>
    </row>
    <row r="1156" spans="1:19" ht="14">
      <c r="A1156" s="118">
        <v>46176</v>
      </c>
      <c r="B1156" s="119">
        <v>7002759670</v>
      </c>
      <c r="C1156" s="119" t="s">
        <v>468</v>
      </c>
      <c r="D1156" s="119" t="s">
        <v>474</v>
      </c>
      <c r="E1156" s="119" t="s">
        <v>103</v>
      </c>
      <c r="F1156" s="119" t="s">
        <v>118</v>
      </c>
      <c r="G1156" s="119">
        <v>2</v>
      </c>
      <c r="H1156" s="119" t="s">
        <v>472</v>
      </c>
      <c r="I1156" s="119" t="s">
        <v>82</v>
      </c>
      <c r="K1156" s="16" t="s">
        <v>569</v>
      </c>
      <c r="L1156" s="16"/>
      <c r="M1156" s="16">
        <v>3</v>
      </c>
      <c r="N1156" s="16"/>
      <c r="O1156" s="16">
        <v>3</v>
      </c>
    </row>
    <row r="1157" spans="1:19" ht="14">
      <c r="A1157" s="118">
        <v>46176</v>
      </c>
      <c r="B1157" s="119">
        <v>7002562281</v>
      </c>
      <c r="C1157" s="119" t="s">
        <v>570</v>
      </c>
      <c r="D1157" s="119" t="s">
        <v>476</v>
      </c>
      <c r="E1157" s="119" t="s">
        <v>450</v>
      </c>
      <c r="F1157" s="119" t="s">
        <v>459</v>
      </c>
      <c r="G1157" s="119">
        <v>17</v>
      </c>
      <c r="H1157" s="119" t="s">
        <v>472</v>
      </c>
      <c r="I1157" s="119" t="s">
        <v>505</v>
      </c>
      <c r="K1157" s="16" t="s">
        <v>571</v>
      </c>
      <c r="L1157" s="16">
        <v>1</v>
      </c>
      <c r="M1157" s="16"/>
      <c r="N1157" s="16"/>
      <c r="O1157" s="16">
        <v>1</v>
      </c>
    </row>
    <row r="1158" spans="1:19" ht="16.5" customHeight="1">
      <c r="A1158" s="118">
        <v>46176</v>
      </c>
      <c r="B1158" s="119">
        <v>7002511809</v>
      </c>
      <c r="C1158" s="119" t="s">
        <v>570</v>
      </c>
      <c r="D1158" s="119" t="s">
        <v>476</v>
      </c>
      <c r="E1158" s="119" t="s">
        <v>450</v>
      </c>
      <c r="F1158" s="119" t="s">
        <v>459</v>
      </c>
      <c r="G1158" s="119">
        <v>4</v>
      </c>
      <c r="H1158" s="119" t="s">
        <v>472</v>
      </c>
      <c r="I1158" s="119" t="s">
        <v>505</v>
      </c>
      <c r="K1158" s="16" t="s">
        <v>572</v>
      </c>
      <c r="L1158" s="16">
        <v>2</v>
      </c>
      <c r="M1158" s="16"/>
      <c r="N1158" s="16"/>
      <c r="O1158" s="16">
        <v>2</v>
      </c>
      <c r="S1158" s="124" t="s">
        <v>573</v>
      </c>
    </row>
    <row r="1159" spans="1:19" ht="14">
      <c r="A1159" s="118">
        <v>46176</v>
      </c>
      <c r="B1159" s="119">
        <v>7002751215</v>
      </c>
      <c r="C1159" s="119" t="s">
        <v>468</v>
      </c>
      <c r="D1159" s="119" t="s">
        <v>474</v>
      </c>
      <c r="E1159" s="119" t="s">
        <v>91</v>
      </c>
      <c r="F1159" s="119" t="s">
        <v>115</v>
      </c>
      <c r="G1159" s="119">
        <v>1</v>
      </c>
      <c r="H1159" s="119" t="s">
        <v>472</v>
      </c>
      <c r="I1159" s="119" t="s">
        <v>82</v>
      </c>
      <c r="K1159" s="97" t="s">
        <v>472</v>
      </c>
      <c r="L1159" s="97">
        <v>2</v>
      </c>
      <c r="M1159" s="97">
        <v>6</v>
      </c>
      <c r="N1159" s="97">
        <v>3</v>
      </c>
      <c r="O1159" s="97">
        <v>11</v>
      </c>
      <c r="S1159" s="124" t="s">
        <v>574</v>
      </c>
    </row>
    <row r="1160" spans="1:19" ht="14">
      <c r="A1160" s="118">
        <v>46176</v>
      </c>
      <c r="B1160" s="119">
        <v>7002676267</v>
      </c>
      <c r="C1160" s="119" t="s">
        <v>569</v>
      </c>
      <c r="D1160" s="119" t="s">
        <v>476</v>
      </c>
      <c r="E1160" s="119" t="s">
        <v>488</v>
      </c>
      <c r="F1160" s="119" t="s">
        <v>459</v>
      </c>
      <c r="G1160" s="119">
        <v>0</v>
      </c>
      <c r="H1160" s="119" t="s">
        <v>472</v>
      </c>
      <c r="I1160" s="119" t="s">
        <v>82</v>
      </c>
      <c r="K1160" s="16" t="s">
        <v>468</v>
      </c>
      <c r="L1160" s="16"/>
      <c r="M1160" s="16">
        <v>2</v>
      </c>
      <c r="N1160" s="16"/>
      <c r="O1160" s="16">
        <v>2</v>
      </c>
    </row>
    <row r="1161" spans="1:19" ht="14">
      <c r="A1161" s="118">
        <v>46176</v>
      </c>
      <c r="B1161" s="119">
        <v>7002677328</v>
      </c>
      <c r="C1161" s="119" t="s">
        <v>569</v>
      </c>
      <c r="D1161" s="119" t="s">
        <v>476</v>
      </c>
      <c r="E1161" s="119" t="s">
        <v>488</v>
      </c>
      <c r="F1161" s="119" t="s">
        <v>459</v>
      </c>
      <c r="G1161" s="119">
        <v>0</v>
      </c>
      <c r="H1161" s="119" t="s">
        <v>472</v>
      </c>
      <c r="I1161" s="119" t="s">
        <v>82</v>
      </c>
      <c r="K1161" s="64" t="s">
        <v>575</v>
      </c>
      <c r="L1161" s="16"/>
      <c r="M1161" s="16">
        <v>1</v>
      </c>
      <c r="N1161" s="16"/>
      <c r="O1161" s="16">
        <v>1</v>
      </c>
    </row>
    <row r="1162" spans="1:19" ht="14">
      <c r="A1162" s="118">
        <v>46176</v>
      </c>
      <c r="B1162" s="119">
        <v>7002690646</v>
      </c>
      <c r="C1162" s="119" t="s">
        <v>569</v>
      </c>
      <c r="D1162" s="119" t="s">
        <v>476</v>
      </c>
      <c r="E1162" s="119" t="s">
        <v>488</v>
      </c>
      <c r="F1162" s="119" t="s">
        <v>90</v>
      </c>
      <c r="G1162" s="119">
        <v>0</v>
      </c>
      <c r="H1162" s="119" t="s">
        <v>475</v>
      </c>
      <c r="I1162" s="119" t="s">
        <v>82</v>
      </c>
      <c r="K1162" s="64" t="s">
        <v>576</v>
      </c>
      <c r="L1162" s="16"/>
      <c r="M1162" s="16"/>
      <c r="N1162" s="16">
        <v>1</v>
      </c>
      <c r="O1162" s="16">
        <v>1</v>
      </c>
    </row>
    <row r="1163" spans="1:19" ht="14">
      <c r="A1163" s="118">
        <v>46176</v>
      </c>
      <c r="B1163" s="119">
        <v>7002764561</v>
      </c>
      <c r="C1163" s="119" t="s">
        <v>524</v>
      </c>
      <c r="D1163" s="119" t="s">
        <v>474</v>
      </c>
      <c r="E1163" s="119" t="s">
        <v>538</v>
      </c>
      <c r="F1163" s="119" t="s">
        <v>90</v>
      </c>
      <c r="G1163" s="119">
        <v>1</v>
      </c>
      <c r="H1163" s="119" t="s">
        <v>475</v>
      </c>
      <c r="I1163" s="119" t="s">
        <v>82</v>
      </c>
      <c r="K1163" s="64" t="s">
        <v>577</v>
      </c>
      <c r="L1163" s="16">
        <v>2</v>
      </c>
      <c r="M1163" s="16"/>
      <c r="N1163" s="16"/>
      <c r="O1163" s="16">
        <v>2</v>
      </c>
    </row>
    <row r="1164" spans="1:19" ht="14">
      <c r="A1164" s="118">
        <v>46176</v>
      </c>
      <c r="B1164" s="119">
        <v>7002673162</v>
      </c>
      <c r="C1164" s="119" t="s">
        <v>524</v>
      </c>
      <c r="D1164" s="119" t="s">
        <v>474</v>
      </c>
      <c r="E1164" s="119" t="s">
        <v>556</v>
      </c>
      <c r="F1164" s="119" t="s">
        <v>90</v>
      </c>
      <c r="G1164" s="119">
        <v>10</v>
      </c>
      <c r="H1164" s="119" t="s">
        <v>475</v>
      </c>
      <c r="I1164" s="119" t="s">
        <v>82</v>
      </c>
      <c r="K1164" s="64" t="s">
        <v>578</v>
      </c>
      <c r="L1164" s="16"/>
      <c r="M1164" s="16">
        <v>3</v>
      </c>
      <c r="N1164" s="16"/>
      <c r="O1164" s="16">
        <v>3</v>
      </c>
    </row>
    <row r="1165" spans="1:19" ht="14">
      <c r="A1165" s="118">
        <v>46176</v>
      </c>
      <c r="B1165" s="119">
        <v>7002678269</v>
      </c>
      <c r="C1165" s="119" t="s">
        <v>569</v>
      </c>
      <c r="D1165" s="119" t="s">
        <v>476</v>
      </c>
      <c r="E1165" s="119" t="s">
        <v>488</v>
      </c>
      <c r="F1165" s="119" t="s">
        <v>90</v>
      </c>
      <c r="G1165" s="119">
        <v>0</v>
      </c>
      <c r="H1165" s="119" t="s">
        <v>475</v>
      </c>
      <c r="I1165" s="119" t="s">
        <v>82</v>
      </c>
      <c r="K1165" s="64" t="s">
        <v>579</v>
      </c>
      <c r="L1165" s="16"/>
      <c r="M1165" s="16"/>
      <c r="N1165" s="16">
        <v>2</v>
      </c>
      <c r="O1165" s="16">
        <v>2</v>
      </c>
    </row>
    <row r="1166" spans="1:19" ht="14">
      <c r="A1166" s="118">
        <v>46176</v>
      </c>
      <c r="B1166" s="119">
        <v>7002675326</v>
      </c>
      <c r="C1166" s="119" t="s">
        <v>569</v>
      </c>
      <c r="D1166" s="119" t="s">
        <v>476</v>
      </c>
      <c r="E1166" s="119" t="s">
        <v>488</v>
      </c>
      <c r="F1166" s="119" t="s">
        <v>90</v>
      </c>
      <c r="G1166" s="119">
        <v>0</v>
      </c>
      <c r="H1166" s="119" t="s">
        <v>475</v>
      </c>
      <c r="I1166" s="119" t="s">
        <v>82</v>
      </c>
      <c r="K1166" s="54" t="s">
        <v>84</v>
      </c>
      <c r="L1166" s="54">
        <v>5</v>
      </c>
      <c r="M1166" s="54">
        <v>38</v>
      </c>
      <c r="N1166" s="54">
        <v>3</v>
      </c>
      <c r="O1166" s="54">
        <v>46</v>
      </c>
    </row>
    <row r="1167" spans="1:19" ht="13">
      <c r="A1167" s="118">
        <v>46176</v>
      </c>
      <c r="B1167" s="119">
        <v>7002675500</v>
      </c>
      <c r="C1167" s="119" t="s">
        <v>524</v>
      </c>
      <c r="D1167" s="119" t="s">
        <v>474</v>
      </c>
      <c r="E1167" s="119" t="s">
        <v>452</v>
      </c>
      <c r="F1167" s="119" t="s">
        <v>90</v>
      </c>
      <c r="G1167" s="119">
        <v>6</v>
      </c>
      <c r="H1167" s="119" t="s">
        <v>475</v>
      </c>
      <c r="I1167" s="119" t="s">
        <v>82</v>
      </c>
    </row>
    <row r="1168" spans="1:19" ht="13">
      <c r="A1168" s="118">
        <v>46176</v>
      </c>
      <c r="B1168" s="119">
        <v>7002677672</v>
      </c>
      <c r="C1168" s="119" t="s">
        <v>524</v>
      </c>
      <c r="D1168" s="119" t="s">
        <v>474</v>
      </c>
      <c r="E1168" s="119" t="s">
        <v>525</v>
      </c>
      <c r="F1168" s="119" t="s">
        <v>90</v>
      </c>
      <c r="G1168" s="119">
        <v>24</v>
      </c>
      <c r="H1168" s="119" t="s">
        <v>475</v>
      </c>
      <c r="I1168" s="119" t="s">
        <v>82</v>
      </c>
    </row>
    <row r="1169" spans="1:9" ht="13">
      <c r="A1169" s="118">
        <v>46176</v>
      </c>
      <c r="B1169" s="119">
        <v>7002686401</v>
      </c>
      <c r="C1169" s="119" t="s">
        <v>524</v>
      </c>
      <c r="D1169" s="119" t="s">
        <v>474</v>
      </c>
      <c r="E1169" s="119" t="s">
        <v>452</v>
      </c>
      <c r="F1169" s="119" t="s">
        <v>90</v>
      </c>
      <c r="G1169" s="119">
        <v>8</v>
      </c>
      <c r="H1169" s="119" t="s">
        <v>475</v>
      </c>
      <c r="I1169" s="119" t="s">
        <v>82</v>
      </c>
    </row>
    <row r="1170" spans="1:9" ht="13">
      <c r="A1170" s="118">
        <v>46176</v>
      </c>
      <c r="B1170" s="119">
        <v>7002684394</v>
      </c>
      <c r="C1170" s="119" t="s">
        <v>524</v>
      </c>
      <c r="D1170" s="119" t="s">
        <v>474</v>
      </c>
      <c r="E1170" s="119" t="s">
        <v>452</v>
      </c>
      <c r="F1170" s="119" t="s">
        <v>90</v>
      </c>
      <c r="G1170" s="119">
        <v>3</v>
      </c>
      <c r="H1170" s="119" t="s">
        <v>475</v>
      </c>
      <c r="I1170" s="119" t="s">
        <v>82</v>
      </c>
    </row>
    <row r="1171" spans="1:9" ht="13">
      <c r="A1171" s="118">
        <v>46176</v>
      </c>
      <c r="B1171" s="119">
        <v>7002674721</v>
      </c>
      <c r="C1171" s="119" t="s">
        <v>524</v>
      </c>
      <c r="D1171" s="119" t="s">
        <v>474</v>
      </c>
      <c r="E1171" s="119" t="s">
        <v>556</v>
      </c>
      <c r="F1171" s="119" t="s">
        <v>90</v>
      </c>
      <c r="G1171" s="119">
        <v>6</v>
      </c>
      <c r="H1171" s="119" t="s">
        <v>475</v>
      </c>
      <c r="I1171" s="119" t="s">
        <v>82</v>
      </c>
    </row>
    <row r="1172" spans="1:9" ht="13">
      <c r="A1172" s="118">
        <v>46176</v>
      </c>
      <c r="B1172" s="119">
        <v>7002673397</v>
      </c>
      <c r="C1172" s="119" t="s">
        <v>524</v>
      </c>
      <c r="D1172" s="119" t="s">
        <v>474</v>
      </c>
      <c r="E1172" s="119" t="s">
        <v>452</v>
      </c>
      <c r="F1172" s="119" t="s">
        <v>90</v>
      </c>
      <c r="G1172" s="119">
        <v>9</v>
      </c>
      <c r="H1172" s="119" t="s">
        <v>475</v>
      </c>
      <c r="I1172" s="119" t="s">
        <v>82</v>
      </c>
    </row>
    <row r="1173" spans="1:9" ht="13">
      <c r="A1173" s="118">
        <v>46176</v>
      </c>
      <c r="B1173" s="119">
        <v>7002769459</v>
      </c>
      <c r="C1173" s="119" t="s">
        <v>524</v>
      </c>
      <c r="D1173" s="119" t="s">
        <v>474</v>
      </c>
      <c r="E1173" s="119" t="s">
        <v>538</v>
      </c>
      <c r="F1173" s="119" t="s">
        <v>90</v>
      </c>
      <c r="G1173" s="119">
        <v>1</v>
      </c>
      <c r="H1173" s="119" t="s">
        <v>475</v>
      </c>
      <c r="I1173" s="119" t="s">
        <v>82</v>
      </c>
    </row>
    <row r="1174" spans="1:9" ht="13">
      <c r="A1174" s="118">
        <v>46176</v>
      </c>
      <c r="B1174" s="119">
        <v>7002752023</v>
      </c>
      <c r="C1174" s="119" t="s">
        <v>524</v>
      </c>
      <c r="D1174" s="119" t="s">
        <v>474</v>
      </c>
      <c r="E1174" s="119" t="s">
        <v>103</v>
      </c>
      <c r="F1174" s="119" t="s">
        <v>90</v>
      </c>
      <c r="G1174" s="119">
        <v>6</v>
      </c>
      <c r="H1174" s="119" t="s">
        <v>475</v>
      </c>
      <c r="I1174" s="119" t="s">
        <v>82</v>
      </c>
    </row>
    <row r="1175" spans="1:9" ht="13">
      <c r="A1175" s="118">
        <v>46176</v>
      </c>
      <c r="B1175" s="119">
        <v>7002759017</v>
      </c>
      <c r="C1175" s="119" t="s">
        <v>524</v>
      </c>
      <c r="D1175" s="119" t="s">
        <v>474</v>
      </c>
      <c r="E1175" s="119" t="s">
        <v>538</v>
      </c>
      <c r="F1175" s="119" t="s">
        <v>90</v>
      </c>
      <c r="G1175" s="119">
        <v>4</v>
      </c>
      <c r="H1175" s="119" t="s">
        <v>475</v>
      </c>
      <c r="I1175" s="119" t="s">
        <v>82</v>
      </c>
    </row>
    <row r="1176" spans="1:9" ht="13">
      <c r="A1176" s="118">
        <v>46176</v>
      </c>
      <c r="B1176" s="119">
        <v>7002743978</v>
      </c>
      <c r="C1176" s="119" t="s">
        <v>524</v>
      </c>
      <c r="D1176" s="119" t="s">
        <v>474</v>
      </c>
      <c r="E1176" s="119" t="s">
        <v>463</v>
      </c>
      <c r="F1176" s="119" t="s">
        <v>90</v>
      </c>
      <c r="G1176" s="119">
        <v>2</v>
      </c>
      <c r="H1176" s="119" t="s">
        <v>475</v>
      </c>
      <c r="I1176" s="119" t="s">
        <v>82</v>
      </c>
    </row>
    <row r="1177" spans="1:9" ht="13">
      <c r="A1177" s="118">
        <v>46176</v>
      </c>
      <c r="B1177" s="119">
        <v>7002749987</v>
      </c>
      <c r="C1177" s="119" t="s">
        <v>524</v>
      </c>
      <c r="D1177" s="119" t="s">
        <v>474</v>
      </c>
      <c r="E1177" s="119" t="s">
        <v>103</v>
      </c>
      <c r="F1177" s="119" t="s">
        <v>90</v>
      </c>
      <c r="G1177" s="119">
        <v>1</v>
      </c>
      <c r="H1177" s="119" t="s">
        <v>475</v>
      </c>
      <c r="I1177" s="119" t="s">
        <v>82</v>
      </c>
    </row>
    <row r="1178" spans="1:9" ht="13">
      <c r="A1178" s="118">
        <v>46176</v>
      </c>
      <c r="B1178" s="119">
        <v>7002748964</v>
      </c>
      <c r="C1178" s="119" t="s">
        <v>524</v>
      </c>
      <c r="D1178" s="119" t="s">
        <v>474</v>
      </c>
      <c r="E1178" s="119" t="s">
        <v>463</v>
      </c>
      <c r="F1178" s="119" t="s">
        <v>90</v>
      </c>
      <c r="G1178" s="119">
        <v>47</v>
      </c>
      <c r="H1178" s="119" t="s">
        <v>475</v>
      </c>
      <c r="I1178" s="119" t="s">
        <v>82</v>
      </c>
    </row>
    <row r="1179" spans="1:9" ht="13">
      <c r="A1179" s="118">
        <v>46176</v>
      </c>
      <c r="B1179" s="119">
        <v>7002746970</v>
      </c>
      <c r="C1179" s="119" t="s">
        <v>524</v>
      </c>
      <c r="D1179" s="119" t="s">
        <v>474</v>
      </c>
      <c r="E1179" s="119" t="s">
        <v>463</v>
      </c>
      <c r="F1179" s="119" t="s">
        <v>90</v>
      </c>
      <c r="G1179" s="119">
        <v>1</v>
      </c>
      <c r="H1179" s="119" t="s">
        <v>475</v>
      </c>
      <c r="I1179" s="119" t="s">
        <v>82</v>
      </c>
    </row>
    <row r="1180" spans="1:9" ht="13">
      <c r="A1180" s="118">
        <v>46176</v>
      </c>
      <c r="B1180" s="119">
        <v>7002741968</v>
      </c>
      <c r="C1180" s="119" t="s">
        <v>524</v>
      </c>
      <c r="D1180" s="119" t="s">
        <v>474</v>
      </c>
      <c r="E1180" s="119" t="s">
        <v>463</v>
      </c>
      <c r="F1180" s="119" t="s">
        <v>90</v>
      </c>
      <c r="G1180" s="119">
        <v>2</v>
      </c>
      <c r="H1180" s="119" t="s">
        <v>475</v>
      </c>
      <c r="I1180" s="119" t="s">
        <v>82</v>
      </c>
    </row>
    <row r="1181" spans="1:9" ht="13">
      <c r="A1181" s="118">
        <v>46176</v>
      </c>
      <c r="B1181" s="119">
        <v>7002746382</v>
      </c>
      <c r="C1181" s="119" t="s">
        <v>524</v>
      </c>
      <c r="D1181" s="119" t="s">
        <v>474</v>
      </c>
      <c r="E1181" s="119" t="s">
        <v>463</v>
      </c>
      <c r="F1181" s="119" t="s">
        <v>90</v>
      </c>
      <c r="G1181" s="119">
        <v>10</v>
      </c>
      <c r="H1181" s="119" t="s">
        <v>475</v>
      </c>
      <c r="I1181" s="119" t="s">
        <v>82</v>
      </c>
    </row>
    <row r="1182" spans="1:9" ht="13">
      <c r="A1182" s="118">
        <v>46176</v>
      </c>
      <c r="B1182" s="119">
        <v>7002741952</v>
      </c>
      <c r="C1182" s="119" t="s">
        <v>524</v>
      </c>
      <c r="D1182" s="119" t="s">
        <v>474</v>
      </c>
      <c r="E1182" s="119" t="s">
        <v>463</v>
      </c>
      <c r="F1182" s="119" t="s">
        <v>90</v>
      </c>
      <c r="G1182" s="119">
        <v>1</v>
      </c>
      <c r="H1182" s="119" t="s">
        <v>475</v>
      </c>
      <c r="I1182" s="119" t="s">
        <v>82</v>
      </c>
    </row>
    <row r="1183" spans="1:9" ht="13">
      <c r="A1183" s="118">
        <v>46176</v>
      </c>
      <c r="B1183" s="119">
        <v>7002741585</v>
      </c>
      <c r="C1183" s="119" t="s">
        <v>524</v>
      </c>
      <c r="D1183" s="119" t="s">
        <v>474</v>
      </c>
      <c r="E1183" s="119" t="s">
        <v>463</v>
      </c>
      <c r="F1183" s="119" t="s">
        <v>90</v>
      </c>
      <c r="G1183" s="119">
        <v>1</v>
      </c>
      <c r="H1183" s="119" t="s">
        <v>475</v>
      </c>
      <c r="I1183" s="119" t="s">
        <v>82</v>
      </c>
    </row>
    <row r="1184" spans="1:9" ht="13">
      <c r="A1184" s="118">
        <v>46176</v>
      </c>
      <c r="B1184" s="119">
        <v>7002749956</v>
      </c>
      <c r="C1184" s="119" t="s">
        <v>524</v>
      </c>
      <c r="D1184" s="119" t="s">
        <v>580</v>
      </c>
      <c r="E1184" s="119" t="s">
        <v>463</v>
      </c>
      <c r="F1184" s="119" t="s">
        <v>90</v>
      </c>
      <c r="G1184" s="119">
        <v>1</v>
      </c>
      <c r="H1184" s="119" t="s">
        <v>475</v>
      </c>
      <c r="I1184" s="119" t="s">
        <v>82</v>
      </c>
    </row>
    <row r="1185" spans="1:15" ht="13">
      <c r="A1185" s="118">
        <v>46176</v>
      </c>
      <c r="B1185" s="119">
        <v>7002751024</v>
      </c>
      <c r="C1185" s="119" t="s">
        <v>524</v>
      </c>
      <c r="D1185" s="119" t="s">
        <v>515</v>
      </c>
      <c r="E1185" s="119" t="s">
        <v>470</v>
      </c>
      <c r="F1185" s="119" t="s">
        <v>90</v>
      </c>
      <c r="G1185" s="119">
        <v>17</v>
      </c>
      <c r="H1185" s="119" t="s">
        <v>475</v>
      </c>
      <c r="I1185" s="119" t="s">
        <v>82</v>
      </c>
    </row>
    <row r="1186" spans="1:15" ht="13">
      <c r="A1186" s="118">
        <v>46176</v>
      </c>
      <c r="B1186" s="119">
        <v>7002755113</v>
      </c>
      <c r="C1186" s="119" t="s">
        <v>524</v>
      </c>
      <c r="D1186" s="119" t="s">
        <v>479</v>
      </c>
      <c r="E1186" s="119" t="s">
        <v>470</v>
      </c>
      <c r="F1186" s="119" t="s">
        <v>90</v>
      </c>
      <c r="G1186" s="119">
        <v>25</v>
      </c>
      <c r="H1186" s="119" t="s">
        <v>475</v>
      </c>
      <c r="I1186" s="119" t="s">
        <v>82</v>
      </c>
    </row>
    <row r="1187" spans="1:15" ht="13">
      <c r="A1187" s="118">
        <v>46176</v>
      </c>
      <c r="B1187" s="119">
        <v>7002766285</v>
      </c>
      <c r="C1187" s="119" t="s">
        <v>524</v>
      </c>
      <c r="D1187" s="119" t="s">
        <v>580</v>
      </c>
      <c r="E1187" s="119" t="s">
        <v>463</v>
      </c>
      <c r="F1187" s="119" t="s">
        <v>90</v>
      </c>
      <c r="G1187" s="119">
        <v>1</v>
      </c>
      <c r="H1187" s="119" t="s">
        <v>475</v>
      </c>
      <c r="I1187" s="119" t="s">
        <v>82</v>
      </c>
    </row>
    <row r="1188" spans="1:15" ht="13">
      <c r="A1188" s="118">
        <v>46176</v>
      </c>
      <c r="B1188" s="119">
        <v>7002739606</v>
      </c>
      <c r="C1188" s="119" t="s">
        <v>524</v>
      </c>
      <c r="D1188" s="119" t="s">
        <v>474</v>
      </c>
      <c r="E1188" s="119" t="s">
        <v>463</v>
      </c>
      <c r="F1188" s="119" t="s">
        <v>90</v>
      </c>
      <c r="G1188" s="119">
        <v>2</v>
      </c>
      <c r="H1188" s="119" t="s">
        <v>475</v>
      </c>
      <c r="I1188" s="119" t="s">
        <v>82</v>
      </c>
    </row>
    <row r="1189" spans="1:15" ht="13">
      <c r="A1189" s="118">
        <v>46176</v>
      </c>
      <c r="B1189" s="119">
        <v>7002759559</v>
      </c>
      <c r="C1189" s="119" t="s">
        <v>524</v>
      </c>
      <c r="D1189" s="119" t="s">
        <v>474</v>
      </c>
      <c r="E1189" s="119" t="s">
        <v>103</v>
      </c>
      <c r="F1189" s="119" t="s">
        <v>90</v>
      </c>
      <c r="G1189" s="119">
        <v>1</v>
      </c>
      <c r="H1189" s="119" t="s">
        <v>475</v>
      </c>
      <c r="I1189" s="119" t="s">
        <v>82</v>
      </c>
    </row>
    <row r="1190" spans="1:15" ht="13">
      <c r="A1190" s="118">
        <v>46176</v>
      </c>
      <c r="B1190" s="119">
        <v>7002755538</v>
      </c>
      <c r="C1190" s="119" t="s">
        <v>524</v>
      </c>
      <c r="D1190" s="119" t="s">
        <v>474</v>
      </c>
      <c r="E1190" s="119" t="s">
        <v>103</v>
      </c>
      <c r="F1190" s="119" t="s">
        <v>90</v>
      </c>
      <c r="G1190" s="119">
        <v>5</v>
      </c>
      <c r="H1190" s="119" t="s">
        <v>475</v>
      </c>
      <c r="I1190" s="119" t="s">
        <v>82</v>
      </c>
    </row>
    <row r="1191" spans="1:15" ht="13">
      <c r="A1191" s="118">
        <v>46176</v>
      </c>
      <c r="B1191" s="119">
        <v>7002755121</v>
      </c>
      <c r="C1191" s="119" t="s">
        <v>524</v>
      </c>
      <c r="D1191" s="119" t="s">
        <v>474</v>
      </c>
      <c r="E1191" s="119" t="s">
        <v>463</v>
      </c>
      <c r="F1191" s="119" t="s">
        <v>90</v>
      </c>
      <c r="G1191" s="119">
        <v>6</v>
      </c>
      <c r="H1191" s="119" t="s">
        <v>475</v>
      </c>
      <c r="I1191" s="119" t="s">
        <v>82</v>
      </c>
    </row>
    <row r="1192" spans="1:15" ht="13">
      <c r="A1192" s="118">
        <v>46176</v>
      </c>
      <c r="B1192" s="119">
        <v>7002761214</v>
      </c>
      <c r="C1192" s="119" t="s">
        <v>524</v>
      </c>
      <c r="D1192" s="119" t="s">
        <v>474</v>
      </c>
      <c r="E1192" s="119" t="s">
        <v>463</v>
      </c>
      <c r="F1192" s="119" t="s">
        <v>90</v>
      </c>
      <c r="G1192" s="119">
        <v>1</v>
      </c>
      <c r="H1192" s="119" t="s">
        <v>475</v>
      </c>
      <c r="I1192" s="119" t="s">
        <v>82</v>
      </c>
    </row>
    <row r="1193" spans="1:15" ht="13">
      <c r="A1193" s="118">
        <v>46176</v>
      </c>
      <c r="B1193" s="119">
        <v>7002688102</v>
      </c>
      <c r="C1193" s="119" t="s">
        <v>524</v>
      </c>
      <c r="D1193" s="119" t="s">
        <v>474</v>
      </c>
      <c r="E1193" s="119" t="s">
        <v>452</v>
      </c>
      <c r="F1193" s="119" t="s">
        <v>90</v>
      </c>
      <c r="G1193" s="119">
        <v>120</v>
      </c>
      <c r="H1193" s="119" t="s">
        <v>475</v>
      </c>
      <c r="I1193" s="119" t="s">
        <v>82</v>
      </c>
    </row>
    <row r="1194" spans="1:15" ht="13">
      <c r="A1194" s="118">
        <v>46176</v>
      </c>
      <c r="B1194" s="119">
        <v>7002626091</v>
      </c>
      <c r="C1194" s="119" t="s">
        <v>571</v>
      </c>
      <c r="D1194" s="119" t="s">
        <v>476</v>
      </c>
      <c r="E1194" s="119" t="s">
        <v>533</v>
      </c>
      <c r="F1194" s="119" t="s">
        <v>90</v>
      </c>
      <c r="G1194" s="119">
        <v>99</v>
      </c>
      <c r="H1194" s="119" t="s">
        <v>475</v>
      </c>
      <c r="I1194" s="119" t="s">
        <v>503</v>
      </c>
    </row>
    <row r="1195" spans="1:15" ht="13">
      <c r="A1195" s="118">
        <v>46176</v>
      </c>
      <c r="B1195" s="119">
        <v>7002535753</v>
      </c>
      <c r="C1195" s="119" t="s">
        <v>572</v>
      </c>
      <c r="D1195" s="119" t="s">
        <v>495</v>
      </c>
      <c r="E1195" s="119" t="s">
        <v>98</v>
      </c>
      <c r="F1195" s="119" t="s">
        <v>90</v>
      </c>
      <c r="G1195" s="119">
        <v>10</v>
      </c>
      <c r="H1195" s="119" t="s">
        <v>475</v>
      </c>
      <c r="I1195" s="119" t="s">
        <v>503</v>
      </c>
    </row>
    <row r="1196" spans="1:15" ht="13">
      <c r="A1196" s="118">
        <v>46176</v>
      </c>
      <c r="B1196" s="119">
        <v>7002513445</v>
      </c>
      <c r="C1196" s="119" t="s">
        <v>572</v>
      </c>
      <c r="D1196" s="119" t="s">
        <v>476</v>
      </c>
      <c r="E1196" s="119" t="s">
        <v>554</v>
      </c>
      <c r="F1196" s="119" t="s">
        <v>90</v>
      </c>
      <c r="G1196" s="119">
        <v>4</v>
      </c>
      <c r="H1196" s="119" t="s">
        <v>475</v>
      </c>
      <c r="I1196" s="119" t="s">
        <v>503</v>
      </c>
    </row>
    <row r="1197" spans="1:15" ht="13">
      <c r="A1197" s="109"/>
      <c r="B1197" s="110"/>
      <c r="C1197" s="110"/>
      <c r="D1197" s="110"/>
      <c r="E1197" s="110"/>
      <c r="F1197" s="110"/>
      <c r="G1197" s="110"/>
      <c r="H1197" s="110"/>
      <c r="I1197" s="110"/>
    </row>
    <row r="1198" spans="1:15" ht="13">
      <c r="A1198" s="105" t="s">
        <v>1</v>
      </c>
      <c r="B1198" s="105" t="s">
        <v>445</v>
      </c>
      <c r="C1198" s="105" t="s">
        <v>446</v>
      </c>
      <c r="D1198" s="105" t="s">
        <v>465</v>
      </c>
      <c r="E1198" s="105" t="s">
        <v>70</v>
      </c>
      <c r="F1198" s="105" t="s">
        <v>447</v>
      </c>
      <c r="G1198" s="105" t="s">
        <v>71</v>
      </c>
      <c r="H1198" s="105" t="s">
        <v>466</v>
      </c>
      <c r="I1198" s="105" t="s">
        <v>448</v>
      </c>
    </row>
    <row r="1199" spans="1:15" ht="14">
      <c r="A1199" s="118">
        <v>46177</v>
      </c>
      <c r="B1199" s="119">
        <v>7002690646</v>
      </c>
      <c r="C1199" s="119" t="s">
        <v>581</v>
      </c>
      <c r="D1199" s="119" t="s">
        <v>476</v>
      </c>
      <c r="E1199" s="119" t="s">
        <v>488</v>
      </c>
      <c r="F1199" s="119" t="s">
        <v>90</v>
      </c>
      <c r="G1199" s="125">
        <v>0</v>
      </c>
      <c r="H1199" s="119" t="s">
        <v>475</v>
      </c>
      <c r="I1199" s="119" t="s">
        <v>505</v>
      </c>
      <c r="K1199" s="215">
        <v>46177</v>
      </c>
      <c r="L1199" s="196"/>
      <c r="M1199" s="196"/>
      <c r="N1199" s="196"/>
      <c r="O1199" s="197"/>
    </row>
    <row r="1200" spans="1:15" ht="14">
      <c r="A1200" s="118">
        <v>46177</v>
      </c>
      <c r="B1200" s="119">
        <v>7002678269</v>
      </c>
      <c r="C1200" s="119" t="s">
        <v>581</v>
      </c>
      <c r="D1200" s="119" t="s">
        <v>476</v>
      </c>
      <c r="E1200" s="119" t="s">
        <v>488</v>
      </c>
      <c r="F1200" s="119" t="s">
        <v>90</v>
      </c>
      <c r="G1200" s="125">
        <v>0</v>
      </c>
      <c r="H1200" s="119" t="s">
        <v>475</v>
      </c>
      <c r="I1200" s="119" t="s">
        <v>505</v>
      </c>
      <c r="K1200" s="54" t="s">
        <v>529</v>
      </c>
      <c r="L1200" s="54" t="s">
        <v>74</v>
      </c>
      <c r="M1200" s="54"/>
      <c r="N1200" s="54"/>
      <c r="O1200" s="54"/>
    </row>
    <row r="1201" spans="1:15" ht="14">
      <c r="A1201" s="118">
        <v>46177</v>
      </c>
      <c r="B1201" s="119">
        <v>7002675326</v>
      </c>
      <c r="C1201" s="119" t="s">
        <v>581</v>
      </c>
      <c r="D1201" s="119" t="s">
        <v>476</v>
      </c>
      <c r="E1201" s="119" t="s">
        <v>488</v>
      </c>
      <c r="F1201" s="119" t="s">
        <v>90</v>
      </c>
      <c r="G1201" s="125">
        <v>0</v>
      </c>
      <c r="H1201" s="119" t="s">
        <v>475</v>
      </c>
      <c r="I1201" s="119" t="s">
        <v>505</v>
      </c>
      <c r="K1201" s="54" t="s">
        <v>62</v>
      </c>
      <c r="L1201" s="54" t="s">
        <v>503</v>
      </c>
      <c r="M1201" s="54" t="s">
        <v>82</v>
      </c>
      <c r="N1201" s="54" t="s">
        <v>505</v>
      </c>
      <c r="O1201" s="54" t="s">
        <v>84</v>
      </c>
    </row>
    <row r="1202" spans="1:15" ht="14">
      <c r="A1202" s="118">
        <v>46177</v>
      </c>
      <c r="B1202" s="119">
        <v>7002766285</v>
      </c>
      <c r="C1202" s="119" t="s">
        <v>453</v>
      </c>
      <c r="D1202" s="119" t="s">
        <v>580</v>
      </c>
      <c r="E1202" s="119" t="s">
        <v>463</v>
      </c>
      <c r="F1202" s="119" t="s">
        <v>90</v>
      </c>
      <c r="G1202" s="125">
        <v>1</v>
      </c>
      <c r="H1202" s="119" t="s">
        <v>475</v>
      </c>
      <c r="I1202" s="119" t="s">
        <v>505</v>
      </c>
      <c r="K1202" s="97" t="s">
        <v>475</v>
      </c>
      <c r="L1202" s="97">
        <v>1</v>
      </c>
      <c r="M1202" s="97"/>
      <c r="N1202" s="97">
        <v>6</v>
      </c>
      <c r="O1202" s="97">
        <v>7</v>
      </c>
    </row>
    <row r="1203" spans="1:15" ht="14">
      <c r="A1203" s="118">
        <v>46177</v>
      </c>
      <c r="B1203" s="119">
        <v>7002749956</v>
      </c>
      <c r="C1203" s="119" t="s">
        <v>453</v>
      </c>
      <c r="D1203" s="119" t="s">
        <v>580</v>
      </c>
      <c r="E1203" s="119" t="s">
        <v>463</v>
      </c>
      <c r="F1203" s="119" t="s">
        <v>90</v>
      </c>
      <c r="G1203" s="125">
        <v>1</v>
      </c>
      <c r="H1203" s="119" t="s">
        <v>475</v>
      </c>
      <c r="I1203" s="119" t="s">
        <v>505</v>
      </c>
      <c r="K1203" s="16" t="s">
        <v>581</v>
      </c>
      <c r="L1203" s="16"/>
      <c r="M1203" s="16"/>
      <c r="N1203" s="16">
        <v>3</v>
      </c>
      <c r="O1203" s="16">
        <v>3</v>
      </c>
    </row>
    <row r="1204" spans="1:15" ht="14">
      <c r="A1204" s="118">
        <v>46177</v>
      </c>
      <c r="B1204" s="119">
        <v>7002755113</v>
      </c>
      <c r="C1204" s="119" t="s">
        <v>582</v>
      </c>
      <c r="D1204" s="119" t="s">
        <v>479</v>
      </c>
      <c r="E1204" s="119" t="s">
        <v>470</v>
      </c>
      <c r="F1204" s="119" t="s">
        <v>90</v>
      </c>
      <c r="G1204" s="125">
        <v>25</v>
      </c>
      <c r="H1204" s="119" t="s">
        <v>475</v>
      </c>
      <c r="I1204" s="119" t="s">
        <v>505</v>
      </c>
      <c r="K1204" s="16" t="s">
        <v>453</v>
      </c>
      <c r="L1204" s="16"/>
      <c r="M1204" s="16"/>
      <c r="N1204" s="16">
        <v>2</v>
      </c>
      <c r="O1204" s="16">
        <v>2</v>
      </c>
    </row>
    <row r="1205" spans="1:15" ht="14">
      <c r="A1205" s="118">
        <v>46177</v>
      </c>
      <c r="B1205" s="119">
        <v>7002513445</v>
      </c>
      <c r="C1205" s="119" t="s">
        <v>583</v>
      </c>
      <c r="D1205" s="119" t="s">
        <v>476</v>
      </c>
      <c r="E1205" s="119" t="s">
        <v>554</v>
      </c>
      <c r="F1205" s="119" t="s">
        <v>90</v>
      </c>
      <c r="G1205" s="125">
        <v>4</v>
      </c>
      <c r="H1205" s="119" t="s">
        <v>475</v>
      </c>
      <c r="I1205" s="119" t="s">
        <v>503</v>
      </c>
      <c r="K1205" s="16" t="s">
        <v>583</v>
      </c>
      <c r="L1205" s="16">
        <v>1</v>
      </c>
      <c r="M1205" s="16"/>
      <c r="N1205" s="16"/>
      <c r="O1205" s="16">
        <v>1</v>
      </c>
    </row>
    <row r="1206" spans="1:15" ht="14">
      <c r="A1206" s="118">
        <v>46177</v>
      </c>
      <c r="B1206" s="119">
        <v>7002770507</v>
      </c>
      <c r="C1206" s="119" t="s">
        <v>453</v>
      </c>
      <c r="D1206" s="119" t="s">
        <v>479</v>
      </c>
      <c r="E1206" s="119" t="s">
        <v>103</v>
      </c>
      <c r="F1206" s="119" t="s">
        <v>96</v>
      </c>
      <c r="G1206" s="125">
        <v>2</v>
      </c>
      <c r="H1206" s="119" t="s">
        <v>472</v>
      </c>
      <c r="I1206" s="119" t="s">
        <v>82</v>
      </c>
      <c r="K1206" s="16" t="s">
        <v>582</v>
      </c>
      <c r="L1206" s="16"/>
      <c r="M1206" s="16"/>
      <c r="N1206" s="16">
        <v>1</v>
      </c>
      <c r="O1206" s="16">
        <v>1</v>
      </c>
    </row>
    <row r="1207" spans="1:15" ht="14">
      <c r="A1207" s="118">
        <v>46177</v>
      </c>
      <c r="B1207" s="119">
        <v>7002676412</v>
      </c>
      <c r="C1207" s="119" t="s">
        <v>581</v>
      </c>
      <c r="D1207" s="119" t="s">
        <v>476</v>
      </c>
      <c r="E1207" s="119" t="s">
        <v>488</v>
      </c>
      <c r="F1207" s="119" t="s">
        <v>459</v>
      </c>
      <c r="G1207" s="125">
        <v>0</v>
      </c>
      <c r="H1207" s="119" t="s">
        <v>472</v>
      </c>
      <c r="I1207" s="119" t="s">
        <v>505</v>
      </c>
      <c r="K1207" s="97" t="s">
        <v>472</v>
      </c>
      <c r="L1207" s="97">
        <v>1</v>
      </c>
      <c r="M1207" s="97">
        <v>7</v>
      </c>
      <c r="N1207" s="97">
        <v>3</v>
      </c>
      <c r="O1207" s="97">
        <v>11</v>
      </c>
    </row>
    <row r="1208" spans="1:15" ht="14">
      <c r="A1208" s="118">
        <v>46177</v>
      </c>
      <c r="B1208" s="119">
        <v>7002676389</v>
      </c>
      <c r="C1208" s="119" t="s">
        <v>453</v>
      </c>
      <c r="D1208" s="119" t="s">
        <v>478</v>
      </c>
      <c r="E1208" s="119" t="s">
        <v>463</v>
      </c>
      <c r="F1208" s="119" t="s">
        <v>96</v>
      </c>
      <c r="G1208" s="125">
        <v>1</v>
      </c>
      <c r="H1208" s="119" t="s">
        <v>472</v>
      </c>
      <c r="I1208" s="119" t="s">
        <v>503</v>
      </c>
      <c r="K1208" s="16" t="s">
        <v>453</v>
      </c>
      <c r="L1208" s="16">
        <v>1</v>
      </c>
      <c r="M1208" s="16">
        <v>3</v>
      </c>
      <c r="N1208" s="16"/>
      <c r="O1208" s="16">
        <v>4</v>
      </c>
    </row>
    <row r="1209" spans="1:15" ht="14">
      <c r="A1209" s="118">
        <v>46177</v>
      </c>
      <c r="B1209" s="119">
        <v>7002677328</v>
      </c>
      <c r="C1209" s="119" t="s">
        <v>581</v>
      </c>
      <c r="D1209" s="119" t="s">
        <v>476</v>
      </c>
      <c r="E1209" s="119" t="s">
        <v>488</v>
      </c>
      <c r="F1209" s="119" t="s">
        <v>459</v>
      </c>
      <c r="G1209" s="125">
        <v>0</v>
      </c>
      <c r="H1209" s="119" t="s">
        <v>472</v>
      </c>
      <c r="I1209" s="119" t="s">
        <v>505</v>
      </c>
      <c r="K1209" s="16" t="s">
        <v>584</v>
      </c>
      <c r="L1209" s="16"/>
      <c r="M1209" s="16">
        <v>3</v>
      </c>
      <c r="N1209" s="16"/>
      <c r="O1209" s="16">
        <v>3</v>
      </c>
    </row>
    <row r="1210" spans="1:15" ht="14">
      <c r="A1210" s="118">
        <v>46177</v>
      </c>
      <c r="B1210" s="119">
        <v>7002676267</v>
      </c>
      <c r="C1210" s="119" t="s">
        <v>581</v>
      </c>
      <c r="D1210" s="119" t="s">
        <v>476</v>
      </c>
      <c r="E1210" s="119" t="s">
        <v>488</v>
      </c>
      <c r="F1210" s="119" t="s">
        <v>459</v>
      </c>
      <c r="G1210" s="125">
        <v>0</v>
      </c>
      <c r="H1210" s="119" t="s">
        <v>472</v>
      </c>
      <c r="I1210" s="119" t="s">
        <v>505</v>
      </c>
      <c r="K1210" s="16" t="s">
        <v>581</v>
      </c>
      <c r="L1210" s="16"/>
      <c r="M1210" s="16"/>
      <c r="N1210" s="16">
        <v>3</v>
      </c>
      <c r="O1210" s="16">
        <v>3</v>
      </c>
    </row>
    <row r="1211" spans="1:15" ht="14">
      <c r="A1211" s="118">
        <v>46177</v>
      </c>
      <c r="B1211" s="119">
        <v>7002624889</v>
      </c>
      <c r="C1211" s="119" t="s">
        <v>585</v>
      </c>
      <c r="D1211" s="119" t="s">
        <v>474</v>
      </c>
      <c r="E1211" s="119" t="s">
        <v>556</v>
      </c>
      <c r="F1211" s="119" t="s">
        <v>459</v>
      </c>
      <c r="G1211" s="125">
        <v>1</v>
      </c>
      <c r="H1211" s="119" t="s">
        <v>472</v>
      </c>
      <c r="I1211" s="119" t="s">
        <v>82</v>
      </c>
      <c r="K1211" s="16" t="s">
        <v>585</v>
      </c>
      <c r="L1211" s="16"/>
      <c r="M1211" s="16">
        <v>1</v>
      </c>
      <c r="N1211" s="16"/>
      <c r="O1211" s="16">
        <v>1</v>
      </c>
    </row>
    <row r="1212" spans="1:15" ht="14">
      <c r="A1212" s="118">
        <v>46177</v>
      </c>
      <c r="B1212" s="119">
        <v>7002783268</v>
      </c>
      <c r="C1212" s="119" t="s">
        <v>453</v>
      </c>
      <c r="D1212" s="119" t="s">
        <v>474</v>
      </c>
      <c r="E1212" s="119" t="s">
        <v>91</v>
      </c>
      <c r="F1212" s="119" t="s">
        <v>96</v>
      </c>
      <c r="G1212" s="125">
        <v>1</v>
      </c>
      <c r="H1212" s="119" t="s">
        <v>472</v>
      </c>
      <c r="I1212" s="119" t="s">
        <v>82</v>
      </c>
      <c r="K1212" s="54" t="s">
        <v>84</v>
      </c>
      <c r="L1212" s="54">
        <v>2</v>
      </c>
      <c r="M1212" s="54">
        <v>7</v>
      </c>
      <c r="N1212" s="54">
        <v>9</v>
      </c>
      <c r="O1212" s="54">
        <v>18</v>
      </c>
    </row>
    <row r="1213" spans="1:15" ht="13">
      <c r="A1213" s="118">
        <v>46177</v>
      </c>
      <c r="B1213" s="119">
        <v>7002761343</v>
      </c>
      <c r="C1213" s="119" t="s">
        <v>453</v>
      </c>
      <c r="D1213" s="119" t="s">
        <v>479</v>
      </c>
      <c r="E1213" s="119" t="s">
        <v>103</v>
      </c>
      <c r="F1213" s="119" t="s">
        <v>96</v>
      </c>
      <c r="G1213" s="125">
        <v>3</v>
      </c>
      <c r="H1213" s="119" t="s">
        <v>472</v>
      </c>
      <c r="I1213" s="119" t="s">
        <v>82</v>
      </c>
    </row>
    <row r="1214" spans="1:15" ht="13">
      <c r="A1214" s="118">
        <v>46177</v>
      </c>
      <c r="B1214" s="119">
        <v>7002757526</v>
      </c>
      <c r="C1214" s="119" t="s">
        <v>584</v>
      </c>
      <c r="D1214" s="119" t="s">
        <v>474</v>
      </c>
      <c r="E1214" s="119" t="s">
        <v>463</v>
      </c>
      <c r="F1214" s="119" t="s">
        <v>507</v>
      </c>
      <c r="G1214" s="125">
        <v>1</v>
      </c>
      <c r="H1214" s="119" t="s">
        <v>472</v>
      </c>
      <c r="I1214" s="119" t="s">
        <v>82</v>
      </c>
    </row>
    <row r="1215" spans="1:15" ht="13">
      <c r="A1215" s="118">
        <v>46177</v>
      </c>
      <c r="B1215" s="119">
        <v>7002775253</v>
      </c>
      <c r="C1215" s="119" t="s">
        <v>584</v>
      </c>
      <c r="D1215" s="119" t="s">
        <v>479</v>
      </c>
      <c r="E1215" s="119" t="s">
        <v>103</v>
      </c>
      <c r="F1215" s="119" t="s">
        <v>118</v>
      </c>
      <c r="G1215" s="125">
        <v>7</v>
      </c>
      <c r="H1215" s="119" t="s">
        <v>472</v>
      </c>
      <c r="I1215" s="119" t="s">
        <v>82</v>
      </c>
    </row>
    <row r="1216" spans="1:15" ht="13">
      <c r="A1216" s="118">
        <v>46177</v>
      </c>
      <c r="B1216" s="119">
        <v>7002778251</v>
      </c>
      <c r="C1216" s="119" t="s">
        <v>584</v>
      </c>
      <c r="D1216" s="119" t="s">
        <v>479</v>
      </c>
      <c r="E1216" s="119" t="s">
        <v>103</v>
      </c>
      <c r="F1216" s="119" t="s">
        <v>102</v>
      </c>
      <c r="G1216" s="125">
        <v>47</v>
      </c>
      <c r="H1216" s="119" t="s">
        <v>472</v>
      </c>
      <c r="I1216" s="119" t="s">
        <v>82</v>
      </c>
    </row>
    <row r="1217" spans="1:15" ht="13">
      <c r="A1217" s="109"/>
      <c r="B1217" s="110"/>
      <c r="C1217" s="110"/>
      <c r="D1217" s="110"/>
      <c r="E1217" s="110"/>
      <c r="F1217" s="110"/>
      <c r="G1217" s="110"/>
      <c r="H1217" s="110"/>
      <c r="I1217" s="110"/>
    </row>
    <row r="1218" spans="1:15" ht="13">
      <c r="A1218" s="109"/>
      <c r="B1218" s="110"/>
      <c r="C1218" s="110"/>
      <c r="D1218" s="110"/>
      <c r="E1218" s="110"/>
      <c r="F1218" s="110"/>
      <c r="G1218" s="110"/>
      <c r="H1218" s="110"/>
      <c r="I1218" s="110"/>
    </row>
    <row r="1219" spans="1:15" ht="13">
      <c r="A1219" s="105" t="s">
        <v>1</v>
      </c>
      <c r="B1219" s="105" t="s">
        <v>445</v>
      </c>
      <c r="C1219" s="105" t="s">
        <v>446</v>
      </c>
      <c r="D1219" s="105" t="s">
        <v>465</v>
      </c>
      <c r="E1219" s="105" t="s">
        <v>70</v>
      </c>
      <c r="F1219" s="105" t="s">
        <v>447</v>
      </c>
      <c r="G1219" s="105" t="s">
        <v>71</v>
      </c>
      <c r="H1219" s="105" t="s">
        <v>466</v>
      </c>
      <c r="I1219" s="105" t="s">
        <v>448</v>
      </c>
    </row>
    <row r="1220" spans="1:15" ht="14">
      <c r="A1220" s="118">
        <v>46178</v>
      </c>
      <c r="B1220" s="119">
        <v>7002801883</v>
      </c>
      <c r="C1220" s="119" t="s">
        <v>586</v>
      </c>
      <c r="D1220" s="119" t="s">
        <v>479</v>
      </c>
      <c r="E1220" s="119" t="s">
        <v>470</v>
      </c>
      <c r="F1220" s="119" t="s">
        <v>462</v>
      </c>
      <c r="G1220" s="119">
        <v>8</v>
      </c>
      <c r="H1220" s="119" t="s">
        <v>472</v>
      </c>
      <c r="I1220" s="119" t="s">
        <v>82</v>
      </c>
      <c r="K1220" s="215">
        <v>46178</v>
      </c>
      <c r="L1220" s="196"/>
      <c r="M1220" s="196"/>
      <c r="N1220" s="196"/>
      <c r="O1220" s="197"/>
    </row>
    <row r="1221" spans="1:15" ht="14">
      <c r="A1221" s="118">
        <v>46178</v>
      </c>
      <c r="B1221" s="119">
        <v>7002786840</v>
      </c>
      <c r="C1221" s="119" t="s">
        <v>586</v>
      </c>
      <c r="D1221" s="119" t="s">
        <v>580</v>
      </c>
      <c r="E1221" s="119" t="s">
        <v>98</v>
      </c>
      <c r="F1221" s="119" t="s">
        <v>462</v>
      </c>
      <c r="G1221" s="119">
        <v>3</v>
      </c>
      <c r="H1221" s="119" t="s">
        <v>472</v>
      </c>
      <c r="I1221" s="119" t="s">
        <v>82</v>
      </c>
      <c r="K1221" s="54" t="s">
        <v>529</v>
      </c>
      <c r="L1221" s="54" t="s">
        <v>74</v>
      </c>
      <c r="M1221" s="54"/>
      <c r="N1221" s="54"/>
      <c r="O1221" s="54"/>
    </row>
    <row r="1222" spans="1:15" ht="14">
      <c r="A1222" s="118">
        <v>46178</v>
      </c>
      <c r="B1222" s="119">
        <v>7002802876</v>
      </c>
      <c r="C1222" s="119" t="s">
        <v>586</v>
      </c>
      <c r="D1222" s="119" t="s">
        <v>474</v>
      </c>
      <c r="E1222" s="119" t="s">
        <v>91</v>
      </c>
      <c r="F1222" s="119" t="s">
        <v>462</v>
      </c>
      <c r="G1222" s="119">
        <v>2</v>
      </c>
      <c r="H1222" s="119" t="s">
        <v>472</v>
      </c>
      <c r="I1222" s="119" t="s">
        <v>82</v>
      </c>
      <c r="K1222" s="54" t="s">
        <v>62</v>
      </c>
      <c r="L1222" s="54" t="s">
        <v>503</v>
      </c>
      <c r="M1222" s="54" t="s">
        <v>82</v>
      </c>
      <c r="N1222" s="54" t="s">
        <v>505</v>
      </c>
      <c r="O1222" s="54" t="s">
        <v>84</v>
      </c>
    </row>
    <row r="1223" spans="1:15" ht="14">
      <c r="A1223" s="118">
        <v>46178</v>
      </c>
      <c r="B1223" s="119">
        <v>7002809915</v>
      </c>
      <c r="C1223" s="119" t="s">
        <v>586</v>
      </c>
      <c r="D1223" s="119" t="s">
        <v>479</v>
      </c>
      <c r="E1223" s="119" t="s">
        <v>470</v>
      </c>
      <c r="F1223" s="119" t="s">
        <v>462</v>
      </c>
      <c r="G1223" s="119">
        <v>3</v>
      </c>
      <c r="H1223" s="119" t="s">
        <v>472</v>
      </c>
      <c r="I1223" s="119" t="s">
        <v>82</v>
      </c>
      <c r="K1223" s="97" t="s">
        <v>472</v>
      </c>
      <c r="L1223" s="97">
        <v>3</v>
      </c>
      <c r="M1223" s="97">
        <v>33</v>
      </c>
      <c r="N1223" s="97">
        <v>1</v>
      </c>
      <c r="O1223" s="97">
        <v>37</v>
      </c>
    </row>
    <row r="1224" spans="1:15" ht="14">
      <c r="A1224" s="118">
        <v>46178</v>
      </c>
      <c r="B1224" s="119">
        <v>7002780658</v>
      </c>
      <c r="C1224" s="119" t="s">
        <v>586</v>
      </c>
      <c r="D1224" s="119" t="s">
        <v>474</v>
      </c>
      <c r="E1224" s="119" t="s">
        <v>91</v>
      </c>
      <c r="F1224" s="119" t="s">
        <v>462</v>
      </c>
      <c r="G1224" s="119">
        <v>1</v>
      </c>
      <c r="H1224" s="119" t="s">
        <v>472</v>
      </c>
      <c r="I1224" s="119" t="s">
        <v>82</v>
      </c>
      <c r="K1224" s="16" t="s">
        <v>586</v>
      </c>
      <c r="L1224" s="16"/>
      <c r="M1224" s="16">
        <v>29</v>
      </c>
      <c r="N1224" s="16"/>
      <c r="O1224" s="16">
        <v>29</v>
      </c>
    </row>
    <row r="1225" spans="1:15" ht="14">
      <c r="A1225" s="118">
        <v>46178</v>
      </c>
      <c r="B1225" s="119">
        <v>7002782763</v>
      </c>
      <c r="C1225" s="119" t="s">
        <v>586</v>
      </c>
      <c r="D1225" s="119" t="s">
        <v>474</v>
      </c>
      <c r="E1225" s="119" t="s">
        <v>91</v>
      </c>
      <c r="F1225" s="119" t="s">
        <v>462</v>
      </c>
      <c r="G1225" s="119">
        <v>1</v>
      </c>
      <c r="H1225" s="119" t="s">
        <v>472</v>
      </c>
      <c r="I1225" s="119" t="s">
        <v>82</v>
      </c>
      <c r="K1225" s="16" t="s">
        <v>584</v>
      </c>
      <c r="L1225" s="16"/>
      <c r="M1225" s="16">
        <v>2</v>
      </c>
      <c r="N1225" s="16">
        <v>1</v>
      </c>
      <c r="O1225" s="16">
        <v>3</v>
      </c>
    </row>
    <row r="1226" spans="1:15" ht="14">
      <c r="A1226" s="118">
        <v>46178</v>
      </c>
      <c r="B1226" s="119">
        <v>7002771713</v>
      </c>
      <c r="C1226" s="119" t="s">
        <v>586</v>
      </c>
      <c r="D1226" s="119" t="s">
        <v>474</v>
      </c>
      <c r="E1226" s="119" t="s">
        <v>98</v>
      </c>
      <c r="F1226" s="119" t="s">
        <v>462</v>
      </c>
      <c r="G1226" s="119">
        <v>1</v>
      </c>
      <c r="H1226" s="119" t="s">
        <v>472</v>
      </c>
      <c r="I1226" s="119" t="s">
        <v>82</v>
      </c>
      <c r="K1226" s="16" t="s">
        <v>587</v>
      </c>
      <c r="L1226" s="16">
        <v>3</v>
      </c>
      <c r="M1226" s="16"/>
      <c r="N1226" s="16"/>
      <c r="O1226" s="16">
        <v>3</v>
      </c>
    </row>
    <row r="1227" spans="1:15" ht="14">
      <c r="A1227" s="118">
        <v>46178</v>
      </c>
      <c r="B1227" s="119">
        <v>7002722305</v>
      </c>
      <c r="C1227" s="119" t="s">
        <v>584</v>
      </c>
      <c r="D1227" s="119" t="s">
        <v>474</v>
      </c>
      <c r="E1227" s="119" t="s">
        <v>452</v>
      </c>
      <c r="F1227" s="119" t="s">
        <v>459</v>
      </c>
      <c r="G1227" s="119">
        <v>1</v>
      </c>
      <c r="H1227" s="119" t="s">
        <v>472</v>
      </c>
      <c r="I1227" s="119" t="s">
        <v>82</v>
      </c>
      <c r="K1227" s="16" t="s">
        <v>588</v>
      </c>
      <c r="L1227" s="16"/>
      <c r="M1227" s="16">
        <v>2</v>
      </c>
      <c r="N1227" s="16"/>
      <c r="O1227" s="16">
        <v>2</v>
      </c>
    </row>
    <row r="1228" spans="1:15" ht="14">
      <c r="A1228" s="118">
        <v>46178</v>
      </c>
      <c r="B1228" s="119">
        <v>7002780495</v>
      </c>
      <c r="C1228" s="119" t="s">
        <v>588</v>
      </c>
      <c r="D1228" s="119" t="s">
        <v>489</v>
      </c>
      <c r="E1228" s="119" t="s">
        <v>103</v>
      </c>
      <c r="F1228" s="119" t="s">
        <v>108</v>
      </c>
      <c r="G1228" s="119">
        <v>2</v>
      </c>
      <c r="H1228" s="119" t="s">
        <v>472</v>
      </c>
      <c r="I1228" s="119" t="s">
        <v>82</v>
      </c>
      <c r="K1228" s="97" t="s">
        <v>475</v>
      </c>
      <c r="L1228" s="97">
        <v>6</v>
      </c>
      <c r="M1228" s="97"/>
      <c r="N1228" s="97"/>
      <c r="O1228" s="97">
        <v>6</v>
      </c>
    </row>
    <row r="1229" spans="1:15" ht="14">
      <c r="A1229" s="118">
        <v>46178</v>
      </c>
      <c r="B1229" s="119">
        <v>7002782004</v>
      </c>
      <c r="C1229" s="119" t="s">
        <v>588</v>
      </c>
      <c r="D1229" s="119" t="s">
        <v>489</v>
      </c>
      <c r="E1229" s="119" t="s">
        <v>463</v>
      </c>
      <c r="F1229" s="119" t="s">
        <v>108</v>
      </c>
      <c r="G1229" s="119">
        <v>1</v>
      </c>
      <c r="H1229" s="119" t="s">
        <v>472</v>
      </c>
      <c r="I1229" s="119" t="s">
        <v>82</v>
      </c>
      <c r="K1229" s="16" t="s">
        <v>587</v>
      </c>
      <c r="L1229" s="16">
        <v>3</v>
      </c>
      <c r="M1229" s="16"/>
      <c r="N1229" s="16"/>
      <c r="O1229" s="16">
        <v>3</v>
      </c>
    </row>
    <row r="1230" spans="1:15" ht="14">
      <c r="A1230" s="118">
        <v>46178</v>
      </c>
      <c r="B1230" s="119">
        <v>7002784132</v>
      </c>
      <c r="C1230" s="119" t="s">
        <v>586</v>
      </c>
      <c r="D1230" s="119" t="s">
        <v>489</v>
      </c>
      <c r="E1230" s="119" t="s">
        <v>91</v>
      </c>
      <c r="F1230" s="119" t="s">
        <v>462</v>
      </c>
      <c r="G1230" s="119">
        <v>1</v>
      </c>
      <c r="H1230" s="119" t="s">
        <v>472</v>
      </c>
      <c r="I1230" s="119" t="s">
        <v>82</v>
      </c>
      <c r="K1230" s="16" t="s">
        <v>589</v>
      </c>
      <c r="L1230" s="16">
        <v>2</v>
      </c>
      <c r="M1230" s="16"/>
      <c r="N1230" s="16"/>
      <c r="O1230" s="16">
        <v>2</v>
      </c>
    </row>
    <row r="1231" spans="1:15" ht="14">
      <c r="A1231" s="118">
        <v>46178</v>
      </c>
      <c r="B1231" s="119">
        <v>7002798743</v>
      </c>
      <c r="C1231" s="119" t="s">
        <v>586</v>
      </c>
      <c r="D1231" s="119" t="s">
        <v>474</v>
      </c>
      <c r="E1231" s="119" t="s">
        <v>91</v>
      </c>
      <c r="F1231" s="119" t="s">
        <v>462</v>
      </c>
      <c r="G1231" s="119">
        <v>2</v>
      </c>
      <c r="H1231" s="119" t="s">
        <v>472</v>
      </c>
      <c r="I1231" s="119" t="s">
        <v>82</v>
      </c>
      <c r="K1231" s="16" t="s">
        <v>583</v>
      </c>
      <c r="L1231" s="16">
        <v>1</v>
      </c>
      <c r="M1231" s="16"/>
      <c r="N1231" s="16"/>
      <c r="O1231" s="16">
        <v>1</v>
      </c>
    </row>
    <row r="1232" spans="1:15" ht="14">
      <c r="A1232" s="118">
        <v>46178</v>
      </c>
      <c r="B1232" s="119">
        <v>7002805354</v>
      </c>
      <c r="C1232" s="119" t="s">
        <v>586</v>
      </c>
      <c r="D1232" s="119" t="s">
        <v>474</v>
      </c>
      <c r="E1232" s="119" t="s">
        <v>528</v>
      </c>
      <c r="F1232" s="119" t="s">
        <v>462</v>
      </c>
      <c r="G1232" s="119">
        <v>8</v>
      </c>
      <c r="H1232" s="119" t="s">
        <v>472</v>
      </c>
      <c r="I1232" s="119" t="s">
        <v>82</v>
      </c>
      <c r="K1232" s="54" t="s">
        <v>84</v>
      </c>
      <c r="L1232" s="54">
        <v>9</v>
      </c>
      <c r="M1232" s="54">
        <v>33</v>
      </c>
      <c r="N1232" s="54">
        <v>1</v>
      </c>
      <c r="O1232" s="54">
        <v>43</v>
      </c>
    </row>
    <row r="1233" spans="1:9" ht="13">
      <c r="A1233" s="118">
        <v>46178</v>
      </c>
      <c r="B1233" s="119">
        <v>7002804209</v>
      </c>
      <c r="C1233" s="119" t="s">
        <v>586</v>
      </c>
      <c r="D1233" s="119" t="s">
        <v>479</v>
      </c>
      <c r="E1233" s="119" t="s">
        <v>103</v>
      </c>
      <c r="F1233" s="119" t="s">
        <v>462</v>
      </c>
      <c r="G1233" s="119">
        <v>6</v>
      </c>
      <c r="H1233" s="119" t="s">
        <v>472</v>
      </c>
      <c r="I1233" s="119" t="s">
        <v>82</v>
      </c>
    </row>
    <row r="1234" spans="1:9" ht="13">
      <c r="A1234" s="118">
        <v>46178</v>
      </c>
      <c r="B1234" s="119">
        <v>7002676412</v>
      </c>
      <c r="C1234" s="119" t="s">
        <v>587</v>
      </c>
      <c r="D1234" s="119" t="s">
        <v>476</v>
      </c>
      <c r="E1234" s="119" t="s">
        <v>488</v>
      </c>
      <c r="F1234" s="119" t="s">
        <v>459</v>
      </c>
      <c r="G1234" s="119">
        <v>0</v>
      </c>
      <c r="H1234" s="119" t="s">
        <v>472</v>
      </c>
      <c r="I1234" s="119" t="s">
        <v>503</v>
      </c>
    </row>
    <row r="1235" spans="1:9" ht="13">
      <c r="A1235" s="118">
        <v>46178</v>
      </c>
      <c r="B1235" s="119">
        <v>7002803178</v>
      </c>
      <c r="C1235" s="119" t="s">
        <v>586</v>
      </c>
      <c r="D1235" s="119" t="s">
        <v>474</v>
      </c>
      <c r="E1235" s="119" t="s">
        <v>91</v>
      </c>
      <c r="F1235" s="119" t="s">
        <v>462</v>
      </c>
      <c r="G1235" s="119">
        <v>1</v>
      </c>
      <c r="H1235" s="119" t="s">
        <v>472</v>
      </c>
      <c r="I1235" s="119" t="s">
        <v>82</v>
      </c>
    </row>
    <row r="1236" spans="1:9" ht="13">
      <c r="A1236" s="118">
        <v>46178</v>
      </c>
      <c r="B1236" s="119">
        <v>7002805568</v>
      </c>
      <c r="C1236" s="119" t="s">
        <v>586</v>
      </c>
      <c r="D1236" s="119" t="s">
        <v>479</v>
      </c>
      <c r="E1236" s="119" t="s">
        <v>470</v>
      </c>
      <c r="F1236" s="119" t="s">
        <v>462</v>
      </c>
      <c r="G1236" s="119">
        <v>4</v>
      </c>
      <c r="H1236" s="119" t="s">
        <v>472</v>
      </c>
      <c r="I1236" s="119" t="s">
        <v>82</v>
      </c>
    </row>
    <row r="1237" spans="1:9" ht="13">
      <c r="A1237" s="118">
        <v>46178</v>
      </c>
      <c r="B1237" s="119">
        <v>7002808172</v>
      </c>
      <c r="C1237" s="119" t="s">
        <v>586</v>
      </c>
      <c r="D1237" s="119" t="s">
        <v>479</v>
      </c>
      <c r="E1237" s="119" t="s">
        <v>103</v>
      </c>
      <c r="F1237" s="119" t="s">
        <v>462</v>
      </c>
      <c r="G1237" s="119">
        <v>3</v>
      </c>
      <c r="H1237" s="119" t="s">
        <v>472</v>
      </c>
      <c r="I1237" s="119" t="s">
        <v>82</v>
      </c>
    </row>
    <row r="1238" spans="1:9" ht="13">
      <c r="A1238" s="118">
        <v>46178</v>
      </c>
      <c r="B1238" s="119">
        <v>7002624889</v>
      </c>
      <c r="C1238" s="119" t="s">
        <v>584</v>
      </c>
      <c r="D1238" s="119" t="s">
        <v>474</v>
      </c>
      <c r="E1238" s="119" t="s">
        <v>556</v>
      </c>
      <c r="F1238" s="119" t="s">
        <v>459</v>
      </c>
      <c r="G1238" s="119">
        <v>1</v>
      </c>
      <c r="H1238" s="119" t="s">
        <v>472</v>
      </c>
      <c r="I1238" s="119" t="s">
        <v>505</v>
      </c>
    </row>
    <row r="1239" spans="1:9" ht="13">
      <c r="A1239" s="118">
        <v>46178</v>
      </c>
      <c r="B1239" s="119">
        <v>7002803389</v>
      </c>
      <c r="C1239" s="119" t="s">
        <v>586</v>
      </c>
      <c r="D1239" s="119" t="s">
        <v>479</v>
      </c>
      <c r="E1239" s="119" t="s">
        <v>470</v>
      </c>
      <c r="F1239" s="119" t="s">
        <v>462</v>
      </c>
      <c r="G1239" s="119">
        <v>9</v>
      </c>
      <c r="H1239" s="119" t="s">
        <v>472</v>
      </c>
      <c r="I1239" s="119" t="s">
        <v>82</v>
      </c>
    </row>
    <row r="1240" spans="1:9" ht="13">
      <c r="A1240" s="118">
        <v>46178</v>
      </c>
      <c r="B1240" s="119">
        <v>7002809419</v>
      </c>
      <c r="C1240" s="119" t="s">
        <v>584</v>
      </c>
      <c r="D1240" s="119" t="s">
        <v>474</v>
      </c>
      <c r="E1240" s="119" t="s">
        <v>98</v>
      </c>
      <c r="F1240" s="119" t="s">
        <v>118</v>
      </c>
      <c r="G1240" s="119">
        <v>1</v>
      </c>
      <c r="H1240" s="119" t="s">
        <v>472</v>
      </c>
      <c r="I1240" s="119" t="s">
        <v>82</v>
      </c>
    </row>
    <row r="1241" spans="1:9" ht="13">
      <c r="A1241" s="118">
        <v>46178</v>
      </c>
      <c r="B1241" s="119">
        <v>7002751857</v>
      </c>
      <c r="C1241" s="119" t="s">
        <v>586</v>
      </c>
      <c r="D1241" s="119" t="s">
        <v>474</v>
      </c>
      <c r="E1241" s="119" t="s">
        <v>533</v>
      </c>
      <c r="F1241" s="119" t="s">
        <v>462</v>
      </c>
      <c r="G1241" s="119">
        <v>5</v>
      </c>
      <c r="H1241" s="119" t="s">
        <v>472</v>
      </c>
      <c r="I1241" s="119" t="s">
        <v>82</v>
      </c>
    </row>
    <row r="1242" spans="1:9" ht="13">
      <c r="A1242" s="118">
        <v>46178</v>
      </c>
      <c r="B1242" s="119">
        <v>7002809311</v>
      </c>
      <c r="C1242" s="119" t="s">
        <v>586</v>
      </c>
      <c r="D1242" s="119" t="s">
        <v>479</v>
      </c>
      <c r="E1242" s="119" t="s">
        <v>103</v>
      </c>
      <c r="F1242" s="119" t="s">
        <v>462</v>
      </c>
      <c r="G1242" s="119">
        <v>5</v>
      </c>
      <c r="H1242" s="119" t="s">
        <v>472</v>
      </c>
      <c r="I1242" s="119" t="s">
        <v>82</v>
      </c>
    </row>
    <row r="1243" spans="1:9" ht="13">
      <c r="A1243" s="118">
        <v>46178</v>
      </c>
      <c r="B1243" s="119">
        <v>7002809293</v>
      </c>
      <c r="C1243" s="119" t="s">
        <v>586</v>
      </c>
      <c r="D1243" s="119" t="s">
        <v>479</v>
      </c>
      <c r="E1243" s="119" t="s">
        <v>103</v>
      </c>
      <c r="F1243" s="119" t="s">
        <v>462</v>
      </c>
      <c r="G1243" s="119">
        <v>11</v>
      </c>
      <c r="H1243" s="119" t="s">
        <v>472</v>
      </c>
      <c r="I1243" s="119" t="s">
        <v>82</v>
      </c>
    </row>
    <row r="1244" spans="1:9" ht="13">
      <c r="A1244" s="118">
        <v>46178</v>
      </c>
      <c r="B1244" s="119">
        <v>7002805294</v>
      </c>
      <c r="C1244" s="119" t="s">
        <v>586</v>
      </c>
      <c r="D1244" s="119" t="s">
        <v>479</v>
      </c>
      <c r="E1244" s="119" t="s">
        <v>103</v>
      </c>
      <c r="F1244" s="119" t="s">
        <v>462</v>
      </c>
      <c r="G1244" s="119">
        <v>3</v>
      </c>
      <c r="H1244" s="119" t="s">
        <v>472</v>
      </c>
      <c r="I1244" s="119" t="s">
        <v>82</v>
      </c>
    </row>
    <row r="1245" spans="1:9" ht="13">
      <c r="A1245" s="118">
        <v>46178</v>
      </c>
      <c r="B1245" s="119">
        <v>7002809264</v>
      </c>
      <c r="C1245" s="119" t="s">
        <v>586</v>
      </c>
      <c r="D1245" s="119" t="s">
        <v>474</v>
      </c>
      <c r="E1245" s="119" t="s">
        <v>91</v>
      </c>
      <c r="F1245" s="119" t="s">
        <v>462</v>
      </c>
      <c r="G1245" s="119">
        <v>3</v>
      </c>
      <c r="H1245" s="119" t="s">
        <v>472</v>
      </c>
      <c r="I1245" s="119" t="s">
        <v>82</v>
      </c>
    </row>
    <row r="1246" spans="1:9" ht="13">
      <c r="A1246" s="118">
        <v>46178</v>
      </c>
      <c r="B1246" s="119">
        <v>7002802525</v>
      </c>
      <c r="C1246" s="119" t="s">
        <v>586</v>
      </c>
      <c r="D1246" s="119" t="s">
        <v>474</v>
      </c>
      <c r="E1246" s="119" t="s">
        <v>528</v>
      </c>
      <c r="F1246" s="119" t="s">
        <v>462</v>
      </c>
      <c r="G1246" s="119">
        <v>9</v>
      </c>
      <c r="H1246" s="119" t="s">
        <v>472</v>
      </c>
      <c r="I1246" s="119" t="s">
        <v>82</v>
      </c>
    </row>
    <row r="1247" spans="1:9" ht="13">
      <c r="A1247" s="118">
        <v>46178</v>
      </c>
      <c r="B1247" s="119">
        <v>7002806226</v>
      </c>
      <c r="C1247" s="119" t="s">
        <v>586</v>
      </c>
      <c r="D1247" s="119" t="s">
        <v>479</v>
      </c>
      <c r="E1247" s="119" t="s">
        <v>103</v>
      </c>
      <c r="F1247" s="119" t="s">
        <v>462</v>
      </c>
      <c r="G1247" s="119">
        <v>4</v>
      </c>
      <c r="H1247" s="119" t="s">
        <v>472</v>
      </c>
      <c r="I1247" s="119" t="s">
        <v>82</v>
      </c>
    </row>
    <row r="1248" spans="1:9" ht="13">
      <c r="A1248" s="118">
        <v>46178</v>
      </c>
      <c r="B1248" s="119">
        <v>7002808622</v>
      </c>
      <c r="C1248" s="119" t="s">
        <v>586</v>
      </c>
      <c r="D1248" s="119" t="s">
        <v>515</v>
      </c>
      <c r="E1248" s="119" t="s">
        <v>470</v>
      </c>
      <c r="F1248" s="119" t="s">
        <v>462</v>
      </c>
      <c r="G1248" s="119">
        <v>7</v>
      </c>
      <c r="H1248" s="119" t="s">
        <v>472</v>
      </c>
      <c r="I1248" s="119" t="s">
        <v>82</v>
      </c>
    </row>
    <row r="1249" spans="1:9" ht="13">
      <c r="A1249" s="118">
        <v>46178</v>
      </c>
      <c r="B1249" s="119">
        <v>7002779316</v>
      </c>
      <c r="C1249" s="119" t="s">
        <v>586</v>
      </c>
      <c r="D1249" s="119" t="s">
        <v>479</v>
      </c>
      <c r="E1249" s="119" t="s">
        <v>470</v>
      </c>
      <c r="F1249" s="119" t="s">
        <v>462</v>
      </c>
      <c r="G1249" s="119"/>
      <c r="H1249" s="119" t="s">
        <v>472</v>
      </c>
      <c r="I1249" s="119" t="s">
        <v>82</v>
      </c>
    </row>
    <row r="1250" spans="1:9" ht="13">
      <c r="A1250" s="118">
        <v>46178</v>
      </c>
      <c r="B1250" s="119">
        <v>7002798920</v>
      </c>
      <c r="C1250" s="119" t="s">
        <v>586</v>
      </c>
      <c r="D1250" s="119" t="s">
        <v>474</v>
      </c>
      <c r="E1250" s="119" t="s">
        <v>91</v>
      </c>
      <c r="F1250" s="119" t="s">
        <v>462</v>
      </c>
      <c r="G1250" s="119">
        <v>9</v>
      </c>
      <c r="H1250" s="119" t="s">
        <v>472</v>
      </c>
      <c r="I1250" s="119" t="s">
        <v>82</v>
      </c>
    </row>
    <row r="1251" spans="1:9" ht="13">
      <c r="A1251" s="118">
        <v>46178</v>
      </c>
      <c r="B1251" s="119">
        <v>7002676267</v>
      </c>
      <c r="C1251" s="119" t="s">
        <v>587</v>
      </c>
      <c r="D1251" s="119" t="s">
        <v>476</v>
      </c>
      <c r="E1251" s="119" t="s">
        <v>488</v>
      </c>
      <c r="F1251" s="119" t="s">
        <v>459</v>
      </c>
      <c r="G1251" s="119">
        <v>0</v>
      </c>
      <c r="H1251" s="119" t="s">
        <v>472</v>
      </c>
      <c r="I1251" s="119" t="s">
        <v>503</v>
      </c>
    </row>
    <row r="1252" spans="1:9" ht="13">
      <c r="A1252" s="118">
        <v>46178</v>
      </c>
      <c r="B1252" s="119">
        <v>7002791800</v>
      </c>
      <c r="C1252" s="119" t="s">
        <v>586</v>
      </c>
      <c r="D1252" s="119" t="s">
        <v>479</v>
      </c>
      <c r="E1252" s="119" t="s">
        <v>470</v>
      </c>
      <c r="F1252" s="119" t="s">
        <v>462</v>
      </c>
      <c r="G1252" s="119">
        <v>6</v>
      </c>
      <c r="H1252" s="119" t="s">
        <v>472</v>
      </c>
      <c r="I1252" s="119" t="s">
        <v>82</v>
      </c>
    </row>
    <row r="1253" spans="1:9" ht="13">
      <c r="A1253" s="118">
        <v>46178</v>
      </c>
      <c r="B1253" s="119">
        <v>7002801808</v>
      </c>
      <c r="C1253" s="119" t="s">
        <v>586</v>
      </c>
      <c r="D1253" s="119" t="s">
        <v>474</v>
      </c>
      <c r="E1253" s="119" t="s">
        <v>91</v>
      </c>
      <c r="F1253" s="119" t="s">
        <v>462</v>
      </c>
      <c r="G1253" s="119">
        <v>1</v>
      </c>
      <c r="H1253" s="119" t="s">
        <v>472</v>
      </c>
      <c r="I1253" s="119" t="s">
        <v>82</v>
      </c>
    </row>
    <row r="1254" spans="1:9" ht="13">
      <c r="A1254" s="118">
        <v>46178</v>
      </c>
      <c r="B1254" s="119">
        <v>7002677328</v>
      </c>
      <c r="C1254" s="119" t="s">
        <v>587</v>
      </c>
      <c r="D1254" s="119" t="s">
        <v>476</v>
      </c>
      <c r="E1254" s="119" t="s">
        <v>488</v>
      </c>
      <c r="F1254" s="119" t="s">
        <v>459</v>
      </c>
      <c r="G1254" s="119">
        <v>0</v>
      </c>
      <c r="H1254" s="119" t="s">
        <v>472</v>
      </c>
      <c r="I1254" s="119" t="s">
        <v>503</v>
      </c>
    </row>
    <row r="1255" spans="1:9" ht="13">
      <c r="A1255" s="118">
        <v>46178</v>
      </c>
      <c r="B1255" s="119">
        <v>7002808651</v>
      </c>
      <c r="C1255" s="119" t="s">
        <v>586</v>
      </c>
      <c r="D1255" s="119" t="s">
        <v>474</v>
      </c>
      <c r="E1255" s="119" t="s">
        <v>91</v>
      </c>
      <c r="F1255" s="119" t="s">
        <v>462</v>
      </c>
      <c r="G1255" s="119">
        <v>6</v>
      </c>
      <c r="H1255" s="119" t="s">
        <v>472</v>
      </c>
      <c r="I1255" s="119" t="s">
        <v>82</v>
      </c>
    </row>
    <row r="1256" spans="1:9" ht="13">
      <c r="A1256" s="118">
        <v>46178</v>
      </c>
      <c r="B1256" s="119">
        <v>7002792988</v>
      </c>
      <c r="C1256" s="119" t="s">
        <v>586</v>
      </c>
      <c r="D1256" s="119" t="s">
        <v>474</v>
      </c>
      <c r="E1256" s="119" t="s">
        <v>91</v>
      </c>
      <c r="F1256" s="119" t="s">
        <v>462</v>
      </c>
      <c r="G1256" s="119">
        <v>6</v>
      </c>
      <c r="H1256" s="119" t="s">
        <v>472</v>
      </c>
      <c r="I1256" s="119" t="s">
        <v>82</v>
      </c>
    </row>
    <row r="1257" spans="1:9" ht="13">
      <c r="A1257" s="118">
        <v>46178</v>
      </c>
      <c r="B1257" s="119">
        <v>7002678269</v>
      </c>
      <c r="C1257" s="119" t="s">
        <v>587</v>
      </c>
      <c r="D1257" s="119" t="s">
        <v>476</v>
      </c>
      <c r="E1257" s="119" t="s">
        <v>488</v>
      </c>
      <c r="F1257" s="119" t="s">
        <v>90</v>
      </c>
      <c r="G1257" s="119">
        <v>0</v>
      </c>
      <c r="H1257" s="119" t="s">
        <v>475</v>
      </c>
      <c r="I1257" s="119" t="s">
        <v>503</v>
      </c>
    </row>
    <row r="1258" spans="1:9" ht="13">
      <c r="A1258" s="118">
        <v>46178</v>
      </c>
      <c r="B1258" s="119">
        <v>7002675326</v>
      </c>
      <c r="C1258" s="119" t="s">
        <v>587</v>
      </c>
      <c r="D1258" s="119" t="s">
        <v>476</v>
      </c>
      <c r="E1258" s="119" t="s">
        <v>488</v>
      </c>
      <c r="F1258" s="119" t="s">
        <v>90</v>
      </c>
      <c r="G1258" s="119">
        <v>0</v>
      </c>
      <c r="H1258" s="119" t="s">
        <v>475</v>
      </c>
      <c r="I1258" s="119" t="s">
        <v>503</v>
      </c>
    </row>
    <row r="1259" spans="1:9" ht="13">
      <c r="A1259" s="118">
        <v>46178</v>
      </c>
      <c r="B1259" s="119">
        <v>7002690646</v>
      </c>
      <c r="C1259" s="119" t="s">
        <v>587</v>
      </c>
      <c r="D1259" s="119" t="s">
        <v>476</v>
      </c>
      <c r="E1259" s="119" t="s">
        <v>488</v>
      </c>
      <c r="F1259" s="119" t="s">
        <v>90</v>
      </c>
      <c r="G1259" s="119">
        <v>0</v>
      </c>
      <c r="H1259" s="119" t="s">
        <v>475</v>
      </c>
      <c r="I1259" s="119" t="s">
        <v>503</v>
      </c>
    </row>
    <row r="1260" spans="1:9" ht="13">
      <c r="A1260" s="118">
        <v>46178</v>
      </c>
      <c r="B1260" s="119">
        <v>7002749956</v>
      </c>
      <c r="C1260" s="119" t="s">
        <v>589</v>
      </c>
      <c r="D1260" s="119" t="s">
        <v>580</v>
      </c>
      <c r="E1260" s="119" t="s">
        <v>463</v>
      </c>
      <c r="F1260" s="119" t="s">
        <v>90</v>
      </c>
      <c r="G1260" s="119">
        <v>1</v>
      </c>
      <c r="H1260" s="119" t="s">
        <v>475</v>
      </c>
      <c r="I1260" s="119" t="s">
        <v>503</v>
      </c>
    </row>
    <row r="1261" spans="1:9" ht="13">
      <c r="A1261" s="118">
        <v>46178</v>
      </c>
      <c r="B1261" s="119">
        <v>7002766285</v>
      </c>
      <c r="C1261" s="119" t="s">
        <v>589</v>
      </c>
      <c r="D1261" s="119" t="s">
        <v>580</v>
      </c>
      <c r="E1261" s="119" t="s">
        <v>463</v>
      </c>
      <c r="F1261" s="119" t="s">
        <v>90</v>
      </c>
      <c r="G1261" s="119">
        <v>1</v>
      </c>
      <c r="H1261" s="119" t="s">
        <v>475</v>
      </c>
      <c r="I1261" s="119" t="s">
        <v>503</v>
      </c>
    </row>
    <row r="1262" spans="1:9" ht="13">
      <c r="A1262" s="118">
        <v>46178</v>
      </c>
      <c r="B1262" s="119">
        <v>7002513445</v>
      </c>
      <c r="C1262" s="119" t="s">
        <v>583</v>
      </c>
      <c r="D1262" s="119" t="s">
        <v>476</v>
      </c>
      <c r="E1262" s="119" t="s">
        <v>554</v>
      </c>
      <c r="F1262" s="119" t="s">
        <v>90</v>
      </c>
      <c r="G1262" s="119">
        <v>4</v>
      </c>
      <c r="H1262" s="119" t="s">
        <v>475</v>
      </c>
      <c r="I1262" s="119" t="s">
        <v>503</v>
      </c>
    </row>
    <row r="1263" spans="1:9" ht="13">
      <c r="A1263" s="109"/>
      <c r="B1263" s="110"/>
      <c r="C1263" s="110"/>
      <c r="D1263" s="110"/>
      <c r="E1263" s="110"/>
      <c r="F1263" s="110"/>
      <c r="G1263" s="110"/>
      <c r="H1263" s="110"/>
      <c r="I1263" s="110"/>
    </row>
    <row r="1264" spans="1:9" ht="13">
      <c r="A1264" s="105" t="s">
        <v>1</v>
      </c>
      <c r="B1264" s="105" t="s">
        <v>445</v>
      </c>
      <c r="C1264" s="105" t="s">
        <v>446</v>
      </c>
      <c r="D1264" s="105" t="s">
        <v>465</v>
      </c>
      <c r="E1264" s="105" t="s">
        <v>70</v>
      </c>
      <c r="F1264" s="105" t="s">
        <v>447</v>
      </c>
      <c r="G1264" s="105" t="s">
        <v>71</v>
      </c>
      <c r="H1264" s="105" t="s">
        <v>466</v>
      </c>
      <c r="I1264" s="105" t="s">
        <v>448</v>
      </c>
    </row>
    <row r="1265" spans="1:15" ht="13">
      <c r="A1265" s="118">
        <v>46179</v>
      </c>
      <c r="B1265" s="126">
        <v>7002825531</v>
      </c>
      <c r="C1265" s="127" t="s">
        <v>590</v>
      </c>
      <c r="D1265" s="126" t="s">
        <v>474</v>
      </c>
      <c r="E1265" s="126" t="s">
        <v>98</v>
      </c>
      <c r="F1265" s="126" t="s">
        <v>96</v>
      </c>
      <c r="G1265" s="126">
        <v>3</v>
      </c>
      <c r="H1265" s="119" t="s">
        <v>472</v>
      </c>
      <c r="I1265" s="126" t="s">
        <v>82</v>
      </c>
    </row>
    <row r="1266" spans="1:15" ht="13">
      <c r="A1266" s="118">
        <v>46179</v>
      </c>
      <c r="B1266" s="126">
        <v>7002780495</v>
      </c>
      <c r="C1266" s="119" t="s">
        <v>588</v>
      </c>
      <c r="D1266" s="126" t="s">
        <v>489</v>
      </c>
      <c r="E1266" s="126" t="s">
        <v>103</v>
      </c>
      <c r="F1266" s="126" t="s">
        <v>108</v>
      </c>
      <c r="G1266" s="126">
        <v>2</v>
      </c>
      <c r="H1266" s="119" t="s">
        <v>472</v>
      </c>
      <c r="I1266" s="126" t="s">
        <v>505</v>
      </c>
    </row>
    <row r="1267" spans="1:15" ht="13">
      <c r="A1267" s="118">
        <v>46179</v>
      </c>
      <c r="B1267" s="126">
        <v>7002784132</v>
      </c>
      <c r="C1267" s="126" t="s">
        <v>468</v>
      </c>
      <c r="D1267" s="126" t="s">
        <v>489</v>
      </c>
      <c r="E1267" s="126" t="s">
        <v>91</v>
      </c>
      <c r="F1267" s="126" t="s">
        <v>462</v>
      </c>
      <c r="G1267" s="126">
        <v>1</v>
      </c>
      <c r="H1267" s="119" t="s">
        <v>472</v>
      </c>
      <c r="I1267" s="126" t="s">
        <v>505</v>
      </c>
    </row>
    <row r="1268" spans="1:15" ht="13">
      <c r="A1268" s="118">
        <v>46179</v>
      </c>
      <c r="B1268" s="126">
        <v>7002444797</v>
      </c>
      <c r="C1268" s="127" t="s">
        <v>468</v>
      </c>
      <c r="D1268" s="126" t="s">
        <v>476</v>
      </c>
      <c r="E1268" s="126" t="s">
        <v>510</v>
      </c>
      <c r="F1268" s="126" t="s">
        <v>459</v>
      </c>
      <c r="G1268" s="126">
        <v>18</v>
      </c>
      <c r="H1268" s="119" t="s">
        <v>472</v>
      </c>
      <c r="I1268" s="126" t="s">
        <v>82</v>
      </c>
    </row>
    <row r="1269" spans="1:15" ht="13">
      <c r="A1269" s="118">
        <v>46179</v>
      </c>
      <c r="B1269" s="126">
        <v>7002500078</v>
      </c>
      <c r="C1269" s="127" t="s">
        <v>468</v>
      </c>
      <c r="D1269" s="126" t="s">
        <v>495</v>
      </c>
      <c r="E1269" s="126" t="s">
        <v>556</v>
      </c>
      <c r="F1269" s="126" t="s">
        <v>459</v>
      </c>
      <c r="G1269" s="126">
        <v>2</v>
      </c>
      <c r="H1269" s="119" t="s">
        <v>472</v>
      </c>
      <c r="I1269" s="126" t="s">
        <v>82</v>
      </c>
    </row>
    <row r="1270" spans="1:15" ht="13">
      <c r="A1270" s="118">
        <v>46179</v>
      </c>
      <c r="B1270" s="126">
        <v>7002559865</v>
      </c>
      <c r="C1270" s="127" t="s">
        <v>468</v>
      </c>
      <c r="D1270" s="126" t="s">
        <v>495</v>
      </c>
      <c r="E1270" s="126" t="s">
        <v>591</v>
      </c>
      <c r="F1270" s="126" t="s">
        <v>459</v>
      </c>
      <c r="G1270" s="126">
        <v>4</v>
      </c>
      <c r="H1270" s="119" t="s">
        <v>472</v>
      </c>
      <c r="I1270" s="126" t="s">
        <v>82</v>
      </c>
    </row>
    <row r="1271" spans="1:15" ht="13">
      <c r="A1271" s="118">
        <v>46179</v>
      </c>
      <c r="B1271" s="126">
        <v>7002718837</v>
      </c>
      <c r="C1271" s="127" t="s">
        <v>592</v>
      </c>
      <c r="D1271" s="126" t="s">
        <v>474</v>
      </c>
      <c r="E1271" s="126" t="s">
        <v>510</v>
      </c>
      <c r="F1271" s="126" t="s">
        <v>121</v>
      </c>
      <c r="G1271" s="126">
        <v>19</v>
      </c>
      <c r="H1271" s="119" t="s">
        <v>472</v>
      </c>
      <c r="I1271" s="126" t="s">
        <v>82</v>
      </c>
    </row>
    <row r="1272" spans="1:15" ht="13">
      <c r="A1272" s="118">
        <v>46179</v>
      </c>
      <c r="B1272" s="126">
        <v>7002676267</v>
      </c>
      <c r="C1272" s="128" t="s">
        <v>569</v>
      </c>
      <c r="D1272" s="126" t="s">
        <v>476</v>
      </c>
      <c r="E1272" s="126" t="s">
        <v>488</v>
      </c>
      <c r="F1272" s="126" t="s">
        <v>459</v>
      </c>
      <c r="G1272" s="126">
        <v>0</v>
      </c>
      <c r="H1272" s="119" t="s">
        <v>472</v>
      </c>
      <c r="I1272" s="126" t="s">
        <v>503</v>
      </c>
    </row>
    <row r="1273" spans="1:15" ht="13">
      <c r="A1273" s="118">
        <v>46179</v>
      </c>
      <c r="B1273" s="126">
        <v>7002677328</v>
      </c>
      <c r="C1273" s="119" t="s">
        <v>569</v>
      </c>
      <c r="D1273" s="126" t="s">
        <v>476</v>
      </c>
      <c r="E1273" s="126" t="s">
        <v>488</v>
      </c>
      <c r="F1273" s="126" t="s">
        <v>459</v>
      </c>
      <c r="G1273" s="126">
        <v>0</v>
      </c>
      <c r="H1273" s="119" t="s">
        <v>472</v>
      </c>
      <c r="I1273" s="126" t="s">
        <v>503</v>
      </c>
    </row>
    <row r="1274" spans="1:15" ht="13">
      <c r="A1274" s="118">
        <v>46179</v>
      </c>
      <c r="B1274" s="126">
        <v>7002782004</v>
      </c>
      <c r="C1274" s="119" t="s">
        <v>588</v>
      </c>
      <c r="D1274" s="126" t="s">
        <v>489</v>
      </c>
      <c r="E1274" s="126" t="s">
        <v>463</v>
      </c>
      <c r="F1274" s="126" t="s">
        <v>108</v>
      </c>
      <c r="G1274" s="126">
        <v>1</v>
      </c>
      <c r="H1274" s="119" t="s">
        <v>472</v>
      </c>
      <c r="I1274" s="126" t="s">
        <v>505</v>
      </c>
    </row>
    <row r="1275" spans="1:15" ht="13">
      <c r="A1275" s="118">
        <v>46179</v>
      </c>
      <c r="B1275" s="126">
        <v>7002786840</v>
      </c>
      <c r="C1275" s="126" t="s">
        <v>536</v>
      </c>
      <c r="D1275" s="126" t="s">
        <v>580</v>
      </c>
      <c r="E1275" s="126" t="s">
        <v>98</v>
      </c>
      <c r="F1275" s="126" t="s">
        <v>462</v>
      </c>
      <c r="G1275" s="126">
        <v>3</v>
      </c>
      <c r="H1275" s="119" t="s">
        <v>472</v>
      </c>
      <c r="I1275" s="126" t="s">
        <v>505</v>
      </c>
    </row>
    <row r="1276" spans="1:15" ht="13">
      <c r="A1276" s="118">
        <v>46179</v>
      </c>
      <c r="B1276" s="126">
        <v>7002676412</v>
      </c>
      <c r="C1276" s="119" t="s">
        <v>569</v>
      </c>
      <c r="D1276" s="126" t="s">
        <v>476</v>
      </c>
      <c r="E1276" s="126" t="s">
        <v>488</v>
      </c>
      <c r="F1276" s="126" t="s">
        <v>459</v>
      </c>
      <c r="G1276" s="126">
        <v>0</v>
      </c>
      <c r="H1276" s="119" t="s">
        <v>472</v>
      </c>
      <c r="I1276" s="126" t="s">
        <v>503</v>
      </c>
    </row>
    <row r="1277" spans="1:15" ht="13">
      <c r="A1277" s="109"/>
      <c r="B1277" s="110"/>
      <c r="C1277" s="110"/>
      <c r="D1277" s="110"/>
      <c r="E1277" s="110"/>
      <c r="F1277" s="110"/>
      <c r="G1277" s="110"/>
      <c r="H1277" s="110"/>
      <c r="I1277" s="110"/>
    </row>
    <row r="1278" spans="1:15" ht="13">
      <c r="A1278" s="109"/>
      <c r="B1278" s="110"/>
      <c r="C1278" s="110"/>
      <c r="D1278" s="110"/>
      <c r="E1278" s="110"/>
      <c r="F1278" s="110"/>
      <c r="G1278" s="110"/>
      <c r="H1278" s="110"/>
      <c r="I1278" s="110"/>
    </row>
    <row r="1279" spans="1:15" ht="13">
      <c r="A1279" s="105" t="s">
        <v>1</v>
      </c>
      <c r="B1279" s="105" t="s">
        <v>445</v>
      </c>
      <c r="C1279" s="105" t="s">
        <v>446</v>
      </c>
      <c r="D1279" s="105" t="s">
        <v>465</v>
      </c>
      <c r="E1279" s="105" t="s">
        <v>70</v>
      </c>
      <c r="F1279" s="105" t="s">
        <v>447</v>
      </c>
      <c r="G1279" s="105" t="s">
        <v>71</v>
      </c>
      <c r="H1279" s="105" t="s">
        <v>466</v>
      </c>
      <c r="I1279" s="105" t="s">
        <v>448</v>
      </c>
    </row>
    <row r="1280" spans="1:15" ht="14">
      <c r="A1280" s="118">
        <v>46181</v>
      </c>
      <c r="B1280" s="119">
        <v>7002874251</v>
      </c>
      <c r="C1280" s="119" t="s">
        <v>593</v>
      </c>
      <c r="D1280" s="119" t="s">
        <v>474</v>
      </c>
      <c r="E1280" s="119" t="s">
        <v>539</v>
      </c>
      <c r="F1280" s="119" t="s">
        <v>108</v>
      </c>
      <c r="G1280" s="119">
        <v>1</v>
      </c>
      <c r="H1280" s="119" t="s">
        <v>472</v>
      </c>
      <c r="I1280" s="119" t="s">
        <v>82</v>
      </c>
      <c r="K1280" s="216">
        <v>46181</v>
      </c>
      <c r="L1280" s="196"/>
      <c r="M1280" s="196"/>
      <c r="N1280" s="196"/>
      <c r="O1280" s="197"/>
    </row>
    <row r="1281" spans="1:15" ht="13">
      <c r="A1281" s="118">
        <v>46181</v>
      </c>
      <c r="B1281" s="119">
        <v>7002768801</v>
      </c>
      <c r="C1281" s="119" t="s">
        <v>594</v>
      </c>
      <c r="D1281" s="119" t="s">
        <v>474</v>
      </c>
      <c r="E1281" s="119" t="s">
        <v>454</v>
      </c>
      <c r="F1281" s="119" t="s">
        <v>595</v>
      </c>
      <c r="G1281" s="119">
        <v>1</v>
      </c>
      <c r="H1281" s="119" t="s">
        <v>472</v>
      </c>
      <c r="I1281" s="119" t="s">
        <v>505</v>
      </c>
      <c r="K1281" s="91" t="s">
        <v>529</v>
      </c>
      <c r="L1281" s="91" t="s">
        <v>74</v>
      </c>
      <c r="M1281" s="91"/>
      <c r="N1281" s="91"/>
      <c r="O1281" s="91"/>
    </row>
    <row r="1282" spans="1:15" ht="13">
      <c r="A1282" s="118">
        <v>46181</v>
      </c>
      <c r="B1282" s="119">
        <v>7002842172</v>
      </c>
      <c r="C1282" s="119" t="s">
        <v>596</v>
      </c>
      <c r="D1282" s="119" t="s">
        <v>489</v>
      </c>
      <c r="E1282" s="119" t="s">
        <v>91</v>
      </c>
      <c r="F1282" s="119" t="s">
        <v>108</v>
      </c>
      <c r="G1282" s="119">
        <v>124</v>
      </c>
      <c r="H1282" s="119" t="s">
        <v>472</v>
      </c>
      <c r="I1282" s="119" t="s">
        <v>82</v>
      </c>
      <c r="K1282" s="91" t="s">
        <v>62</v>
      </c>
      <c r="L1282" s="91" t="s">
        <v>503</v>
      </c>
      <c r="M1282" s="91" t="s">
        <v>82</v>
      </c>
      <c r="N1282" s="91" t="s">
        <v>505</v>
      </c>
      <c r="O1282" s="91" t="s">
        <v>84</v>
      </c>
    </row>
    <row r="1283" spans="1:15" ht="13">
      <c r="A1283" s="118">
        <v>46181</v>
      </c>
      <c r="B1283" s="119">
        <v>7002822284</v>
      </c>
      <c r="C1283" s="119" t="s">
        <v>596</v>
      </c>
      <c r="D1283" s="119" t="s">
        <v>489</v>
      </c>
      <c r="E1283" s="119" t="s">
        <v>463</v>
      </c>
      <c r="F1283" s="119" t="s">
        <v>108</v>
      </c>
      <c r="G1283" s="119">
        <v>1</v>
      </c>
      <c r="H1283" s="119" t="s">
        <v>472</v>
      </c>
      <c r="I1283" s="119" t="s">
        <v>82</v>
      </c>
      <c r="K1283" s="129" t="s">
        <v>475</v>
      </c>
      <c r="L1283" s="129">
        <v>4</v>
      </c>
      <c r="M1283" s="129">
        <v>98</v>
      </c>
      <c r="N1283" s="129">
        <v>1</v>
      </c>
      <c r="O1283" s="129">
        <v>103</v>
      </c>
    </row>
    <row r="1284" spans="1:15" ht="13">
      <c r="A1284" s="118">
        <v>46181</v>
      </c>
      <c r="B1284" s="119">
        <v>7002826456</v>
      </c>
      <c r="C1284" s="119" t="s">
        <v>596</v>
      </c>
      <c r="D1284" s="119" t="s">
        <v>489</v>
      </c>
      <c r="E1284" s="119" t="s">
        <v>454</v>
      </c>
      <c r="F1284" s="119" t="s">
        <v>96</v>
      </c>
      <c r="G1284" s="119">
        <v>3</v>
      </c>
      <c r="H1284" s="119" t="s">
        <v>472</v>
      </c>
      <c r="I1284" s="119" t="s">
        <v>82</v>
      </c>
      <c r="K1284" s="87" t="s">
        <v>524</v>
      </c>
      <c r="L1284" s="87"/>
      <c r="M1284" s="87">
        <v>98</v>
      </c>
      <c r="N1284" s="87"/>
      <c r="O1284" s="87">
        <v>98</v>
      </c>
    </row>
    <row r="1285" spans="1:15" ht="13">
      <c r="A1285" s="118">
        <v>46181</v>
      </c>
      <c r="B1285" s="119">
        <v>7002821267</v>
      </c>
      <c r="C1285" s="119" t="s">
        <v>596</v>
      </c>
      <c r="D1285" s="119" t="s">
        <v>489</v>
      </c>
      <c r="E1285" s="119" t="s">
        <v>454</v>
      </c>
      <c r="F1285" s="119" t="s">
        <v>96</v>
      </c>
      <c r="G1285" s="119">
        <v>2</v>
      </c>
      <c r="H1285" s="119" t="s">
        <v>472</v>
      </c>
      <c r="I1285" s="119" t="s">
        <v>82</v>
      </c>
      <c r="K1285" s="87" t="s">
        <v>587</v>
      </c>
      <c r="L1285" s="87">
        <v>3</v>
      </c>
      <c r="M1285" s="87"/>
      <c r="N1285" s="87"/>
      <c r="O1285" s="87">
        <v>3</v>
      </c>
    </row>
    <row r="1286" spans="1:15" ht="13">
      <c r="A1286" s="118">
        <v>46181</v>
      </c>
      <c r="B1286" s="119">
        <v>7002889090</v>
      </c>
      <c r="C1286" s="119" t="s">
        <v>593</v>
      </c>
      <c r="D1286" s="119" t="s">
        <v>479</v>
      </c>
      <c r="E1286" s="119" t="s">
        <v>103</v>
      </c>
      <c r="F1286" s="119" t="s">
        <v>108</v>
      </c>
      <c r="G1286" s="119">
        <v>3</v>
      </c>
      <c r="H1286" s="119" t="s">
        <v>472</v>
      </c>
      <c r="I1286" s="119" t="s">
        <v>82</v>
      </c>
      <c r="K1286" s="87" t="s">
        <v>597</v>
      </c>
      <c r="L1286" s="87"/>
      <c r="M1286" s="87"/>
      <c r="N1286" s="87">
        <v>1</v>
      </c>
      <c r="O1286" s="87">
        <v>1</v>
      </c>
    </row>
    <row r="1287" spans="1:15" ht="13">
      <c r="A1287" s="118">
        <v>46181</v>
      </c>
      <c r="B1287" s="119">
        <v>7002676267</v>
      </c>
      <c r="C1287" s="119" t="s">
        <v>598</v>
      </c>
      <c r="D1287" s="119" t="s">
        <v>476</v>
      </c>
      <c r="E1287" s="119" t="s">
        <v>488</v>
      </c>
      <c r="F1287" s="119" t="s">
        <v>459</v>
      </c>
      <c r="G1287" s="119">
        <v>0</v>
      </c>
      <c r="H1287" s="119" t="s">
        <v>472</v>
      </c>
      <c r="I1287" s="119" t="s">
        <v>503</v>
      </c>
      <c r="K1287" s="87" t="s">
        <v>599</v>
      </c>
      <c r="L1287" s="87">
        <v>1</v>
      </c>
      <c r="M1287" s="87"/>
      <c r="N1287" s="87"/>
      <c r="O1287" s="87">
        <v>1</v>
      </c>
    </row>
    <row r="1288" spans="1:15" ht="13">
      <c r="A1288" s="118">
        <v>46181</v>
      </c>
      <c r="B1288" s="119">
        <v>7002889061</v>
      </c>
      <c r="C1288" s="119" t="s">
        <v>593</v>
      </c>
      <c r="D1288" s="119" t="s">
        <v>479</v>
      </c>
      <c r="E1288" s="119" t="s">
        <v>103</v>
      </c>
      <c r="F1288" s="119" t="s">
        <v>108</v>
      </c>
      <c r="G1288" s="119">
        <v>2</v>
      </c>
      <c r="H1288" s="119" t="s">
        <v>472</v>
      </c>
      <c r="I1288" s="119" t="s">
        <v>82</v>
      </c>
      <c r="K1288" s="129" t="s">
        <v>472</v>
      </c>
      <c r="L1288" s="129">
        <v>3</v>
      </c>
      <c r="M1288" s="129">
        <v>16</v>
      </c>
      <c r="N1288" s="129">
        <v>2</v>
      </c>
      <c r="O1288" s="129">
        <v>21</v>
      </c>
    </row>
    <row r="1289" spans="1:15" ht="13">
      <c r="A1289" s="118">
        <v>46181</v>
      </c>
      <c r="B1289" s="119">
        <v>7002677328</v>
      </c>
      <c r="C1289" s="119" t="s">
        <v>598</v>
      </c>
      <c r="D1289" s="119" t="s">
        <v>476</v>
      </c>
      <c r="E1289" s="119" t="s">
        <v>488</v>
      </c>
      <c r="F1289" s="119" t="s">
        <v>459</v>
      </c>
      <c r="G1289" s="119">
        <v>0</v>
      </c>
      <c r="H1289" s="119" t="s">
        <v>472</v>
      </c>
      <c r="I1289" s="119" t="s">
        <v>503</v>
      </c>
      <c r="K1289" s="87" t="s">
        <v>600</v>
      </c>
      <c r="L1289" s="87"/>
      <c r="M1289" s="87">
        <v>11</v>
      </c>
      <c r="N1289" s="87">
        <v>1</v>
      </c>
      <c r="O1289" s="87">
        <v>12</v>
      </c>
    </row>
    <row r="1290" spans="1:15" ht="13">
      <c r="A1290" s="118">
        <v>46181</v>
      </c>
      <c r="B1290" s="119">
        <v>7002818740</v>
      </c>
      <c r="C1290" s="119" t="s">
        <v>596</v>
      </c>
      <c r="D1290" s="119" t="s">
        <v>489</v>
      </c>
      <c r="E1290" s="119" t="s">
        <v>463</v>
      </c>
      <c r="F1290" s="119" t="s">
        <v>108</v>
      </c>
      <c r="G1290" s="119">
        <v>1</v>
      </c>
      <c r="H1290" s="119" t="s">
        <v>472</v>
      </c>
      <c r="I1290" s="119" t="s">
        <v>82</v>
      </c>
      <c r="K1290" s="87" t="s">
        <v>601</v>
      </c>
      <c r="L1290" s="87"/>
      <c r="M1290" s="87">
        <v>4</v>
      </c>
      <c r="N1290" s="87"/>
      <c r="O1290" s="87">
        <v>4</v>
      </c>
    </row>
    <row r="1291" spans="1:15" ht="13">
      <c r="A1291" s="118">
        <v>46181</v>
      </c>
      <c r="B1291" s="119">
        <v>7002814765</v>
      </c>
      <c r="C1291" s="119" t="s">
        <v>596</v>
      </c>
      <c r="D1291" s="119" t="s">
        <v>489</v>
      </c>
      <c r="E1291" s="119" t="s">
        <v>463</v>
      </c>
      <c r="F1291" s="119" t="s">
        <v>108</v>
      </c>
      <c r="G1291" s="119">
        <v>1</v>
      </c>
      <c r="H1291" s="119" t="s">
        <v>472</v>
      </c>
      <c r="I1291" s="119" t="s">
        <v>82</v>
      </c>
      <c r="K1291" s="87" t="s">
        <v>598</v>
      </c>
      <c r="L1291" s="87">
        <v>3</v>
      </c>
      <c r="M1291" s="87"/>
      <c r="N1291" s="87"/>
      <c r="O1291" s="87">
        <v>3</v>
      </c>
    </row>
    <row r="1292" spans="1:15" ht="13">
      <c r="A1292" s="118">
        <v>46181</v>
      </c>
      <c r="B1292" s="119">
        <v>7002812779</v>
      </c>
      <c r="C1292" s="119" t="s">
        <v>596</v>
      </c>
      <c r="D1292" s="119" t="s">
        <v>489</v>
      </c>
      <c r="E1292" s="119" t="s">
        <v>463</v>
      </c>
      <c r="F1292" s="119" t="s">
        <v>108</v>
      </c>
      <c r="G1292" s="119">
        <v>1</v>
      </c>
      <c r="H1292" s="119" t="s">
        <v>472</v>
      </c>
      <c r="I1292" s="119" t="s">
        <v>82</v>
      </c>
      <c r="K1292" s="87" t="s">
        <v>602</v>
      </c>
      <c r="L1292" s="87"/>
      <c r="M1292" s="87"/>
      <c r="N1292" s="87">
        <v>1</v>
      </c>
      <c r="O1292" s="87">
        <v>1</v>
      </c>
    </row>
    <row r="1293" spans="1:15" ht="13">
      <c r="A1293" s="118">
        <v>46181</v>
      </c>
      <c r="B1293" s="119">
        <v>7002889035</v>
      </c>
      <c r="C1293" s="119" t="s">
        <v>593</v>
      </c>
      <c r="D1293" s="119" t="s">
        <v>479</v>
      </c>
      <c r="E1293" s="119" t="s">
        <v>103</v>
      </c>
      <c r="F1293" s="119" t="s">
        <v>108</v>
      </c>
      <c r="G1293" s="119">
        <v>3</v>
      </c>
      <c r="H1293" s="119" t="s">
        <v>472</v>
      </c>
      <c r="I1293" s="119" t="s">
        <v>82</v>
      </c>
      <c r="K1293" s="87" t="s">
        <v>603</v>
      </c>
      <c r="L1293" s="87"/>
      <c r="M1293" s="87">
        <v>1</v>
      </c>
      <c r="N1293" s="87"/>
      <c r="O1293" s="87">
        <v>1</v>
      </c>
    </row>
    <row r="1294" spans="1:15" ht="13">
      <c r="A1294" s="118">
        <v>46181</v>
      </c>
      <c r="B1294" s="119">
        <v>7002823059</v>
      </c>
      <c r="C1294" s="119" t="s">
        <v>596</v>
      </c>
      <c r="D1294" s="119" t="s">
        <v>489</v>
      </c>
      <c r="E1294" s="119" t="s">
        <v>98</v>
      </c>
      <c r="F1294" s="119" t="s">
        <v>108</v>
      </c>
      <c r="G1294" s="119">
        <v>3</v>
      </c>
      <c r="H1294" s="119" t="s">
        <v>472</v>
      </c>
      <c r="I1294" s="119" t="s">
        <v>82</v>
      </c>
      <c r="K1294" s="91" t="s">
        <v>84</v>
      </c>
      <c r="L1294" s="91">
        <v>7</v>
      </c>
      <c r="M1294" s="91">
        <v>114</v>
      </c>
      <c r="N1294" s="91">
        <v>3</v>
      </c>
      <c r="O1294" s="91">
        <v>124</v>
      </c>
    </row>
    <row r="1295" spans="1:15" ht="13">
      <c r="A1295" s="118">
        <v>46181</v>
      </c>
      <c r="B1295" s="119">
        <v>7002676412</v>
      </c>
      <c r="C1295" s="119" t="s">
        <v>598</v>
      </c>
      <c r="D1295" s="119" t="s">
        <v>476</v>
      </c>
      <c r="E1295" s="119" t="s">
        <v>488</v>
      </c>
      <c r="F1295" s="119" t="s">
        <v>459</v>
      </c>
      <c r="G1295" s="119">
        <v>0</v>
      </c>
      <c r="H1295" s="119" t="s">
        <v>472</v>
      </c>
      <c r="I1295" s="119" t="s">
        <v>503</v>
      </c>
    </row>
    <row r="1296" spans="1:15" ht="13">
      <c r="A1296" s="118">
        <v>46181</v>
      </c>
      <c r="B1296" s="119">
        <v>7002829189</v>
      </c>
      <c r="C1296" s="119" t="s">
        <v>596</v>
      </c>
      <c r="D1296" s="119" t="s">
        <v>489</v>
      </c>
      <c r="E1296" s="119" t="s">
        <v>463</v>
      </c>
      <c r="F1296" s="119" t="s">
        <v>108</v>
      </c>
      <c r="G1296" s="119">
        <v>1</v>
      </c>
      <c r="H1296" s="119" t="s">
        <v>472</v>
      </c>
      <c r="I1296" s="119" t="s">
        <v>82</v>
      </c>
    </row>
    <row r="1297" spans="1:9" ht="13">
      <c r="A1297" s="118">
        <v>46181</v>
      </c>
      <c r="B1297" s="119">
        <v>7002889758</v>
      </c>
      <c r="C1297" s="119" t="s">
        <v>453</v>
      </c>
      <c r="D1297" s="119" t="s">
        <v>479</v>
      </c>
      <c r="E1297" s="119" t="s">
        <v>470</v>
      </c>
      <c r="F1297" s="119" t="s">
        <v>122</v>
      </c>
      <c r="G1297" s="119">
        <v>2</v>
      </c>
      <c r="H1297" s="119" t="s">
        <v>472</v>
      </c>
      <c r="I1297" s="119" t="s">
        <v>82</v>
      </c>
    </row>
    <row r="1298" spans="1:9" ht="13">
      <c r="A1298" s="118">
        <v>46181</v>
      </c>
      <c r="B1298" s="119">
        <v>7002831219</v>
      </c>
      <c r="C1298" s="119" t="s">
        <v>596</v>
      </c>
      <c r="D1298" s="119" t="s">
        <v>489</v>
      </c>
      <c r="E1298" s="119" t="s">
        <v>454</v>
      </c>
      <c r="F1298" s="119" t="s">
        <v>96</v>
      </c>
      <c r="G1298" s="119">
        <v>2</v>
      </c>
      <c r="H1298" s="119" t="s">
        <v>472</v>
      </c>
      <c r="I1298" s="119" t="s">
        <v>82</v>
      </c>
    </row>
    <row r="1299" spans="1:9" ht="13">
      <c r="A1299" s="118">
        <v>46181</v>
      </c>
      <c r="B1299" s="119">
        <v>7002831257</v>
      </c>
      <c r="C1299" s="119" t="s">
        <v>596</v>
      </c>
      <c r="D1299" s="119" t="s">
        <v>489</v>
      </c>
      <c r="E1299" s="119" t="s">
        <v>103</v>
      </c>
      <c r="F1299" s="119" t="s">
        <v>108</v>
      </c>
      <c r="G1299" s="119">
        <v>5</v>
      </c>
      <c r="H1299" s="119" t="s">
        <v>472</v>
      </c>
      <c r="I1299" s="119" t="s">
        <v>505</v>
      </c>
    </row>
    <row r="1300" spans="1:9" ht="13">
      <c r="A1300" s="118">
        <v>46181</v>
      </c>
      <c r="B1300" s="119">
        <v>7002830291</v>
      </c>
      <c r="C1300" s="119" t="s">
        <v>596</v>
      </c>
      <c r="D1300" s="119" t="s">
        <v>489</v>
      </c>
      <c r="E1300" s="119" t="s">
        <v>454</v>
      </c>
      <c r="F1300" s="119" t="s">
        <v>108</v>
      </c>
      <c r="G1300" s="119">
        <v>1</v>
      </c>
      <c r="H1300" s="119" t="s">
        <v>472</v>
      </c>
      <c r="I1300" s="119" t="s">
        <v>82</v>
      </c>
    </row>
    <row r="1301" spans="1:9" ht="13">
      <c r="A1301" s="118">
        <v>46181</v>
      </c>
      <c r="B1301" s="119">
        <v>7002876126</v>
      </c>
      <c r="C1301" s="119" t="s">
        <v>524</v>
      </c>
      <c r="D1301" s="119" t="s">
        <v>515</v>
      </c>
      <c r="E1301" s="119" t="s">
        <v>470</v>
      </c>
      <c r="F1301" s="119" t="s">
        <v>90</v>
      </c>
      <c r="G1301" s="119">
        <v>4</v>
      </c>
      <c r="H1301" s="119" t="s">
        <v>475</v>
      </c>
      <c r="I1301" s="119" t="s">
        <v>82</v>
      </c>
    </row>
    <row r="1302" spans="1:9" ht="13">
      <c r="A1302" s="118">
        <v>46181</v>
      </c>
      <c r="B1302" s="119">
        <v>7002876135</v>
      </c>
      <c r="C1302" s="119" t="s">
        <v>524</v>
      </c>
      <c r="D1302" s="119" t="s">
        <v>479</v>
      </c>
      <c r="E1302" s="119" t="s">
        <v>103</v>
      </c>
      <c r="F1302" s="119" t="s">
        <v>90</v>
      </c>
      <c r="G1302" s="119">
        <v>5</v>
      </c>
      <c r="H1302" s="119" t="s">
        <v>475</v>
      </c>
      <c r="I1302" s="119" t="s">
        <v>82</v>
      </c>
    </row>
    <row r="1303" spans="1:9" ht="13">
      <c r="A1303" s="118">
        <v>46181</v>
      </c>
      <c r="B1303" s="119">
        <v>7002758998</v>
      </c>
      <c r="C1303" s="119" t="s">
        <v>524</v>
      </c>
      <c r="D1303" s="119" t="s">
        <v>474</v>
      </c>
      <c r="E1303" s="119" t="s">
        <v>604</v>
      </c>
      <c r="F1303" s="119" t="s">
        <v>90</v>
      </c>
      <c r="G1303" s="119">
        <v>41</v>
      </c>
      <c r="H1303" s="119" t="s">
        <v>475</v>
      </c>
      <c r="I1303" s="119" t="s">
        <v>82</v>
      </c>
    </row>
    <row r="1304" spans="1:9" ht="13">
      <c r="A1304" s="118">
        <v>46181</v>
      </c>
      <c r="B1304" s="119">
        <v>7002871148</v>
      </c>
      <c r="C1304" s="119" t="s">
        <v>524</v>
      </c>
      <c r="D1304" s="119" t="s">
        <v>474</v>
      </c>
      <c r="E1304" s="119" t="s">
        <v>91</v>
      </c>
      <c r="F1304" s="119" t="s">
        <v>90</v>
      </c>
      <c r="G1304" s="119">
        <v>1</v>
      </c>
      <c r="H1304" s="119" t="s">
        <v>475</v>
      </c>
      <c r="I1304" s="119" t="s">
        <v>82</v>
      </c>
    </row>
    <row r="1305" spans="1:9" ht="13">
      <c r="A1305" s="118">
        <v>46181</v>
      </c>
      <c r="B1305" s="119">
        <v>7002815995</v>
      </c>
      <c r="C1305" s="119" t="s">
        <v>524</v>
      </c>
      <c r="D1305" s="119" t="s">
        <v>474</v>
      </c>
      <c r="E1305" s="119" t="s">
        <v>528</v>
      </c>
      <c r="F1305" s="119" t="s">
        <v>90</v>
      </c>
      <c r="G1305" s="119">
        <v>50</v>
      </c>
      <c r="H1305" s="119" t="s">
        <v>475</v>
      </c>
      <c r="I1305" s="119" t="s">
        <v>82</v>
      </c>
    </row>
    <row r="1306" spans="1:9" ht="13">
      <c r="A1306" s="118">
        <v>46181</v>
      </c>
      <c r="B1306" s="119">
        <v>7002753436</v>
      </c>
      <c r="C1306" s="119" t="s">
        <v>524</v>
      </c>
      <c r="D1306" s="119" t="s">
        <v>474</v>
      </c>
      <c r="E1306" s="119" t="s">
        <v>452</v>
      </c>
      <c r="F1306" s="119" t="s">
        <v>90</v>
      </c>
      <c r="G1306" s="119">
        <v>13</v>
      </c>
      <c r="H1306" s="119" t="s">
        <v>475</v>
      </c>
      <c r="I1306" s="119" t="s">
        <v>82</v>
      </c>
    </row>
    <row r="1307" spans="1:9" ht="13">
      <c r="A1307" s="118">
        <v>46181</v>
      </c>
      <c r="B1307" s="119">
        <v>7002878258</v>
      </c>
      <c r="C1307" s="119" t="s">
        <v>524</v>
      </c>
      <c r="D1307" s="119" t="s">
        <v>479</v>
      </c>
      <c r="E1307" s="119" t="s">
        <v>470</v>
      </c>
      <c r="F1307" s="119" t="s">
        <v>90</v>
      </c>
      <c r="G1307" s="119">
        <v>7</v>
      </c>
      <c r="H1307" s="119" t="s">
        <v>475</v>
      </c>
      <c r="I1307" s="119" t="s">
        <v>82</v>
      </c>
    </row>
    <row r="1308" spans="1:9" ht="13">
      <c r="A1308" s="118">
        <v>46181</v>
      </c>
      <c r="B1308" s="119">
        <v>7002879129</v>
      </c>
      <c r="C1308" s="119" t="s">
        <v>524</v>
      </c>
      <c r="D1308" s="119" t="s">
        <v>474</v>
      </c>
      <c r="E1308" s="119" t="s">
        <v>91</v>
      </c>
      <c r="F1308" s="119" t="s">
        <v>90</v>
      </c>
      <c r="G1308" s="119">
        <v>8</v>
      </c>
      <c r="H1308" s="119" t="s">
        <v>475</v>
      </c>
      <c r="I1308" s="119" t="s">
        <v>82</v>
      </c>
    </row>
    <row r="1309" spans="1:9" ht="13">
      <c r="A1309" s="118">
        <v>46181</v>
      </c>
      <c r="B1309" s="119">
        <v>7002874121</v>
      </c>
      <c r="C1309" s="119" t="s">
        <v>524</v>
      </c>
      <c r="D1309" s="119" t="s">
        <v>474</v>
      </c>
      <c r="E1309" s="119" t="s">
        <v>91</v>
      </c>
      <c r="F1309" s="119" t="s">
        <v>90</v>
      </c>
      <c r="G1309" s="119">
        <v>1</v>
      </c>
      <c r="H1309" s="119" t="s">
        <v>475</v>
      </c>
      <c r="I1309" s="119" t="s">
        <v>82</v>
      </c>
    </row>
    <row r="1310" spans="1:9" ht="13">
      <c r="A1310" s="118">
        <v>46181</v>
      </c>
      <c r="B1310" s="119">
        <v>7002872542</v>
      </c>
      <c r="C1310" s="119" t="s">
        <v>524</v>
      </c>
      <c r="D1310" s="119" t="s">
        <v>474</v>
      </c>
      <c r="E1310" s="119" t="s">
        <v>91</v>
      </c>
      <c r="F1310" s="119" t="s">
        <v>90</v>
      </c>
      <c r="G1310" s="119">
        <v>1</v>
      </c>
      <c r="H1310" s="119" t="s">
        <v>475</v>
      </c>
      <c r="I1310" s="119" t="s">
        <v>82</v>
      </c>
    </row>
    <row r="1311" spans="1:9" ht="13">
      <c r="A1311" s="118">
        <v>46181</v>
      </c>
      <c r="B1311" s="119">
        <v>7002713999</v>
      </c>
      <c r="C1311" s="119" t="s">
        <v>524</v>
      </c>
      <c r="D1311" s="119" t="s">
        <v>474</v>
      </c>
      <c r="E1311" s="119" t="s">
        <v>554</v>
      </c>
      <c r="F1311" s="119" t="s">
        <v>90</v>
      </c>
      <c r="G1311" s="119">
        <v>10</v>
      </c>
      <c r="H1311" s="119" t="s">
        <v>475</v>
      </c>
      <c r="I1311" s="119" t="s">
        <v>82</v>
      </c>
    </row>
    <row r="1312" spans="1:9" ht="13">
      <c r="A1312" s="118">
        <v>46181</v>
      </c>
      <c r="B1312" s="119">
        <v>7002877136</v>
      </c>
      <c r="C1312" s="119" t="s">
        <v>524</v>
      </c>
      <c r="D1312" s="119" t="s">
        <v>474</v>
      </c>
      <c r="E1312" s="119" t="s">
        <v>91</v>
      </c>
      <c r="F1312" s="119" t="s">
        <v>90</v>
      </c>
      <c r="G1312" s="119">
        <v>20</v>
      </c>
      <c r="H1312" s="119" t="s">
        <v>475</v>
      </c>
      <c r="I1312" s="119" t="s">
        <v>82</v>
      </c>
    </row>
    <row r="1313" spans="1:9" ht="13">
      <c r="A1313" s="118">
        <v>46181</v>
      </c>
      <c r="B1313" s="119">
        <v>7002879186</v>
      </c>
      <c r="C1313" s="119" t="s">
        <v>524</v>
      </c>
      <c r="D1313" s="119" t="s">
        <v>479</v>
      </c>
      <c r="E1313" s="119" t="s">
        <v>470</v>
      </c>
      <c r="F1313" s="119" t="s">
        <v>90</v>
      </c>
      <c r="G1313" s="119">
        <v>6</v>
      </c>
      <c r="H1313" s="119" t="s">
        <v>475</v>
      </c>
      <c r="I1313" s="119" t="s">
        <v>82</v>
      </c>
    </row>
    <row r="1314" spans="1:9" ht="13">
      <c r="A1314" s="118">
        <v>46181</v>
      </c>
      <c r="B1314" s="119">
        <v>7002759149</v>
      </c>
      <c r="C1314" s="119" t="s">
        <v>524</v>
      </c>
      <c r="D1314" s="119" t="s">
        <v>474</v>
      </c>
      <c r="E1314" s="119" t="s">
        <v>452</v>
      </c>
      <c r="F1314" s="119" t="s">
        <v>90</v>
      </c>
      <c r="G1314" s="119">
        <v>3</v>
      </c>
      <c r="H1314" s="119" t="s">
        <v>475</v>
      </c>
      <c r="I1314" s="119" t="s">
        <v>82</v>
      </c>
    </row>
    <row r="1315" spans="1:9" ht="13">
      <c r="A1315" s="118">
        <v>46181</v>
      </c>
      <c r="B1315" s="119">
        <v>7002752158</v>
      </c>
      <c r="C1315" s="119" t="s">
        <v>524</v>
      </c>
      <c r="D1315" s="119" t="s">
        <v>474</v>
      </c>
      <c r="E1315" s="119" t="s">
        <v>452</v>
      </c>
      <c r="F1315" s="119" t="s">
        <v>90</v>
      </c>
      <c r="G1315" s="119">
        <v>3</v>
      </c>
      <c r="H1315" s="119" t="s">
        <v>475</v>
      </c>
      <c r="I1315" s="119" t="s">
        <v>82</v>
      </c>
    </row>
    <row r="1316" spans="1:9" ht="13">
      <c r="A1316" s="118">
        <v>46181</v>
      </c>
      <c r="B1316" s="119">
        <v>7002870165</v>
      </c>
      <c r="C1316" s="119" t="s">
        <v>524</v>
      </c>
      <c r="D1316" s="119" t="s">
        <v>479</v>
      </c>
      <c r="E1316" s="119" t="s">
        <v>103</v>
      </c>
      <c r="F1316" s="119" t="s">
        <v>90</v>
      </c>
      <c r="G1316" s="119">
        <v>1</v>
      </c>
      <c r="H1316" s="119" t="s">
        <v>475</v>
      </c>
      <c r="I1316" s="119" t="s">
        <v>82</v>
      </c>
    </row>
    <row r="1317" spans="1:9" ht="13">
      <c r="A1317" s="118">
        <v>46181</v>
      </c>
      <c r="B1317" s="119">
        <v>7002873151</v>
      </c>
      <c r="C1317" s="119" t="s">
        <v>524</v>
      </c>
      <c r="D1317" s="119" t="s">
        <v>479</v>
      </c>
      <c r="E1317" s="119" t="s">
        <v>470</v>
      </c>
      <c r="F1317" s="119" t="s">
        <v>90</v>
      </c>
      <c r="G1317" s="119">
        <v>9</v>
      </c>
      <c r="H1317" s="119" t="s">
        <v>475</v>
      </c>
      <c r="I1317" s="119" t="s">
        <v>82</v>
      </c>
    </row>
    <row r="1318" spans="1:9" ht="13">
      <c r="A1318" s="118">
        <v>46181</v>
      </c>
      <c r="B1318" s="119">
        <v>7002873133</v>
      </c>
      <c r="C1318" s="119" t="s">
        <v>524</v>
      </c>
      <c r="D1318" s="119" t="s">
        <v>515</v>
      </c>
      <c r="E1318" s="119" t="s">
        <v>470</v>
      </c>
      <c r="F1318" s="119" t="s">
        <v>90</v>
      </c>
      <c r="G1318" s="119">
        <v>49</v>
      </c>
      <c r="H1318" s="119" t="s">
        <v>475</v>
      </c>
      <c r="I1318" s="119" t="s">
        <v>82</v>
      </c>
    </row>
    <row r="1319" spans="1:9" ht="13">
      <c r="A1319" s="118">
        <v>46181</v>
      </c>
      <c r="B1319" s="119">
        <v>7002753354</v>
      </c>
      <c r="C1319" s="119" t="s">
        <v>524</v>
      </c>
      <c r="D1319" s="119" t="s">
        <v>474</v>
      </c>
      <c r="E1319" s="119" t="s">
        <v>452</v>
      </c>
      <c r="F1319" s="119" t="s">
        <v>90</v>
      </c>
      <c r="G1319" s="119">
        <v>1</v>
      </c>
      <c r="H1319" s="119" t="s">
        <v>475</v>
      </c>
      <c r="I1319" s="119" t="s">
        <v>82</v>
      </c>
    </row>
    <row r="1320" spans="1:9" ht="13">
      <c r="A1320" s="118">
        <v>46181</v>
      </c>
      <c r="B1320" s="119">
        <v>7002871169</v>
      </c>
      <c r="C1320" s="119" t="s">
        <v>524</v>
      </c>
      <c r="D1320" s="119" t="s">
        <v>479</v>
      </c>
      <c r="E1320" s="119" t="s">
        <v>470</v>
      </c>
      <c r="F1320" s="119" t="s">
        <v>90</v>
      </c>
      <c r="G1320" s="119">
        <v>14</v>
      </c>
      <c r="H1320" s="119" t="s">
        <v>475</v>
      </c>
      <c r="I1320" s="119" t="s">
        <v>82</v>
      </c>
    </row>
    <row r="1321" spans="1:9" ht="13">
      <c r="A1321" s="118">
        <v>46181</v>
      </c>
      <c r="B1321" s="119">
        <v>7002878082</v>
      </c>
      <c r="C1321" s="119" t="s">
        <v>524</v>
      </c>
      <c r="D1321" s="119" t="s">
        <v>474</v>
      </c>
      <c r="E1321" s="119" t="s">
        <v>91</v>
      </c>
      <c r="F1321" s="119" t="s">
        <v>90</v>
      </c>
      <c r="G1321" s="119">
        <v>3</v>
      </c>
      <c r="H1321" s="119" t="s">
        <v>475</v>
      </c>
      <c r="I1321" s="119" t="s">
        <v>82</v>
      </c>
    </row>
    <row r="1322" spans="1:9" ht="13">
      <c r="A1322" s="118">
        <v>46181</v>
      </c>
      <c r="B1322" s="119">
        <v>7002783811</v>
      </c>
      <c r="C1322" s="119" t="s">
        <v>524</v>
      </c>
      <c r="D1322" s="119" t="s">
        <v>474</v>
      </c>
      <c r="E1322" s="119" t="s">
        <v>452</v>
      </c>
      <c r="F1322" s="119" t="s">
        <v>90</v>
      </c>
      <c r="G1322" s="119">
        <v>4</v>
      </c>
      <c r="H1322" s="119" t="s">
        <v>475</v>
      </c>
      <c r="I1322" s="119" t="s">
        <v>82</v>
      </c>
    </row>
    <row r="1323" spans="1:9" ht="13">
      <c r="A1323" s="118">
        <v>46181</v>
      </c>
      <c r="B1323" s="119">
        <v>7002787767</v>
      </c>
      <c r="C1323" s="119" t="s">
        <v>524</v>
      </c>
      <c r="D1323" s="119" t="s">
        <v>474</v>
      </c>
      <c r="E1323" s="119" t="s">
        <v>452</v>
      </c>
      <c r="F1323" s="119" t="s">
        <v>90</v>
      </c>
      <c r="G1323" s="119">
        <v>4</v>
      </c>
      <c r="H1323" s="119" t="s">
        <v>475</v>
      </c>
      <c r="I1323" s="119" t="s">
        <v>82</v>
      </c>
    </row>
    <row r="1324" spans="1:9" ht="13">
      <c r="A1324" s="118">
        <v>46181</v>
      </c>
      <c r="B1324" s="119">
        <v>7002781755</v>
      </c>
      <c r="C1324" s="119" t="s">
        <v>524</v>
      </c>
      <c r="D1324" s="119" t="s">
        <v>474</v>
      </c>
      <c r="E1324" s="119" t="s">
        <v>452</v>
      </c>
      <c r="F1324" s="119" t="s">
        <v>90</v>
      </c>
      <c r="G1324" s="119">
        <v>2</v>
      </c>
      <c r="H1324" s="119" t="s">
        <v>475</v>
      </c>
      <c r="I1324" s="119" t="s">
        <v>82</v>
      </c>
    </row>
    <row r="1325" spans="1:9" ht="13">
      <c r="A1325" s="118">
        <v>46181</v>
      </c>
      <c r="B1325" s="119">
        <v>7002858551</v>
      </c>
      <c r="C1325" s="119" t="s">
        <v>524</v>
      </c>
      <c r="D1325" s="119" t="s">
        <v>474</v>
      </c>
      <c r="E1325" s="119" t="s">
        <v>486</v>
      </c>
      <c r="F1325" s="119" t="s">
        <v>90</v>
      </c>
      <c r="G1325" s="119">
        <v>1</v>
      </c>
      <c r="H1325" s="119" t="s">
        <v>475</v>
      </c>
      <c r="I1325" s="119" t="s">
        <v>82</v>
      </c>
    </row>
    <row r="1326" spans="1:9" ht="13">
      <c r="A1326" s="118">
        <v>46181</v>
      </c>
      <c r="B1326" s="119">
        <v>7002784726</v>
      </c>
      <c r="C1326" s="119" t="s">
        <v>524</v>
      </c>
      <c r="D1326" s="119" t="s">
        <v>474</v>
      </c>
      <c r="E1326" s="119" t="s">
        <v>452</v>
      </c>
      <c r="F1326" s="119" t="s">
        <v>90</v>
      </c>
      <c r="G1326" s="119">
        <v>8</v>
      </c>
      <c r="H1326" s="119" t="s">
        <v>475</v>
      </c>
      <c r="I1326" s="119" t="s">
        <v>82</v>
      </c>
    </row>
    <row r="1327" spans="1:9" ht="13">
      <c r="A1327" s="118">
        <v>46181</v>
      </c>
      <c r="B1327" s="119">
        <v>7002780725</v>
      </c>
      <c r="C1327" s="119" t="s">
        <v>524</v>
      </c>
      <c r="D1327" s="119" t="s">
        <v>474</v>
      </c>
      <c r="E1327" s="119" t="s">
        <v>452</v>
      </c>
      <c r="F1327" s="119" t="s">
        <v>90</v>
      </c>
      <c r="G1327" s="119">
        <v>1</v>
      </c>
      <c r="H1327" s="119" t="s">
        <v>475</v>
      </c>
      <c r="I1327" s="119" t="s">
        <v>82</v>
      </c>
    </row>
    <row r="1328" spans="1:9" ht="13">
      <c r="A1328" s="118">
        <v>46181</v>
      </c>
      <c r="B1328" s="119">
        <v>7002783848</v>
      </c>
      <c r="C1328" s="119" t="s">
        <v>524</v>
      </c>
      <c r="D1328" s="119" t="s">
        <v>474</v>
      </c>
      <c r="E1328" s="119" t="s">
        <v>452</v>
      </c>
      <c r="F1328" s="119" t="s">
        <v>90</v>
      </c>
      <c r="G1328" s="119">
        <v>2</v>
      </c>
      <c r="H1328" s="119" t="s">
        <v>475</v>
      </c>
      <c r="I1328" s="119" t="s">
        <v>82</v>
      </c>
    </row>
    <row r="1329" spans="1:9" ht="13">
      <c r="A1329" s="118">
        <v>46181</v>
      </c>
      <c r="B1329" s="119">
        <v>7002782673</v>
      </c>
      <c r="C1329" s="119" t="s">
        <v>524</v>
      </c>
      <c r="D1329" s="119" t="s">
        <v>474</v>
      </c>
      <c r="E1329" s="119" t="s">
        <v>452</v>
      </c>
      <c r="F1329" s="119" t="s">
        <v>90</v>
      </c>
      <c r="G1329" s="119">
        <v>1</v>
      </c>
      <c r="H1329" s="119" t="s">
        <v>475</v>
      </c>
      <c r="I1329" s="119" t="s">
        <v>82</v>
      </c>
    </row>
    <row r="1330" spans="1:9" ht="13">
      <c r="A1330" s="118">
        <v>46181</v>
      </c>
      <c r="B1330" s="119">
        <v>7002854591</v>
      </c>
      <c r="C1330" s="119" t="s">
        <v>524</v>
      </c>
      <c r="D1330" s="119" t="s">
        <v>474</v>
      </c>
      <c r="E1330" s="119" t="s">
        <v>486</v>
      </c>
      <c r="F1330" s="119" t="s">
        <v>90</v>
      </c>
      <c r="G1330" s="119">
        <v>1</v>
      </c>
      <c r="H1330" s="119" t="s">
        <v>475</v>
      </c>
      <c r="I1330" s="119" t="s">
        <v>82</v>
      </c>
    </row>
    <row r="1331" spans="1:9" ht="13">
      <c r="A1331" s="118">
        <v>46181</v>
      </c>
      <c r="B1331" s="119">
        <v>7002855582</v>
      </c>
      <c r="C1331" s="119" t="s">
        <v>524</v>
      </c>
      <c r="D1331" s="119" t="s">
        <v>474</v>
      </c>
      <c r="E1331" s="119" t="s">
        <v>486</v>
      </c>
      <c r="F1331" s="119" t="s">
        <v>90</v>
      </c>
      <c r="G1331" s="119">
        <v>1</v>
      </c>
      <c r="H1331" s="119" t="s">
        <v>475</v>
      </c>
      <c r="I1331" s="119" t="s">
        <v>82</v>
      </c>
    </row>
    <row r="1332" spans="1:9" ht="13">
      <c r="A1332" s="118">
        <v>46181</v>
      </c>
      <c r="B1332" s="119">
        <v>7002853689</v>
      </c>
      <c r="C1332" s="119" t="s">
        <v>524</v>
      </c>
      <c r="D1332" s="119" t="s">
        <v>474</v>
      </c>
      <c r="E1332" s="119" t="s">
        <v>538</v>
      </c>
      <c r="F1332" s="119" t="s">
        <v>90</v>
      </c>
      <c r="G1332" s="119">
        <v>1</v>
      </c>
      <c r="H1332" s="119" t="s">
        <v>475</v>
      </c>
      <c r="I1332" s="119" t="s">
        <v>82</v>
      </c>
    </row>
    <row r="1333" spans="1:9" ht="13">
      <c r="A1333" s="118">
        <v>46181</v>
      </c>
      <c r="B1333" s="119">
        <v>7002859695</v>
      </c>
      <c r="C1333" s="119" t="s">
        <v>524</v>
      </c>
      <c r="D1333" s="119" t="s">
        <v>474</v>
      </c>
      <c r="E1333" s="119" t="s">
        <v>486</v>
      </c>
      <c r="F1333" s="119" t="s">
        <v>90</v>
      </c>
      <c r="G1333" s="119">
        <v>1</v>
      </c>
      <c r="H1333" s="119" t="s">
        <v>475</v>
      </c>
      <c r="I1333" s="119" t="s">
        <v>82</v>
      </c>
    </row>
    <row r="1334" spans="1:9" ht="13">
      <c r="A1334" s="118">
        <v>46181</v>
      </c>
      <c r="B1334" s="119">
        <v>7002856803</v>
      </c>
      <c r="C1334" s="119" t="s">
        <v>524</v>
      </c>
      <c r="D1334" s="119" t="s">
        <v>474</v>
      </c>
      <c r="E1334" s="119" t="s">
        <v>486</v>
      </c>
      <c r="F1334" s="119" t="s">
        <v>90</v>
      </c>
      <c r="G1334" s="119">
        <v>4</v>
      </c>
      <c r="H1334" s="119" t="s">
        <v>475</v>
      </c>
      <c r="I1334" s="119" t="s">
        <v>82</v>
      </c>
    </row>
    <row r="1335" spans="1:9" ht="13">
      <c r="A1335" s="118">
        <v>46181</v>
      </c>
      <c r="B1335" s="119">
        <v>7002852930</v>
      </c>
      <c r="C1335" s="119" t="s">
        <v>524</v>
      </c>
      <c r="D1335" s="119" t="s">
        <v>474</v>
      </c>
      <c r="E1335" s="119" t="s">
        <v>486</v>
      </c>
      <c r="F1335" s="119" t="s">
        <v>90</v>
      </c>
      <c r="G1335" s="119">
        <v>15</v>
      </c>
      <c r="H1335" s="119" t="s">
        <v>475</v>
      </c>
      <c r="I1335" s="119" t="s">
        <v>82</v>
      </c>
    </row>
    <row r="1336" spans="1:9" ht="13">
      <c r="A1336" s="118">
        <v>46181</v>
      </c>
      <c r="B1336" s="119">
        <v>7002781373</v>
      </c>
      <c r="C1336" s="119" t="s">
        <v>524</v>
      </c>
      <c r="D1336" s="119" t="s">
        <v>474</v>
      </c>
      <c r="E1336" s="119" t="s">
        <v>488</v>
      </c>
      <c r="F1336" s="119" t="s">
        <v>90</v>
      </c>
      <c r="G1336" s="119">
        <v>2</v>
      </c>
      <c r="H1336" s="119" t="s">
        <v>475</v>
      </c>
      <c r="I1336" s="119" t="s">
        <v>82</v>
      </c>
    </row>
    <row r="1337" spans="1:9" ht="13">
      <c r="A1337" s="118">
        <v>46181</v>
      </c>
      <c r="B1337" s="119">
        <v>7002781690</v>
      </c>
      <c r="C1337" s="119" t="s">
        <v>524</v>
      </c>
      <c r="D1337" s="119" t="s">
        <v>474</v>
      </c>
      <c r="E1337" s="119" t="s">
        <v>452</v>
      </c>
      <c r="F1337" s="119" t="s">
        <v>90</v>
      </c>
      <c r="G1337" s="119">
        <v>2</v>
      </c>
      <c r="H1337" s="119" t="s">
        <v>475</v>
      </c>
      <c r="I1337" s="119" t="s">
        <v>82</v>
      </c>
    </row>
    <row r="1338" spans="1:9" ht="13">
      <c r="A1338" s="118">
        <v>46181</v>
      </c>
      <c r="B1338" s="119">
        <v>7002833837</v>
      </c>
      <c r="C1338" s="119" t="s">
        <v>524</v>
      </c>
      <c r="D1338" s="119" t="s">
        <v>474</v>
      </c>
      <c r="E1338" s="119" t="s">
        <v>454</v>
      </c>
      <c r="F1338" s="119" t="s">
        <v>90</v>
      </c>
      <c r="G1338" s="119">
        <v>11</v>
      </c>
      <c r="H1338" s="119" t="s">
        <v>475</v>
      </c>
      <c r="I1338" s="119" t="s">
        <v>82</v>
      </c>
    </row>
    <row r="1339" spans="1:9" ht="13">
      <c r="A1339" s="118">
        <v>46181</v>
      </c>
      <c r="B1339" s="119">
        <v>7002781979</v>
      </c>
      <c r="C1339" s="119" t="s">
        <v>524</v>
      </c>
      <c r="D1339" s="119" t="s">
        <v>474</v>
      </c>
      <c r="E1339" s="119" t="s">
        <v>452</v>
      </c>
      <c r="F1339" s="119" t="s">
        <v>90</v>
      </c>
      <c r="G1339" s="119">
        <v>1</v>
      </c>
      <c r="H1339" s="119" t="s">
        <v>475</v>
      </c>
      <c r="I1339" s="119" t="s">
        <v>82</v>
      </c>
    </row>
    <row r="1340" spans="1:9" ht="13">
      <c r="A1340" s="118">
        <v>46181</v>
      </c>
      <c r="B1340" s="119">
        <v>7002843048</v>
      </c>
      <c r="C1340" s="119" t="s">
        <v>524</v>
      </c>
      <c r="D1340" s="119" t="s">
        <v>474</v>
      </c>
      <c r="E1340" s="119" t="s">
        <v>486</v>
      </c>
      <c r="F1340" s="119" t="s">
        <v>90</v>
      </c>
      <c r="G1340" s="119">
        <v>4</v>
      </c>
      <c r="H1340" s="119" t="s">
        <v>475</v>
      </c>
      <c r="I1340" s="119" t="s">
        <v>82</v>
      </c>
    </row>
    <row r="1341" spans="1:9" ht="13">
      <c r="A1341" s="118">
        <v>46181</v>
      </c>
      <c r="B1341" s="119">
        <v>7002847246</v>
      </c>
      <c r="C1341" s="119" t="s">
        <v>524</v>
      </c>
      <c r="D1341" s="119" t="s">
        <v>474</v>
      </c>
      <c r="E1341" s="119" t="s">
        <v>486</v>
      </c>
      <c r="F1341" s="119" t="s">
        <v>90</v>
      </c>
      <c r="G1341" s="119">
        <v>3</v>
      </c>
      <c r="H1341" s="119" t="s">
        <v>475</v>
      </c>
      <c r="I1341" s="119" t="s">
        <v>82</v>
      </c>
    </row>
    <row r="1342" spans="1:9" ht="13">
      <c r="A1342" s="118">
        <v>46181</v>
      </c>
      <c r="B1342" s="119">
        <v>7002790766</v>
      </c>
      <c r="C1342" s="119" t="s">
        <v>524</v>
      </c>
      <c r="D1342" s="119" t="s">
        <v>474</v>
      </c>
      <c r="E1342" s="119" t="s">
        <v>488</v>
      </c>
      <c r="F1342" s="119" t="s">
        <v>90</v>
      </c>
      <c r="G1342" s="119">
        <v>1</v>
      </c>
      <c r="H1342" s="119" t="s">
        <v>475</v>
      </c>
      <c r="I1342" s="119" t="s">
        <v>82</v>
      </c>
    </row>
    <row r="1343" spans="1:9" ht="13">
      <c r="A1343" s="118">
        <v>46181</v>
      </c>
      <c r="B1343" s="119">
        <v>7002782945</v>
      </c>
      <c r="C1343" s="119" t="s">
        <v>524</v>
      </c>
      <c r="D1343" s="119" t="s">
        <v>474</v>
      </c>
      <c r="E1343" s="119" t="s">
        <v>452</v>
      </c>
      <c r="F1343" s="119" t="s">
        <v>90</v>
      </c>
      <c r="G1343" s="119">
        <v>1</v>
      </c>
      <c r="H1343" s="119" t="s">
        <v>475</v>
      </c>
      <c r="I1343" s="119" t="s">
        <v>82</v>
      </c>
    </row>
    <row r="1344" spans="1:9" ht="13">
      <c r="A1344" s="118">
        <v>46181</v>
      </c>
      <c r="B1344" s="119">
        <v>7002796390</v>
      </c>
      <c r="C1344" s="119" t="s">
        <v>524</v>
      </c>
      <c r="D1344" s="119" t="s">
        <v>474</v>
      </c>
      <c r="E1344" s="119" t="s">
        <v>488</v>
      </c>
      <c r="F1344" s="119" t="s">
        <v>90</v>
      </c>
      <c r="G1344" s="119">
        <v>2</v>
      </c>
      <c r="H1344" s="119" t="s">
        <v>475</v>
      </c>
      <c r="I1344" s="119" t="s">
        <v>82</v>
      </c>
    </row>
    <row r="1345" spans="1:9" ht="13">
      <c r="A1345" s="118">
        <v>46181</v>
      </c>
      <c r="B1345" s="119">
        <v>7002876098</v>
      </c>
      <c r="C1345" s="119" t="s">
        <v>524</v>
      </c>
      <c r="D1345" s="119" t="s">
        <v>479</v>
      </c>
      <c r="E1345" s="119" t="s">
        <v>103</v>
      </c>
      <c r="F1345" s="119" t="s">
        <v>90</v>
      </c>
      <c r="G1345" s="119">
        <v>2</v>
      </c>
      <c r="H1345" s="119" t="s">
        <v>475</v>
      </c>
      <c r="I1345" s="119" t="s">
        <v>82</v>
      </c>
    </row>
    <row r="1346" spans="1:9" ht="13">
      <c r="A1346" s="118">
        <v>46181</v>
      </c>
      <c r="B1346" s="119">
        <v>7002786202</v>
      </c>
      <c r="C1346" s="119" t="s">
        <v>524</v>
      </c>
      <c r="D1346" s="119" t="s">
        <v>474</v>
      </c>
      <c r="E1346" s="119" t="s">
        <v>452</v>
      </c>
      <c r="F1346" s="119" t="s">
        <v>90</v>
      </c>
      <c r="G1346" s="119">
        <v>1</v>
      </c>
      <c r="H1346" s="119" t="s">
        <v>475</v>
      </c>
      <c r="I1346" s="119" t="s">
        <v>82</v>
      </c>
    </row>
    <row r="1347" spans="1:9" ht="13">
      <c r="A1347" s="118">
        <v>46181</v>
      </c>
      <c r="B1347" s="119">
        <v>7002776738</v>
      </c>
      <c r="C1347" s="119" t="s">
        <v>524</v>
      </c>
      <c r="D1347" s="119" t="s">
        <v>474</v>
      </c>
      <c r="E1347" s="119" t="s">
        <v>452</v>
      </c>
      <c r="F1347" s="119" t="s">
        <v>90</v>
      </c>
      <c r="G1347" s="119">
        <v>3</v>
      </c>
      <c r="H1347" s="119" t="s">
        <v>475</v>
      </c>
      <c r="I1347" s="119" t="s">
        <v>82</v>
      </c>
    </row>
    <row r="1348" spans="1:9" ht="13">
      <c r="A1348" s="118">
        <v>46181</v>
      </c>
      <c r="B1348" s="119">
        <v>7002778600</v>
      </c>
      <c r="C1348" s="119" t="s">
        <v>524</v>
      </c>
      <c r="D1348" s="119" t="s">
        <v>474</v>
      </c>
      <c r="E1348" s="119" t="s">
        <v>452</v>
      </c>
      <c r="F1348" s="119" t="s">
        <v>90</v>
      </c>
      <c r="G1348" s="119">
        <v>2</v>
      </c>
      <c r="H1348" s="119" t="s">
        <v>475</v>
      </c>
      <c r="I1348" s="119" t="s">
        <v>82</v>
      </c>
    </row>
    <row r="1349" spans="1:9" ht="13">
      <c r="A1349" s="118">
        <v>46181</v>
      </c>
      <c r="B1349" s="119">
        <v>7002777571</v>
      </c>
      <c r="C1349" s="119" t="s">
        <v>524</v>
      </c>
      <c r="D1349" s="119" t="s">
        <v>474</v>
      </c>
      <c r="E1349" s="119" t="s">
        <v>452</v>
      </c>
      <c r="F1349" s="119" t="s">
        <v>90</v>
      </c>
      <c r="G1349" s="119">
        <v>11</v>
      </c>
      <c r="H1349" s="119" t="s">
        <v>475</v>
      </c>
      <c r="I1349" s="119" t="s">
        <v>82</v>
      </c>
    </row>
    <row r="1350" spans="1:9" ht="13">
      <c r="A1350" s="118">
        <v>46181</v>
      </c>
      <c r="B1350" s="119">
        <v>7002874056</v>
      </c>
      <c r="C1350" s="119" t="s">
        <v>524</v>
      </c>
      <c r="D1350" s="119" t="s">
        <v>474</v>
      </c>
      <c r="E1350" s="119" t="s">
        <v>533</v>
      </c>
      <c r="F1350" s="119" t="s">
        <v>90</v>
      </c>
      <c r="G1350" s="119">
        <v>10</v>
      </c>
      <c r="H1350" s="119" t="s">
        <v>475</v>
      </c>
      <c r="I1350" s="119" t="s">
        <v>82</v>
      </c>
    </row>
    <row r="1351" spans="1:9" ht="13">
      <c r="A1351" s="118">
        <v>46181</v>
      </c>
      <c r="B1351" s="119">
        <v>7002874073</v>
      </c>
      <c r="C1351" s="119" t="s">
        <v>524</v>
      </c>
      <c r="D1351" s="119" t="s">
        <v>479</v>
      </c>
      <c r="E1351" s="119" t="s">
        <v>470</v>
      </c>
      <c r="F1351" s="119" t="s">
        <v>90</v>
      </c>
      <c r="G1351" s="119">
        <v>1</v>
      </c>
      <c r="H1351" s="119" t="s">
        <v>475</v>
      </c>
      <c r="I1351" s="119" t="s">
        <v>82</v>
      </c>
    </row>
    <row r="1352" spans="1:9" ht="13">
      <c r="A1352" s="118">
        <v>46181</v>
      </c>
      <c r="B1352" s="119">
        <v>7002770321</v>
      </c>
      <c r="C1352" s="119" t="s">
        <v>524</v>
      </c>
      <c r="D1352" s="119" t="s">
        <v>474</v>
      </c>
      <c r="E1352" s="119" t="s">
        <v>488</v>
      </c>
      <c r="F1352" s="119" t="s">
        <v>90</v>
      </c>
      <c r="G1352" s="119">
        <v>1</v>
      </c>
      <c r="H1352" s="119" t="s">
        <v>475</v>
      </c>
      <c r="I1352" s="119" t="s">
        <v>82</v>
      </c>
    </row>
    <row r="1353" spans="1:9" ht="13">
      <c r="A1353" s="118">
        <v>46181</v>
      </c>
      <c r="B1353" s="119">
        <v>7002789292</v>
      </c>
      <c r="C1353" s="119" t="s">
        <v>524</v>
      </c>
      <c r="D1353" s="119" t="s">
        <v>474</v>
      </c>
      <c r="E1353" s="119" t="s">
        <v>452</v>
      </c>
      <c r="F1353" s="119" t="s">
        <v>90</v>
      </c>
      <c r="G1353" s="119">
        <v>3</v>
      </c>
      <c r="H1353" s="119" t="s">
        <v>475</v>
      </c>
      <c r="I1353" s="119" t="s">
        <v>82</v>
      </c>
    </row>
    <row r="1354" spans="1:9" ht="13">
      <c r="A1354" s="118">
        <v>46181</v>
      </c>
      <c r="B1354" s="119">
        <v>7002870038</v>
      </c>
      <c r="C1354" s="119" t="s">
        <v>524</v>
      </c>
      <c r="D1354" s="119" t="s">
        <v>474</v>
      </c>
      <c r="E1354" s="119" t="s">
        <v>454</v>
      </c>
      <c r="F1354" s="119" t="s">
        <v>90</v>
      </c>
      <c r="G1354" s="119">
        <v>53</v>
      </c>
      <c r="H1354" s="119" t="s">
        <v>475</v>
      </c>
      <c r="I1354" s="119" t="s">
        <v>82</v>
      </c>
    </row>
    <row r="1355" spans="1:9" ht="13">
      <c r="A1355" s="118">
        <v>46181</v>
      </c>
      <c r="B1355" s="119">
        <v>7002783088</v>
      </c>
      <c r="C1355" s="119" t="s">
        <v>524</v>
      </c>
      <c r="D1355" s="119" t="s">
        <v>474</v>
      </c>
      <c r="E1355" s="119" t="s">
        <v>452</v>
      </c>
      <c r="F1355" s="119" t="s">
        <v>90</v>
      </c>
      <c r="G1355" s="119">
        <v>2</v>
      </c>
      <c r="H1355" s="119" t="s">
        <v>475</v>
      </c>
      <c r="I1355" s="119" t="s">
        <v>82</v>
      </c>
    </row>
    <row r="1356" spans="1:9" ht="13">
      <c r="A1356" s="118">
        <v>46181</v>
      </c>
      <c r="B1356" s="119">
        <v>7002771959</v>
      </c>
      <c r="C1356" s="119" t="s">
        <v>524</v>
      </c>
      <c r="D1356" s="119" t="s">
        <v>474</v>
      </c>
      <c r="E1356" s="119" t="s">
        <v>452</v>
      </c>
      <c r="F1356" s="119" t="s">
        <v>90</v>
      </c>
      <c r="G1356" s="119">
        <v>6</v>
      </c>
      <c r="H1356" s="119" t="s">
        <v>475</v>
      </c>
      <c r="I1356" s="119" t="s">
        <v>82</v>
      </c>
    </row>
    <row r="1357" spans="1:9" ht="13">
      <c r="A1357" s="118">
        <v>46181</v>
      </c>
      <c r="B1357" s="119">
        <v>7002773919</v>
      </c>
      <c r="C1357" s="119" t="s">
        <v>524</v>
      </c>
      <c r="D1357" s="119" t="s">
        <v>474</v>
      </c>
      <c r="E1357" s="119" t="s">
        <v>452</v>
      </c>
      <c r="F1357" s="119" t="s">
        <v>90</v>
      </c>
      <c r="G1357" s="119">
        <v>2</v>
      </c>
      <c r="H1357" s="119" t="s">
        <v>475</v>
      </c>
      <c r="I1357" s="119" t="s">
        <v>82</v>
      </c>
    </row>
    <row r="1358" spans="1:9" ht="13">
      <c r="A1358" s="118">
        <v>46181</v>
      </c>
      <c r="B1358" s="119">
        <v>7002772927</v>
      </c>
      <c r="C1358" s="119" t="s">
        <v>524</v>
      </c>
      <c r="D1358" s="119" t="s">
        <v>474</v>
      </c>
      <c r="E1358" s="119" t="s">
        <v>452</v>
      </c>
      <c r="F1358" s="119" t="s">
        <v>90</v>
      </c>
      <c r="G1358" s="119">
        <v>7</v>
      </c>
      <c r="H1358" s="119" t="s">
        <v>475</v>
      </c>
      <c r="I1358" s="119" t="s">
        <v>82</v>
      </c>
    </row>
    <row r="1359" spans="1:9" ht="13">
      <c r="A1359" s="118">
        <v>46181</v>
      </c>
      <c r="B1359" s="119">
        <v>7002772915</v>
      </c>
      <c r="C1359" s="119" t="s">
        <v>524</v>
      </c>
      <c r="D1359" s="119" t="s">
        <v>474</v>
      </c>
      <c r="E1359" s="119" t="s">
        <v>452</v>
      </c>
      <c r="F1359" s="119" t="s">
        <v>90</v>
      </c>
      <c r="G1359" s="119">
        <v>5</v>
      </c>
      <c r="H1359" s="119" t="s">
        <v>475</v>
      </c>
      <c r="I1359" s="119" t="s">
        <v>82</v>
      </c>
    </row>
    <row r="1360" spans="1:9" ht="13">
      <c r="A1360" s="118">
        <v>46181</v>
      </c>
      <c r="B1360" s="119">
        <v>7002772765</v>
      </c>
      <c r="C1360" s="119" t="s">
        <v>524</v>
      </c>
      <c r="D1360" s="119" t="s">
        <v>474</v>
      </c>
      <c r="E1360" s="119" t="s">
        <v>452</v>
      </c>
      <c r="F1360" s="119" t="s">
        <v>90</v>
      </c>
      <c r="G1360" s="119">
        <v>9</v>
      </c>
      <c r="H1360" s="119" t="s">
        <v>475</v>
      </c>
      <c r="I1360" s="119" t="s">
        <v>82</v>
      </c>
    </row>
    <row r="1361" spans="1:9" ht="13">
      <c r="A1361" s="118">
        <v>46181</v>
      </c>
      <c r="B1361" s="119">
        <v>7002779912</v>
      </c>
      <c r="C1361" s="119" t="s">
        <v>524</v>
      </c>
      <c r="D1361" s="119" t="s">
        <v>474</v>
      </c>
      <c r="E1361" s="119" t="s">
        <v>452</v>
      </c>
      <c r="F1361" s="119" t="s">
        <v>90</v>
      </c>
      <c r="G1361" s="119">
        <v>2</v>
      </c>
      <c r="H1361" s="119" t="s">
        <v>475</v>
      </c>
      <c r="I1361" s="119" t="s">
        <v>82</v>
      </c>
    </row>
    <row r="1362" spans="1:9" ht="13">
      <c r="A1362" s="118">
        <v>46181</v>
      </c>
      <c r="B1362" s="119">
        <v>7002770901</v>
      </c>
      <c r="C1362" s="119" t="s">
        <v>524</v>
      </c>
      <c r="D1362" s="119" t="s">
        <v>474</v>
      </c>
      <c r="E1362" s="119" t="s">
        <v>452</v>
      </c>
      <c r="F1362" s="119" t="s">
        <v>90</v>
      </c>
      <c r="G1362" s="119">
        <v>5</v>
      </c>
      <c r="H1362" s="119" t="s">
        <v>475</v>
      </c>
      <c r="I1362" s="119" t="s">
        <v>82</v>
      </c>
    </row>
    <row r="1363" spans="1:9" ht="13">
      <c r="A1363" s="118">
        <v>46181</v>
      </c>
      <c r="B1363" s="119">
        <v>7002777880</v>
      </c>
      <c r="C1363" s="119" t="s">
        <v>524</v>
      </c>
      <c r="D1363" s="119" t="s">
        <v>474</v>
      </c>
      <c r="E1363" s="119" t="s">
        <v>452</v>
      </c>
      <c r="F1363" s="119" t="s">
        <v>90</v>
      </c>
      <c r="G1363" s="119">
        <v>4</v>
      </c>
      <c r="H1363" s="119" t="s">
        <v>475</v>
      </c>
      <c r="I1363" s="119" t="s">
        <v>82</v>
      </c>
    </row>
    <row r="1364" spans="1:9" ht="13">
      <c r="A1364" s="118">
        <v>46181</v>
      </c>
      <c r="B1364" s="119">
        <v>7002773782</v>
      </c>
      <c r="C1364" s="119" t="s">
        <v>524</v>
      </c>
      <c r="D1364" s="119" t="s">
        <v>474</v>
      </c>
      <c r="E1364" s="119" t="s">
        <v>452</v>
      </c>
      <c r="F1364" s="119" t="s">
        <v>90</v>
      </c>
      <c r="G1364" s="119">
        <v>5</v>
      </c>
      <c r="H1364" s="119" t="s">
        <v>475</v>
      </c>
      <c r="I1364" s="119" t="s">
        <v>82</v>
      </c>
    </row>
    <row r="1365" spans="1:9" ht="13">
      <c r="A1365" s="118">
        <v>46181</v>
      </c>
      <c r="B1365" s="119">
        <v>7002771900</v>
      </c>
      <c r="C1365" s="119" t="s">
        <v>524</v>
      </c>
      <c r="D1365" s="119" t="s">
        <v>474</v>
      </c>
      <c r="E1365" s="119" t="s">
        <v>452</v>
      </c>
      <c r="F1365" s="119" t="s">
        <v>90</v>
      </c>
      <c r="G1365" s="119">
        <v>4</v>
      </c>
      <c r="H1365" s="119" t="s">
        <v>475</v>
      </c>
      <c r="I1365" s="119" t="s">
        <v>82</v>
      </c>
    </row>
    <row r="1366" spans="1:9" ht="13">
      <c r="A1366" s="118">
        <v>46181</v>
      </c>
      <c r="B1366" s="119">
        <v>7002883550</v>
      </c>
      <c r="C1366" s="119" t="s">
        <v>524</v>
      </c>
      <c r="D1366" s="119" t="s">
        <v>479</v>
      </c>
      <c r="E1366" s="119" t="s">
        <v>103</v>
      </c>
      <c r="F1366" s="119" t="s">
        <v>90</v>
      </c>
      <c r="G1366" s="119">
        <v>2</v>
      </c>
      <c r="H1366" s="119" t="s">
        <v>475</v>
      </c>
      <c r="I1366" s="119" t="s">
        <v>82</v>
      </c>
    </row>
    <row r="1367" spans="1:9" ht="13">
      <c r="A1367" s="118">
        <v>46181</v>
      </c>
      <c r="B1367" s="119">
        <v>7002887563</v>
      </c>
      <c r="C1367" s="119" t="s">
        <v>524</v>
      </c>
      <c r="D1367" s="119" t="s">
        <v>479</v>
      </c>
      <c r="E1367" s="119" t="s">
        <v>103</v>
      </c>
      <c r="F1367" s="119" t="s">
        <v>90</v>
      </c>
      <c r="G1367" s="119">
        <v>3</v>
      </c>
      <c r="H1367" s="119" t="s">
        <v>475</v>
      </c>
      <c r="I1367" s="119" t="s">
        <v>82</v>
      </c>
    </row>
    <row r="1368" spans="1:9" ht="13">
      <c r="A1368" s="118">
        <v>46181</v>
      </c>
      <c r="B1368" s="119">
        <v>7002880569</v>
      </c>
      <c r="C1368" s="119" t="s">
        <v>524</v>
      </c>
      <c r="D1368" s="119" t="s">
        <v>479</v>
      </c>
      <c r="E1368" s="119" t="s">
        <v>103</v>
      </c>
      <c r="F1368" s="119" t="s">
        <v>90</v>
      </c>
      <c r="G1368" s="119">
        <v>3</v>
      </c>
      <c r="H1368" s="119" t="s">
        <v>475</v>
      </c>
      <c r="I1368" s="119" t="s">
        <v>82</v>
      </c>
    </row>
    <row r="1369" spans="1:9" ht="13">
      <c r="A1369" s="118">
        <v>46181</v>
      </c>
      <c r="B1369" s="119">
        <v>7002887544</v>
      </c>
      <c r="C1369" s="119" t="s">
        <v>524</v>
      </c>
      <c r="D1369" s="119" t="s">
        <v>479</v>
      </c>
      <c r="E1369" s="119" t="s">
        <v>103</v>
      </c>
      <c r="F1369" s="119" t="s">
        <v>90</v>
      </c>
      <c r="G1369" s="119">
        <v>3</v>
      </c>
      <c r="H1369" s="119" t="s">
        <v>475</v>
      </c>
      <c r="I1369" s="119" t="s">
        <v>82</v>
      </c>
    </row>
    <row r="1370" spans="1:9" ht="13">
      <c r="A1370" s="118">
        <v>46181</v>
      </c>
      <c r="B1370" s="119">
        <v>7002888540</v>
      </c>
      <c r="C1370" s="119" t="s">
        <v>524</v>
      </c>
      <c r="D1370" s="119" t="s">
        <v>479</v>
      </c>
      <c r="E1370" s="119" t="s">
        <v>103</v>
      </c>
      <c r="F1370" s="119" t="s">
        <v>90</v>
      </c>
      <c r="G1370" s="119">
        <v>2</v>
      </c>
      <c r="H1370" s="119" t="s">
        <v>475</v>
      </c>
      <c r="I1370" s="119" t="s">
        <v>82</v>
      </c>
    </row>
    <row r="1371" spans="1:9" ht="13">
      <c r="A1371" s="118">
        <v>46181</v>
      </c>
      <c r="B1371" s="119">
        <v>7002888538</v>
      </c>
      <c r="C1371" s="119" t="s">
        <v>524</v>
      </c>
      <c r="D1371" s="119" t="s">
        <v>479</v>
      </c>
      <c r="E1371" s="119" t="s">
        <v>103</v>
      </c>
      <c r="F1371" s="119" t="s">
        <v>90</v>
      </c>
      <c r="G1371" s="119">
        <v>2</v>
      </c>
      <c r="H1371" s="119" t="s">
        <v>475</v>
      </c>
      <c r="I1371" s="119" t="s">
        <v>82</v>
      </c>
    </row>
    <row r="1372" spans="1:9" ht="13">
      <c r="A1372" s="118">
        <v>46181</v>
      </c>
      <c r="B1372" s="119">
        <v>7002882533</v>
      </c>
      <c r="C1372" s="119" t="s">
        <v>524</v>
      </c>
      <c r="D1372" s="119" t="s">
        <v>479</v>
      </c>
      <c r="E1372" s="119" t="s">
        <v>103</v>
      </c>
      <c r="F1372" s="119" t="s">
        <v>90</v>
      </c>
      <c r="G1372" s="119">
        <v>4</v>
      </c>
      <c r="H1372" s="119" t="s">
        <v>475</v>
      </c>
      <c r="I1372" s="119" t="s">
        <v>82</v>
      </c>
    </row>
    <row r="1373" spans="1:9" ht="13">
      <c r="A1373" s="118">
        <v>46181</v>
      </c>
      <c r="B1373" s="119">
        <v>7002889502</v>
      </c>
      <c r="C1373" s="119" t="s">
        <v>524</v>
      </c>
      <c r="D1373" s="119" t="s">
        <v>479</v>
      </c>
      <c r="E1373" s="119" t="s">
        <v>103</v>
      </c>
      <c r="F1373" s="119" t="s">
        <v>90</v>
      </c>
      <c r="G1373" s="119">
        <v>2</v>
      </c>
      <c r="H1373" s="119" t="s">
        <v>475</v>
      </c>
      <c r="I1373" s="119" t="s">
        <v>82</v>
      </c>
    </row>
    <row r="1374" spans="1:9" ht="13">
      <c r="A1374" s="118">
        <v>46181</v>
      </c>
      <c r="B1374" s="119">
        <v>7002676586</v>
      </c>
      <c r="C1374" s="119" t="s">
        <v>597</v>
      </c>
      <c r="D1374" s="119" t="s">
        <v>478</v>
      </c>
      <c r="E1374" s="119" t="s">
        <v>556</v>
      </c>
      <c r="F1374" s="119" t="s">
        <v>90</v>
      </c>
      <c r="G1374" s="119">
        <v>6</v>
      </c>
      <c r="H1374" s="119" t="s">
        <v>475</v>
      </c>
      <c r="I1374" s="119" t="s">
        <v>505</v>
      </c>
    </row>
    <row r="1375" spans="1:9" ht="13">
      <c r="A1375" s="118">
        <v>46181</v>
      </c>
      <c r="B1375" s="119">
        <v>7002880203</v>
      </c>
      <c r="C1375" s="119" t="s">
        <v>524</v>
      </c>
      <c r="D1375" s="119" t="s">
        <v>474</v>
      </c>
      <c r="E1375" s="119" t="s">
        <v>91</v>
      </c>
      <c r="F1375" s="119" t="s">
        <v>90</v>
      </c>
      <c r="G1375" s="119">
        <v>3</v>
      </c>
      <c r="H1375" s="119" t="s">
        <v>475</v>
      </c>
      <c r="I1375" s="119" t="s">
        <v>82</v>
      </c>
    </row>
    <row r="1376" spans="1:9" ht="13">
      <c r="A1376" s="118">
        <v>46181</v>
      </c>
      <c r="B1376" s="119">
        <v>7002888197</v>
      </c>
      <c r="C1376" s="119" t="s">
        <v>524</v>
      </c>
      <c r="D1376" s="119" t="s">
        <v>474</v>
      </c>
      <c r="E1376" s="119" t="s">
        <v>91</v>
      </c>
      <c r="F1376" s="119" t="s">
        <v>90</v>
      </c>
      <c r="G1376" s="119">
        <v>3</v>
      </c>
      <c r="H1376" s="119" t="s">
        <v>475</v>
      </c>
      <c r="I1376" s="119" t="s">
        <v>82</v>
      </c>
    </row>
    <row r="1377" spans="1:9" ht="13">
      <c r="A1377" s="118">
        <v>46181</v>
      </c>
      <c r="B1377" s="119">
        <v>7002884472</v>
      </c>
      <c r="C1377" s="119" t="s">
        <v>524</v>
      </c>
      <c r="D1377" s="119" t="s">
        <v>479</v>
      </c>
      <c r="E1377" s="119" t="s">
        <v>470</v>
      </c>
      <c r="F1377" s="119" t="s">
        <v>90</v>
      </c>
      <c r="G1377" s="119">
        <v>22</v>
      </c>
      <c r="H1377" s="119" t="s">
        <v>475</v>
      </c>
      <c r="I1377" s="119" t="s">
        <v>82</v>
      </c>
    </row>
    <row r="1378" spans="1:9" ht="13">
      <c r="A1378" s="118">
        <v>46181</v>
      </c>
      <c r="B1378" s="119">
        <v>7002690646</v>
      </c>
      <c r="C1378" s="119" t="s">
        <v>587</v>
      </c>
      <c r="D1378" s="119" t="s">
        <v>476</v>
      </c>
      <c r="E1378" s="119" t="s">
        <v>488</v>
      </c>
      <c r="F1378" s="119" t="s">
        <v>90</v>
      </c>
      <c r="G1378" s="119">
        <v>0</v>
      </c>
      <c r="H1378" s="119" t="s">
        <v>475</v>
      </c>
      <c r="I1378" s="119" t="s">
        <v>503</v>
      </c>
    </row>
    <row r="1379" spans="1:9" ht="13">
      <c r="A1379" s="118">
        <v>46181</v>
      </c>
      <c r="B1379" s="119">
        <v>7002884684</v>
      </c>
      <c r="C1379" s="119" t="s">
        <v>524</v>
      </c>
      <c r="D1379" s="119" t="s">
        <v>479</v>
      </c>
      <c r="E1379" s="119" t="s">
        <v>103</v>
      </c>
      <c r="F1379" s="119" t="s">
        <v>90</v>
      </c>
      <c r="G1379" s="119">
        <v>1</v>
      </c>
      <c r="H1379" s="119" t="s">
        <v>475</v>
      </c>
      <c r="I1379" s="119" t="s">
        <v>82</v>
      </c>
    </row>
    <row r="1380" spans="1:9" ht="13">
      <c r="A1380" s="118">
        <v>46181</v>
      </c>
      <c r="B1380" s="119">
        <v>7002678269</v>
      </c>
      <c r="C1380" s="119" t="s">
        <v>587</v>
      </c>
      <c r="D1380" s="119" t="s">
        <v>476</v>
      </c>
      <c r="E1380" s="119" t="s">
        <v>488</v>
      </c>
      <c r="F1380" s="119" t="s">
        <v>90</v>
      </c>
      <c r="G1380" s="119">
        <v>0</v>
      </c>
      <c r="H1380" s="119" t="s">
        <v>475</v>
      </c>
      <c r="I1380" s="119" t="s">
        <v>503</v>
      </c>
    </row>
    <row r="1381" spans="1:9" ht="13">
      <c r="A1381" s="118">
        <v>46181</v>
      </c>
      <c r="B1381" s="119">
        <v>7002513445</v>
      </c>
      <c r="C1381" s="119" t="s">
        <v>599</v>
      </c>
      <c r="D1381" s="119" t="s">
        <v>476</v>
      </c>
      <c r="E1381" s="119" t="s">
        <v>554</v>
      </c>
      <c r="F1381" s="119" t="s">
        <v>90</v>
      </c>
      <c r="G1381" s="119">
        <v>4</v>
      </c>
      <c r="H1381" s="119" t="s">
        <v>475</v>
      </c>
      <c r="I1381" s="119" t="s">
        <v>503</v>
      </c>
    </row>
    <row r="1382" spans="1:9" ht="13">
      <c r="A1382" s="118">
        <v>46181</v>
      </c>
      <c r="B1382" s="119">
        <v>7002894252</v>
      </c>
      <c r="C1382" s="119" t="s">
        <v>524</v>
      </c>
      <c r="D1382" s="119" t="s">
        <v>474</v>
      </c>
      <c r="E1382" s="119" t="s">
        <v>454</v>
      </c>
      <c r="F1382" s="119" t="s">
        <v>90</v>
      </c>
      <c r="G1382" s="119">
        <v>2</v>
      </c>
      <c r="H1382" s="119" t="s">
        <v>475</v>
      </c>
      <c r="I1382" s="119" t="s">
        <v>82</v>
      </c>
    </row>
    <row r="1383" spans="1:9" ht="13">
      <c r="A1383" s="118">
        <v>46181</v>
      </c>
      <c r="B1383" s="119">
        <v>7002894042</v>
      </c>
      <c r="C1383" s="119" t="s">
        <v>524</v>
      </c>
      <c r="D1383" s="119" t="s">
        <v>474</v>
      </c>
      <c r="E1383" s="119" t="s">
        <v>91</v>
      </c>
      <c r="F1383" s="119" t="s">
        <v>90</v>
      </c>
      <c r="G1383" s="119">
        <v>1</v>
      </c>
      <c r="H1383" s="119" t="s">
        <v>475</v>
      </c>
      <c r="I1383" s="119" t="s">
        <v>82</v>
      </c>
    </row>
    <row r="1384" spans="1:9" ht="13">
      <c r="A1384" s="118">
        <v>46181</v>
      </c>
      <c r="B1384" s="119">
        <v>7002675326</v>
      </c>
      <c r="C1384" s="119" t="s">
        <v>587</v>
      </c>
      <c r="D1384" s="119" t="s">
        <v>476</v>
      </c>
      <c r="E1384" s="119" t="s">
        <v>488</v>
      </c>
      <c r="F1384" s="119" t="s">
        <v>90</v>
      </c>
      <c r="G1384" s="119">
        <v>0</v>
      </c>
      <c r="H1384" s="119" t="s">
        <v>475</v>
      </c>
      <c r="I1384" s="119" t="s">
        <v>503</v>
      </c>
    </row>
    <row r="1385" spans="1:9" ht="13">
      <c r="A1385" s="118">
        <v>46181</v>
      </c>
      <c r="B1385" s="119">
        <v>7002886998</v>
      </c>
      <c r="C1385" s="119" t="s">
        <v>524</v>
      </c>
      <c r="D1385" s="119" t="s">
        <v>515</v>
      </c>
      <c r="E1385" s="119" t="s">
        <v>470</v>
      </c>
      <c r="F1385" s="119" t="s">
        <v>90</v>
      </c>
      <c r="G1385" s="119">
        <v>21</v>
      </c>
      <c r="H1385" s="119" t="s">
        <v>475</v>
      </c>
      <c r="I1385" s="119" t="s">
        <v>82</v>
      </c>
    </row>
    <row r="1386" spans="1:9" ht="13">
      <c r="A1386" s="118">
        <v>46181</v>
      </c>
      <c r="B1386" s="119">
        <v>7002887741</v>
      </c>
      <c r="C1386" s="119" t="s">
        <v>524</v>
      </c>
      <c r="D1386" s="119" t="s">
        <v>474</v>
      </c>
      <c r="E1386" s="119" t="s">
        <v>538</v>
      </c>
      <c r="F1386" s="119" t="s">
        <v>90</v>
      </c>
      <c r="G1386" s="119">
        <v>1</v>
      </c>
      <c r="H1386" s="119" t="s">
        <v>475</v>
      </c>
      <c r="I1386" s="119" t="s">
        <v>82</v>
      </c>
    </row>
    <row r="1387" spans="1:9" ht="13">
      <c r="A1387" s="118">
        <v>46181</v>
      </c>
      <c r="B1387" s="119">
        <v>7002880751</v>
      </c>
      <c r="C1387" s="119" t="s">
        <v>524</v>
      </c>
      <c r="D1387" s="119" t="s">
        <v>474</v>
      </c>
      <c r="E1387" s="119" t="s">
        <v>538</v>
      </c>
      <c r="F1387" s="119" t="s">
        <v>90</v>
      </c>
      <c r="G1387" s="119">
        <v>1</v>
      </c>
      <c r="H1387" s="119" t="s">
        <v>475</v>
      </c>
      <c r="I1387" s="119" t="s">
        <v>82</v>
      </c>
    </row>
    <row r="1388" spans="1:9" ht="13">
      <c r="A1388" s="118">
        <v>46181</v>
      </c>
      <c r="B1388" s="119">
        <v>7002882712</v>
      </c>
      <c r="C1388" s="119" t="s">
        <v>524</v>
      </c>
      <c r="D1388" s="119" t="s">
        <v>474</v>
      </c>
      <c r="E1388" s="119" t="s">
        <v>538</v>
      </c>
      <c r="F1388" s="119" t="s">
        <v>90</v>
      </c>
      <c r="G1388" s="119">
        <v>1</v>
      </c>
      <c r="H1388" s="119" t="s">
        <v>475</v>
      </c>
      <c r="I1388" s="119" t="s">
        <v>82</v>
      </c>
    </row>
    <row r="1389" spans="1:9" ht="13">
      <c r="A1389" s="118">
        <v>46181</v>
      </c>
      <c r="B1389" s="119">
        <v>7002884678</v>
      </c>
      <c r="C1389" s="119" t="s">
        <v>524</v>
      </c>
      <c r="D1389" s="119" t="s">
        <v>474</v>
      </c>
      <c r="E1389" s="119" t="s">
        <v>528</v>
      </c>
      <c r="F1389" s="119" t="s">
        <v>90</v>
      </c>
      <c r="G1389" s="119">
        <v>20</v>
      </c>
      <c r="H1389" s="119" t="s">
        <v>475</v>
      </c>
      <c r="I1389" s="119" t="s">
        <v>82</v>
      </c>
    </row>
    <row r="1390" spans="1:9" ht="13">
      <c r="A1390" s="118">
        <v>46181</v>
      </c>
      <c r="B1390" s="119">
        <v>7002880993</v>
      </c>
      <c r="C1390" s="119" t="s">
        <v>524</v>
      </c>
      <c r="D1390" s="119" t="s">
        <v>515</v>
      </c>
      <c r="E1390" s="119" t="s">
        <v>470</v>
      </c>
      <c r="F1390" s="119" t="s">
        <v>90</v>
      </c>
      <c r="G1390" s="119">
        <v>18</v>
      </c>
      <c r="H1390" s="119" t="s">
        <v>475</v>
      </c>
      <c r="I1390" s="119" t="s">
        <v>82</v>
      </c>
    </row>
    <row r="1391" spans="1:9" ht="13">
      <c r="A1391" s="118">
        <v>46181</v>
      </c>
      <c r="B1391" s="119">
        <v>7002878752</v>
      </c>
      <c r="C1391" s="119" t="s">
        <v>524</v>
      </c>
      <c r="D1391" s="119" t="s">
        <v>495</v>
      </c>
      <c r="E1391" s="119" t="s">
        <v>103</v>
      </c>
      <c r="F1391" s="119" t="s">
        <v>90</v>
      </c>
      <c r="G1391" s="119">
        <v>5</v>
      </c>
      <c r="H1391" s="119" t="s">
        <v>475</v>
      </c>
      <c r="I1391" s="119" t="s">
        <v>82</v>
      </c>
    </row>
    <row r="1392" spans="1:9" ht="13">
      <c r="A1392" s="118">
        <v>46181</v>
      </c>
      <c r="B1392" s="119">
        <v>7002873791</v>
      </c>
      <c r="C1392" s="119" t="s">
        <v>524</v>
      </c>
      <c r="D1392" s="119" t="s">
        <v>474</v>
      </c>
      <c r="E1392" s="119" t="s">
        <v>454</v>
      </c>
      <c r="F1392" s="119" t="s">
        <v>90</v>
      </c>
      <c r="G1392" s="119">
        <v>6</v>
      </c>
      <c r="H1392" s="119" t="s">
        <v>475</v>
      </c>
      <c r="I1392" s="119" t="s">
        <v>82</v>
      </c>
    </row>
    <row r="1393" spans="1:15" ht="13">
      <c r="A1393" s="118">
        <v>46181</v>
      </c>
      <c r="B1393" s="119">
        <v>7002872590</v>
      </c>
      <c r="C1393" s="119" t="s">
        <v>524</v>
      </c>
      <c r="D1393" s="119" t="s">
        <v>479</v>
      </c>
      <c r="E1393" s="119" t="s">
        <v>103</v>
      </c>
      <c r="F1393" s="119" t="s">
        <v>90</v>
      </c>
      <c r="G1393" s="119">
        <v>1</v>
      </c>
      <c r="H1393" s="119" t="s">
        <v>475</v>
      </c>
      <c r="I1393" s="119" t="s">
        <v>82</v>
      </c>
    </row>
    <row r="1394" spans="1:15" ht="13">
      <c r="A1394" s="118">
        <v>46181</v>
      </c>
      <c r="B1394" s="119">
        <v>7002875754</v>
      </c>
      <c r="C1394" s="119" t="s">
        <v>524</v>
      </c>
      <c r="D1394" s="119" t="s">
        <v>474</v>
      </c>
      <c r="E1394" s="119" t="s">
        <v>91</v>
      </c>
      <c r="F1394" s="119" t="s">
        <v>90</v>
      </c>
      <c r="G1394" s="119">
        <v>3</v>
      </c>
      <c r="H1394" s="119" t="s">
        <v>475</v>
      </c>
      <c r="I1394" s="119" t="s">
        <v>82</v>
      </c>
    </row>
    <row r="1395" spans="1:15" ht="13">
      <c r="A1395" s="118">
        <v>46181</v>
      </c>
      <c r="B1395" s="119">
        <v>7002716826</v>
      </c>
      <c r="C1395" s="119" t="s">
        <v>524</v>
      </c>
      <c r="D1395" s="119" t="s">
        <v>474</v>
      </c>
      <c r="E1395" s="119" t="s">
        <v>488</v>
      </c>
      <c r="F1395" s="119" t="s">
        <v>90</v>
      </c>
      <c r="G1395" s="119">
        <v>8</v>
      </c>
      <c r="H1395" s="119" t="s">
        <v>475</v>
      </c>
      <c r="I1395" s="119" t="s">
        <v>82</v>
      </c>
    </row>
    <row r="1396" spans="1:15" ht="13">
      <c r="A1396" s="118">
        <v>46181</v>
      </c>
      <c r="B1396" s="119">
        <v>7002883020</v>
      </c>
      <c r="C1396" s="119" t="s">
        <v>524</v>
      </c>
      <c r="D1396" s="119" t="s">
        <v>479</v>
      </c>
      <c r="E1396" s="119" t="s">
        <v>103</v>
      </c>
      <c r="F1396" s="119" t="s">
        <v>90</v>
      </c>
      <c r="G1396" s="119">
        <v>1</v>
      </c>
      <c r="H1396" s="119" t="s">
        <v>475</v>
      </c>
      <c r="I1396" s="119" t="s">
        <v>82</v>
      </c>
    </row>
    <row r="1397" spans="1:15" ht="13">
      <c r="A1397" s="118">
        <v>46181</v>
      </c>
      <c r="B1397" s="119">
        <v>7002873882</v>
      </c>
      <c r="C1397" s="119" t="s">
        <v>524</v>
      </c>
      <c r="D1397" s="119" t="s">
        <v>474</v>
      </c>
      <c r="E1397" s="119" t="s">
        <v>454</v>
      </c>
      <c r="F1397" s="119" t="s">
        <v>90</v>
      </c>
      <c r="G1397" s="119">
        <v>2</v>
      </c>
      <c r="H1397" s="119" t="s">
        <v>475</v>
      </c>
      <c r="I1397" s="119" t="s">
        <v>82</v>
      </c>
    </row>
    <row r="1398" spans="1:15" ht="13">
      <c r="A1398" s="118">
        <v>46181</v>
      </c>
      <c r="B1398" s="119">
        <v>7002879769</v>
      </c>
      <c r="C1398" s="119" t="s">
        <v>524</v>
      </c>
      <c r="D1398" s="119" t="s">
        <v>474</v>
      </c>
      <c r="E1398" s="119" t="s">
        <v>539</v>
      </c>
      <c r="F1398" s="119" t="s">
        <v>90</v>
      </c>
      <c r="G1398" s="119">
        <v>1</v>
      </c>
      <c r="H1398" s="119" t="s">
        <v>475</v>
      </c>
      <c r="I1398" s="119" t="s">
        <v>82</v>
      </c>
    </row>
    <row r="1399" spans="1:15" ht="13">
      <c r="A1399" s="118">
        <v>46181</v>
      </c>
      <c r="B1399" s="119">
        <v>7002703749</v>
      </c>
      <c r="C1399" s="119" t="s">
        <v>524</v>
      </c>
      <c r="D1399" s="119" t="s">
        <v>474</v>
      </c>
      <c r="E1399" s="119" t="s">
        <v>591</v>
      </c>
      <c r="F1399" s="119" t="s">
        <v>90</v>
      </c>
      <c r="G1399" s="119">
        <v>8</v>
      </c>
      <c r="H1399" s="119" t="s">
        <v>475</v>
      </c>
      <c r="I1399" s="119" t="s">
        <v>82</v>
      </c>
    </row>
    <row r="1400" spans="1:15" ht="13">
      <c r="A1400" s="118">
        <v>46181</v>
      </c>
      <c r="B1400" s="119">
        <v>7002884030</v>
      </c>
      <c r="C1400" s="119" t="s">
        <v>524</v>
      </c>
      <c r="D1400" s="119" t="s">
        <v>479</v>
      </c>
      <c r="E1400" s="119" t="s">
        <v>103</v>
      </c>
      <c r="F1400" s="119" t="s">
        <v>90</v>
      </c>
      <c r="G1400" s="119">
        <v>1</v>
      </c>
      <c r="H1400" s="119" t="s">
        <v>475</v>
      </c>
      <c r="I1400" s="119" t="s">
        <v>82</v>
      </c>
    </row>
    <row r="1401" spans="1:15" ht="13">
      <c r="A1401" s="118">
        <v>46181</v>
      </c>
      <c r="B1401" s="119">
        <v>7002872785</v>
      </c>
      <c r="C1401" s="119" t="s">
        <v>524</v>
      </c>
      <c r="D1401" s="119" t="s">
        <v>479</v>
      </c>
      <c r="E1401" s="119" t="s">
        <v>470</v>
      </c>
      <c r="F1401" s="119" t="s">
        <v>90</v>
      </c>
      <c r="G1401" s="119">
        <v>1</v>
      </c>
      <c r="H1401" s="119" t="s">
        <v>475</v>
      </c>
      <c r="I1401" s="119" t="s">
        <v>82</v>
      </c>
    </row>
    <row r="1402" spans="1:15" ht="13">
      <c r="A1402" s="118">
        <v>46181</v>
      </c>
      <c r="B1402" s="119">
        <v>7002701428</v>
      </c>
      <c r="C1402" s="119" t="s">
        <v>524</v>
      </c>
      <c r="D1402" s="119" t="s">
        <v>474</v>
      </c>
      <c r="E1402" s="119" t="s">
        <v>488</v>
      </c>
      <c r="F1402" s="119" t="s">
        <v>90</v>
      </c>
      <c r="G1402" s="119">
        <v>1</v>
      </c>
      <c r="H1402" s="119" t="s">
        <v>475</v>
      </c>
      <c r="I1402" s="119" t="s">
        <v>82</v>
      </c>
    </row>
    <row r="1403" spans="1:15" ht="13">
      <c r="A1403" s="118">
        <v>46181</v>
      </c>
      <c r="B1403" s="119">
        <v>7002872641</v>
      </c>
      <c r="C1403" s="119" t="s">
        <v>524</v>
      </c>
      <c r="D1403" s="119" t="s">
        <v>474</v>
      </c>
      <c r="E1403" s="119" t="s">
        <v>528</v>
      </c>
      <c r="F1403" s="119" t="s">
        <v>90</v>
      </c>
      <c r="G1403" s="119">
        <v>6</v>
      </c>
      <c r="H1403" s="119" t="s">
        <v>475</v>
      </c>
      <c r="I1403" s="119" t="s">
        <v>82</v>
      </c>
    </row>
    <row r="1404" spans="1:15" ht="13">
      <c r="A1404" s="109"/>
      <c r="B1404" s="110"/>
      <c r="C1404" s="110"/>
      <c r="D1404" s="110"/>
      <c r="E1404" s="110"/>
      <c r="F1404" s="110"/>
      <c r="G1404" s="110"/>
      <c r="H1404" s="110"/>
      <c r="I1404" s="110"/>
    </row>
    <row r="1405" spans="1:15" ht="13">
      <c r="A1405" s="109"/>
      <c r="B1405" s="110"/>
      <c r="C1405" s="110"/>
      <c r="D1405" s="110"/>
      <c r="E1405" s="110"/>
      <c r="F1405" s="110"/>
      <c r="G1405" s="110"/>
      <c r="H1405" s="110"/>
      <c r="I1405" s="110"/>
    </row>
    <row r="1406" spans="1:15" ht="13">
      <c r="A1406" s="105" t="s">
        <v>1</v>
      </c>
      <c r="B1406" s="105" t="s">
        <v>445</v>
      </c>
      <c r="C1406" s="105" t="s">
        <v>446</v>
      </c>
      <c r="D1406" s="105" t="s">
        <v>465</v>
      </c>
      <c r="E1406" s="105" t="s">
        <v>70</v>
      </c>
      <c r="F1406" s="105" t="s">
        <v>447</v>
      </c>
      <c r="G1406" s="105" t="s">
        <v>71</v>
      </c>
      <c r="H1406" s="105" t="s">
        <v>466</v>
      </c>
      <c r="I1406" s="105" t="s">
        <v>448</v>
      </c>
    </row>
    <row r="1407" spans="1:15" ht="14">
      <c r="A1407" s="118">
        <v>46182</v>
      </c>
      <c r="B1407" s="119">
        <v>7002883077</v>
      </c>
      <c r="C1407" s="119" t="s">
        <v>555</v>
      </c>
      <c r="D1407" s="119" t="s">
        <v>489</v>
      </c>
      <c r="E1407" s="119" t="s">
        <v>103</v>
      </c>
      <c r="F1407" s="119" t="s">
        <v>108</v>
      </c>
      <c r="G1407" s="119">
        <v>2</v>
      </c>
      <c r="H1407" s="119" t="s">
        <v>472</v>
      </c>
      <c r="I1407" s="119" t="s">
        <v>82</v>
      </c>
      <c r="K1407" s="215">
        <v>46182</v>
      </c>
      <c r="L1407" s="196"/>
      <c r="M1407" s="196"/>
      <c r="N1407" s="196"/>
      <c r="O1407" s="197"/>
    </row>
    <row r="1408" spans="1:15" ht="14">
      <c r="A1408" s="118">
        <v>46182</v>
      </c>
      <c r="B1408" s="119">
        <v>7002836168</v>
      </c>
      <c r="C1408" s="119" t="s">
        <v>468</v>
      </c>
      <c r="D1408" s="119" t="s">
        <v>474</v>
      </c>
      <c r="E1408" s="119" t="s">
        <v>481</v>
      </c>
      <c r="F1408" s="119" t="s">
        <v>459</v>
      </c>
      <c r="G1408" s="119">
        <v>5</v>
      </c>
      <c r="H1408" s="119" t="s">
        <v>472</v>
      </c>
      <c r="I1408" s="119" t="s">
        <v>82</v>
      </c>
      <c r="K1408" s="54" t="s">
        <v>529</v>
      </c>
      <c r="L1408" s="54" t="s">
        <v>74</v>
      </c>
      <c r="M1408" s="54"/>
      <c r="N1408" s="54"/>
      <c r="O1408" s="54"/>
    </row>
    <row r="1409" spans="1:15" ht="14">
      <c r="A1409" s="118">
        <v>46182</v>
      </c>
      <c r="B1409" s="119">
        <v>7002831219</v>
      </c>
      <c r="C1409" s="119" t="s">
        <v>555</v>
      </c>
      <c r="D1409" s="119" t="s">
        <v>489</v>
      </c>
      <c r="E1409" s="119" t="s">
        <v>454</v>
      </c>
      <c r="F1409" s="119" t="s">
        <v>96</v>
      </c>
      <c r="G1409" s="119">
        <v>2</v>
      </c>
      <c r="H1409" s="119" t="s">
        <v>472</v>
      </c>
      <c r="I1409" s="119" t="s">
        <v>505</v>
      </c>
      <c r="K1409" s="54" t="s">
        <v>62</v>
      </c>
      <c r="L1409" s="54" t="s">
        <v>503</v>
      </c>
      <c r="M1409" s="54" t="s">
        <v>82</v>
      </c>
      <c r="N1409" s="54" t="s">
        <v>505</v>
      </c>
      <c r="O1409" s="54" t="s">
        <v>84</v>
      </c>
    </row>
    <row r="1410" spans="1:15" ht="14">
      <c r="A1410" s="118">
        <v>46182</v>
      </c>
      <c r="B1410" s="119">
        <v>7002831257</v>
      </c>
      <c r="C1410" s="119" t="s">
        <v>555</v>
      </c>
      <c r="D1410" s="119" t="s">
        <v>489</v>
      </c>
      <c r="E1410" s="119" t="s">
        <v>103</v>
      </c>
      <c r="F1410" s="119" t="s">
        <v>108</v>
      </c>
      <c r="G1410" s="119">
        <v>5</v>
      </c>
      <c r="H1410" s="119" t="s">
        <v>472</v>
      </c>
      <c r="I1410" s="119" t="s">
        <v>503</v>
      </c>
      <c r="K1410" s="97" t="s">
        <v>475</v>
      </c>
      <c r="L1410" s="97"/>
      <c r="M1410" s="97">
        <v>1</v>
      </c>
      <c r="N1410" s="97">
        <v>1</v>
      </c>
      <c r="O1410" s="97">
        <v>2</v>
      </c>
    </row>
    <row r="1411" spans="1:15" ht="14">
      <c r="A1411" s="118">
        <v>46182</v>
      </c>
      <c r="B1411" s="119">
        <v>7002844576</v>
      </c>
      <c r="C1411" s="119" t="s">
        <v>605</v>
      </c>
      <c r="D1411" s="119" t="s">
        <v>474</v>
      </c>
      <c r="E1411" s="119" t="s">
        <v>525</v>
      </c>
      <c r="F1411" s="119" t="s">
        <v>122</v>
      </c>
      <c r="G1411" s="119">
        <v>2</v>
      </c>
      <c r="H1411" s="119" t="s">
        <v>472</v>
      </c>
      <c r="I1411" s="119" t="s">
        <v>82</v>
      </c>
      <c r="K1411" s="16" t="s">
        <v>606</v>
      </c>
      <c r="L1411" s="16"/>
      <c r="M1411" s="16">
        <v>1</v>
      </c>
      <c r="N1411" s="16"/>
      <c r="O1411" s="16">
        <v>1</v>
      </c>
    </row>
    <row r="1412" spans="1:15" ht="14">
      <c r="A1412" s="118">
        <v>46182</v>
      </c>
      <c r="B1412" s="119">
        <v>7002884128</v>
      </c>
      <c r="C1412" s="119" t="s">
        <v>606</v>
      </c>
      <c r="D1412" s="119" t="s">
        <v>479</v>
      </c>
      <c r="E1412" s="119" t="s">
        <v>98</v>
      </c>
      <c r="F1412" s="119" t="s">
        <v>96</v>
      </c>
      <c r="G1412" s="119"/>
      <c r="H1412" s="119" t="s">
        <v>472</v>
      </c>
      <c r="I1412" s="119" t="s">
        <v>82</v>
      </c>
      <c r="K1412" s="16" t="s">
        <v>607</v>
      </c>
      <c r="L1412" s="16"/>
      <c r="M1412" s="16"/>
      <c r="N1412" s="16">
        <v>1</v>
      </c>
      <c r="O1412" s="16">
        <v>1</v>
      </c>
    </row>
    <row r="1413" spans="1:15" ht="14">
      <c r="A1413" s="118">
        <v>46182</v>
      </c>
      <c r="B1413" s="119">
        <v>7002830291</v>
      </c>
      <c r="C1413" s="119" t="s">
        <v>555</v>
      </c>
      <c r="D1413" s="119" t="s">
        <v>489</v>
      </c>
      <c r="E1413" s="119" t="s">
        <v>454</v>
      </c>
      <c r="F1413" s="119" t="s">
        <v>108</v>
      </c>
      <c r="G1413" s="119">
        <v>1</v>
      </c>
      <c r="H1413" s="119" t="s">
        <v>472</v>
      </c>
      <c r="I1413" s="119" t="s">
        <v>505</v>
      </c>
      <c r="K1413" s="97" t="s">
        <v>472</v>
      </c>
      <c r="L1413" s="97">
        <v>4</v>
      </c>
      <c r="M1413" s="97">
        <v>13</v>
      </c>
      <c r="N1413" s="97">
        <v>12</v>
      </c>
      <c r="O1413" s="97">
        <v>29</v>
      </c>
    </row>
    <row r="1414" spans="1:15" ht="14">
      <c r="A1414" s="118">
        <v>46182</v>
      </c>
      <c r="B1414" s="119">
        <v>7002874540</v>
      </c>
      <c r="C1414" s="119" t="s">
        <v>605</v>
      </c>
      <c r="D1414" s="119" t="s">
        <v>474</v>
      </c>
      <c r="E1414" s="119" t="s">
        <v>486</v>
      </c>
      <c r="F1414" s="119" t="s">
        <v>122</v>
      </c>
      <c r="G1414" s="119">
        <v>1</v>
      </c>
      <c r="H1414" s="119" t="s">
        <v>472</v>
      </c>
      <c r="I1414" s="119" t="s">
        <v>82</v>
      </c>
      <c r="K1414" s="16" t="s">
        <v>555</v>
      </c>
      <c r="L1414" s="16">
        <v>1</v>
      </c>
      <c r="M1414" s="16">
        <v>1</v>
      </c>
      <c r="N1414" s="16">
        <v>11</v>
      </c>
      <c r="O1414" s="16">
        <v>13</v>
      </c>
    </row>
    <row r="1415" spans="1:15" ht="14">
      <c r="A1415" s="118">
        <v>46182</v>
      </c>
      <c r="B1415" s="119">
        <v>7002848638</v>
      </c>
      <c r="C1415" s="119" t="s">
        <v>605</v>
      </c>
      <c r="D1415" s="119" t="s">
        <v>479</v>
      </c>
      <c r="E1415" s="119" t="s">
        <v>470</v>
      </c>
      <c r="F1415" s="119" t="s">
        <v>122</v>
      </c>
      <c r="G1415" s="119">
        <v>2</v>
      </c>
      <c r="H1415" s="119" t="s">
        <v>472</v>
      </c>
      <c r="I1415" s="119" t="s">
        <v>82</v>
      </c>
      <c r="K1415" s="16" t="s">
        <v>605</v>
      </c>
      <c r="L1415" s="16"/>
      <c r="M1415" s="16">
        <v>7</v>
      </c>
      <c r="N1415" s="16">
        <v>1</v>
      </c>
      <c r="O1415" s="16">
        <v>8</v>
      </c>
    </row>
    <row r="1416" spans="1:15" ht="14">
      <c r="A1416" s="118">
        <v>46182</v>
      </c>
      <c r="B1416" s="119">
        <v>7002873450</v>
      </c>
      <c r="C1416" s="119" t="s">
        <v>605</v>
      </c>
      <c r="D1416" s="119" t="s">
        <v>474</v>
      </c>
      <c r="E1416" s="119" t="s">
        <v>461</v>
      </c>
      <c r="F1416" s="119" t="s">
        <v>122</v>
      </c>
      <c r="G1416" s="119">
        <v>2</v>
      </c>
      <c r="H1416" s="119" t="s">
        <v>472</v>
      </c>
      <c r="I1416" s="119" t="s">
        <v>82</v>
      </c>
      <c r="K1416" s="16" t="s">
        <v>468</v>
      </c>
      <c r="L1416" s="16">
        <v>1</v>
      </c>
      <c r="M1416" s="16">
        <v>3</v>
      </c>
      <c r="N1416" s="16"/>
      <c r="O1416" s="16">
        <v>4</v>
      </c>
    </row>
    <row r="1417" spans="1:15" ht="14">
      <c r="A1417" s="118">
        <v>46182</v>
      </c>
      <c r="B1417" s="119">
        <v>7002872433</v>
      </c>
      <c r="C1417" s="119" t="s">
        <v>605</v>
      </c>
      <c r="D1417" s="119" t="s">
        <v>474</v>
      </c>
      <c r="E1417" s="119" t="s">
        <v>461</v>
      </c>
      <c r="F1417" s="119" t="s">
        <v>122</v>
      </c>
      <c r="G1417" s="119">
        <v>11</v>
      </c>
      <c r="H1417" s="119" t="s">
        <v>472</v>
      </c>
      <c r="I1417" s="119" t="s">
        <v>82</v>
      </c>
      <c r="K1417" s="16" t="s">
        <v>608</v>
      </c>
      <c r="L1417" s="16">
        <v>2</v>
      </c>
      <c r="M1417" s="16"/>
      <c r="N1417" s="16"/>
      <c r="O1417" s="16">
        <v>2</v>
      </c>
    </row>
    <row r="1418" spans="1:15" ht="14">
      <c r="A1418" s="118">
        <v>46182</v>
      </c>
      <c r="B1418" s="119">
        <v>7002842172</v>
      </c>
      <c r="C1418" s="119" t="s">
        <v>555</v>
      </c>
      <c r="D1418" s="119" t="s">
        <v>489</v>
      </c>
      <c r="E1418" s="119" t="s">
        <v>91</v>
      </c>
      <c r="F1418" s="119" t="s">
        <v>108</v>
      </c>
      <c r="G1418" s="119">
        <v>124</v>
      </c>
      <c r="H1418" s="119" t="s">
        <v>472</v>
      </c>
      <c r="I1418" s="119" t="s">
        <v>505</v>
      </c>
      <c r="K1418" s="16" t="s">
        <v>606</v>
      </c>
      <c r="L1418" s="16"/>
      <c r="M1418" s="16">
        <v>1</v>
      </c>
      <c r="N1418" s="16"/>
      <c r="O1418" s="16">
        <v>1</v>
      </c>
    </row>
    <row r="1419" spans="1:15" ht="14">
      <c r="A1419" s="118">
        <v>46182</v>
      </c>
      <c r="B1419" s="119">
        <v>7002894061</v>
      </c>
      <c r="C1419" s="119" t="s">
        <v>609</v>
      </c>
      <c r="D1419" s="119" t="s">
        <v>476</v>
      </c>
      <c r="E1419" s="119" t="s">
        <v>98</v>
      </c>
      <c r="F1419" s="119" t="s">
        <v>96</v>
      </c>
      <c r="G1419" s="119">
        <v>2</v>
      </c>
      <c r="H1419" s="119" t="s">
        <v>472</v>
      </c>
      <c r="I1419" s="119" t="s">
        <v>82</v>
      </c>
      <c r="K1419" s="16" t="s">
        <v>609</v>
      </c>
      <c r="L1419" s="16"/>
      <c r="M1419" s="16">
        <v>1</v>
      </c>
      <c r="N1419" s="16"/>
      <c r="O1419" s="16">
        <v>1</v>
      </c>
    </row>
    <row r="1420" spans="1:15" ht="14">
      <c r="A1420" s="118">
        <v>46182</v>
      </c>
      <c r="B1420" s="119">
        <v>7002872414</v>
      </c>
      <c r="C1420" s="119" t="s">
        <v>605</v>
      </c>
      <c r="D1420" s="119" t="s">
        <v>474</v>
      </c>
      <c r="E1420" s="119" t="s">
        <v>461</v>
      </c>
      <c r="F1420" s="119" t="s">
        <v>122</v>
      </c>
      <c r="G1420" s="119">
        <v>2</v>
      </c>
      <c r="H1420" s="119" t="s">
        <v>472</v>
      </c>
      <c r="I1420" s="119" t="s">
        <v>82</v>
      </c>
      <c r="K1420" s="54" t="s">
        <v>84</v>
      </c>
      <c r="L1420" s="54">
        <v>4</v>
      </c>
      <c r="M1420" s="54">
        <v>14</v>
      </c>
      <c r="N1420" s="54">
        <v>13</v>
      </c>
      <c r="O1420" s="54">
        <v>31</v>
      </c>
    </row>
    <row r="1421" spans="1:15" ht="13">
      <c r="A1421" s="118">
        <v>46182</v>
      </c>
      <c r="B1421" s="119">
        <v>7002889758</v>
      </c>
      <c r="C1421" s="119" t="s">
        <v>605</v>
      </c>
      <c r="D1421" s="119" t="s">
        <v>479</v>
      </c>
      <c r="E1421" s="119" t="s">
        <v>470</v>
      </c>
      <c r="F1421" s="119" t="s">
        <v>122</v>
      </c>
      <c r="G1421" s="119">
        <v>2</v>
      </c>
      <c r="H1421" s="119" t="s">
        <v>472</v>
      </c>
      <c r="I1421" s="119" t="s">
        <v>505</v>
      </c>
    </row>
    <row r="1422" spans="1:15" ht="13">
      <c r="A1422" s="118">
        <v>46182</v>
      </c>
      <c r="B1422" s="119">
        <v>7002874501</v>
      </c>
      <c r="C1422" s="119" t="s">
        <v>605</v>
      </c>
      <c r="D1422" s="119" t="s">
        <v>474</v>
      </c>
      <c r="E1422" s="119" t="s">
        <v>461</v>
      </c>
      <c r="F1422" s="119" t="s">
        <v>122</v>
      </c>
      <c r="G1422" s="119">
        <v>1</v>
      </c>
      <c r="H1422" s="119" t="s">
        <v>472</v>
      </c>
      <c r="I1422" s="119" t="s">
        <v>82</v>
      </c>
    </row>
    <row r="1423" spans="1:15" ht="13">
      <c r="A1423" s="118">
        <v>46182</v>
      </c>
      <c r="B1423" s="119">
        <v>8000006066</v>
      </c>
      <c r="C1423" s="119" t="s">
        <v>608</v>
      </c>
      <c r="D1423" s="119" t="s">
        <v>476</v>
      </c>
      <c r="E1423" s="119" t="s">
        <v>610</v>
      </c>
      <c r="F1423" s="119" t="s">
        <v>463</v>
      </c>
      <c r="G1423" s="119">
        <v>0</v>
      </c>
      <c r="H1423" s="119" t="s">
        <v>472</v>
      </c>
      <c r="I1423" s="119" t="s">
        <v>503</v>
      </c>
    </row>
    <row r="1424" spans="1:15" ht="13">
      <c r="A1424" s="118">
        <v>46182</v>
      </c>
      <c r="B1424" s="119">
        <v>7002823059</v>
      </c>
      <c r="C1424" s="119" t="s">
        <v>555</v>
      </c>
      <c r="D1424" s="119" t="s">
        <v>489</v>
      </c>
      <c r="E1424" s="119" t="s">
        <v>98</v>
      </c>
      <c r="F1424" s="119" t="s">
        <v>108</v>
      </c>
      <c r="G1424" s="119">
        <v>3</v>
      </c>
      <c r="H1424" s="119" t="s">
        <v>472</v>
      </c>
      <c r="I1424" s="119" t="s">
        <v>505</v>
      </c>
    </row>
    <row r="1425" spans="1:9" ht="13">
      <c r="A1425" s="118">
        <v>46182</v>
      </c>
      <c r="B1425" s="119">
        <v>7002821267</v>
      </c>
      <c r="C1425" s="119" t="s">
        <v>555</v>
      </c>
      <c r="D1425" s="119" t="s">
        <v>489</v>
      </c>
      <c r="E1425" s="119" t="s">
        <v>454</v>
      </c>
      <c r="F1425" s="119" t="s">
        <v>96</v>
      </c>
      <c r="G1425" s="119">
        <v>2</v>
      </c>
      <c r="H1425" s="119" t="s">
        <v>472</v>
      </c>
      <c r="I1425" s="119" t="s">
        <v>505</v>
      </c>
    </row>
    <row r="1426" spans="1:9" ht="13">
      <c r="A1426" s="118">
        <v>46182</v>
      </c>
      <c r="B1426" s="119">
        <v>7002745942</v>
      </c>
      <c r="C1426" s="119" t="s">
        <v>468</v>
      </c>
      <c r="D1426" s="119" t="s">
        <v>474</v>
      </c>
      <c r="E1426" s="119" t="s">
        <v>452</v>
      </c>
      <c r="F1426" s="119" t="s">
        <v>459</v>
      </c>
      <c r="G1426" s="119">
        <v>2</v>
      </c>
      <c r="H1426" s="119" t="s">
        <v>472</v>
      </c>
      <c r="I1426" s="119" t="s">
        <v>82</v>
      </c>
    </row>
    <row r="1427" spans="1:9" ht="13">
      <c r="A1427" s="118">
        <v>46182</v>
      </c>
      <c r="B1427" s="119">
        <v>7002822284</v>
      </c>
      <c r="C1427" s="119" t="s">
        <v>555</v>
      </c>
      <c r="D1427" s="119" t="s">
        <v>489</v>
      </c>
      <c r="E1427" s="119" t="s">
        <v>463</v>
      </c>
      <c r="F1427" s="119" t="s">
        <v>108</v>
      </c>
      <c r="G1427" s="119">
        <v>1</v>
      </c>
      <c r="H1427" s="119" t="s">
        <v>472</v>
      </c>
      <c r="I1427" s="119" t="s">
        <v>505</v>
      </c>
    </row>
    <row r="1428" spans="1:9" ht="13">
      <c r="A1428" s="118">
        <v>46182</v>
      </c>
      <c r="B1428" s="119">
        <v>7002829189</v>
      </c>
      <c r="C1428" s="119" t="s">
        <v>555</v>
      </c>
      <c r="D1428" s="119" t="s">
        <v>489</v>
      </c>
      <c r="E1428" s="119" t="s">
        <v>463</v>
      </c>
      <c r="F1428" s="119" t="s">
        <v>108</v>
      </c>
      <c r="G1428" s="119">
        <v>1</v>
      </c>
      <c r="H1428" s="119" t="s">
        <v>472</v>
      </c>
      <c r="I1428" s="119" t="s">
        <v>505</v>
      </c>
    </row>
    <row r="1429" spans="1:9" ht="13">
      <c r="A1429" s="118">
        <v>46182</v>
      </c>
      <c r="B1429" s="119">
        <v>7002812779</v>
      </c>
      <c r="C1429" s="119" t="s">
        <v>555</v>
      </c>
      <c r="D1429" s="119" t="s">
        <v>489</v>
      </c>
      <c r="E1429" s="119" t="s">
        <v>463</v>
      </c>
      <c r="F1429" s="119" t="s">
        <v>108</v>
      </c>
      <c r="G1429" s="119">
        <v>1</v>
      </c>
      <c r="H1429" s="119" t="s">
        <v>472</v>
      </c>
      <c r="I1429" s="119" t="s">
        <v>505</v>
      </c>
    </row>
    <row r="1430" spans="1:9" ht="13">
      <c r="A1430" s="118">
        <v>46182</v>
      </c>
      <c r="B1430" s="119">
        <v>7002826456</v>
      </c>
      <c r="C1430" s="119" t="s">
        <v>555</v>
      </c>
      <c r="D1430" s="119" t="s">
        <v>489</v>
      </c>
      <c r="E1430" s="119" t="s">
        <v>454</v>
      </c>
      <c r="F1430" s="119" t="s">
        <v>96</v>
      </c>
      <c r="G1430" s="119">
        <v>3</v>
      </c>
      <c r="H1430" s="119" t="s">
        <v>472</v>
      </c>
      <c r="I1430" s="119" t="s">
        <v>505</v>
      </c>
    </row>
    <row r="1431" spans="1:9" ht="13">
      <c r="A1431" s="118">
        <v>46182</v>
      </c>
      <c r="B1431" s="119">
        <v>7002768801</v>
      </c>
      <c r="C1431" s="119" t="s">
        <v>468</v>
      </c>
      <c r="D1431" s="119" t="s">
        <v>474</v>
      </c>
      <c r="E1431" s="119" t="s">
        <v>454</v>
      </c>
      <c r="F1431" s="119" t="s">
        <v>595</v>
      </c>
      <c r="G1431" s="119">
        <v>1</v>
      </c>
      <c r="H1431" s="119" t="s">
        <v>472</v>
      </c>
      <c r="I1431" s="119" t="s">
        <v>503</v>
      </c>
    </row>
    <row r="1432" spans="1:9" ht="13">
      <c r="A1432" s="118">
        <v>46182</v>
      </c>
      <c r="B1432" s="119">
        <v>7002814765</v>
      </c>
      <c r="C1432" s="119" t="s">
        <v>555</v>
      </c>
      <c r="D1432" s="119" t="s">
        <v>489</v>
      </c>
      <c r="E1432" s="119" t="s">
        <v>463</v>
      </c>
      <c r="F1432" s="119" t="s">
        <v>108</v>
      </c>
      <c r="G1432" s="119">
        <v>1</v>
      </c>
      <c r="H1432" s="119" t="s">
        <v>472</v>
      </c>
      <c r="I1432" s="119" t="s">
        <v>505</v>
      </c>
    </row>
    <row r="1433" spans="1:9" ht="13">
      <c r="A1433" s="118">
        <v>46182</v>
      </c>
      <c r="B1433" s="119">
        <v>8000008068</v>
      </c>
      <c r="C1433" s="119" t="s">
        <v>608</v>
      </c>
      <c r="D1433" s="119" t="s">
        <v>476</v>
      </c>
      <c r="E1433" s="119" t="s">
        <v>610</v>
      </c>
      <c r="F1433" s="119" t="s">
        <v>463</v>
      </c>
      <c r="G1433" s="119">
        <v>0</v>
      </c>
      <c r="H1433" s="119" t="s">
        <v>472</v>
      </c>
      <c r="I1433" s="119" t="s">
        <v>503</v>
      </c>
    </row>
    <row r="1434" spans="1:9" ht="13">
      <c r="A1434" s="118">
        <v>46182</v>
      </c>
      <c r="B1434" s="119">
        <v>7002815644</v>
      </c>
      <c r="C1434" s="119" t="s">
        <v>468</v>
      </c>
      <c r="D1434" s="119" t="s">
        <v>474</v>
      </c>
      <c r="E1434" s="119" t="s">
        <v>463</v>
      </c>
      <c r="F1434" s="119" t="s">
        <v>459</v>
      </c>
      <c r="G1434" s="119">
        <v>3</v>
      </c>
      <c r="H1434" s="119" t="s">
        <v>472</v>
      </c>
      <c r="I1434" s="119" t="s">
        <v>82</v>
      </c>
    </row>
    <row r="1435" spans="1:9" ht="13">
      <c r="A1435" s="118">
        <v>46182</v>
      </c>
      <c r="B1435" s="119">
        <v>7002818740</v>
      </c>
      <c r="C1435" s="119" t="s">
        <v>555</v>
      </c>
      <c r="D1435" s="119" t="s">
        <v>489</v>
      </c>
      <c r="E1435" s="119" t="s">
        <v>463</v>
      </c>
      <c r="F1435" s="119" t="s">
        <v>108</v>
      </c>
      <c r="G1435" s="119">
        <v>1</v>
      </c>
      <c r="H1435" s="119" t="s">
        <v>472</v>
      </c>
      <c r="I1435" s="119" t="s">
        <v>505</v>
      </c>
    </row>
    <row r="1436" spans="1:9" ht="13">
      <c r="A1436" s="118">
        <v>46182</v>
      </c>
      <c r="B1436" s="119">
        <v>7002877052</v>
      </c>
      <c r="C1436" s="119" t="s">
        <v>606</v>
      </c>
      <c r="D1436" s="119" t="s">
        <v>476</v>
      </c>
      <c r="E1436" s="119" t="s">
        <v>98</v>
      </c>
      <c r="F1436" s="119" t="s">
        <v>90</v>
      </c>
      <c r="G1436" s="119">
        <v>42</v>
      </c>
      <c r="H1436" s="119" t="s">
        <v>475</v>
      </c>
      <c r="I1436" s="119" t="s">
        <v>82</v>
      </c>
    </row>
    <row r="1437" spans="1:9" ht="13">
      <c r="A1437" s="118">
        <v>46182</v>
      </c>
      <c r="B1437" s="119">
        <v>7002815995</v>
      </c>
      <c r="C1437" s="119" t="s">
        <v>607</v>
      </c>
      <c r="D1437" s="119" t="s">
        <v>474</v>
      </c>
      <c r="E1437" s="119" t="s">
        <v>528</v>
      </c>
      <c r="F1437" s="119" t="s">
        <v>90</v>
      </c>
      <c r="G1437" s="119">
        <v>50</v>
      </c>
      <c r="H1437" s="119" t="s">
        <v>475</v>
      </c>
      <c r="I1437" s="119" t="s">
        <v>505</v>
      </c>
    </row>
    <row r="1438" spans="1:9" ht="13">
      <c r="A1438" s="109"/>
      <c r="B1438" s="110"/>
      <c r="C1438" s="110"/>
      <c r="D1438" s="110"/>
      <c r="E1438" s="110"/>
      <c r="F1438" s="110"/>
      <c r="G1438" s="110"/>
      <c r="H1438" s="110"/>
      <c r="I1438" s="110"/>
    </row>
    <row r="1439" spans="1:9" ht="13">
      <c r="A1439" s="109"/>
      <c r="B1439" s="110"/>
      <c r="C1439" s="110"/>
      <c r="D1439" s="110"/>
      <c r="E1439" s="110"/>
      <c r="F1439" s="110"/>
      <c r="G1439" s="110"/>
      <c r="H1439" s="110"/>
      <c r="I1439" s="110"/>
    </row>
    <row r="1440" spans="1:9" ht="13">
      <c r="A1440" s="105" t="s">
        <v>1</v>
      </c>
      <c r="B1440" s="105" t="s">
        <v>445</v>
      </c>
      <c r="C1440" s="105" t="s">
        <v>446</v>
      </c>
      <c r="D1440" s="105" t="s">
        <v>465</v>
      </c>
      <c r="E1440" s="105" t="s">
        <v>70</v>
      </c>
      <c r="F1440" s="105" t="s">
        <v>447</v>
      </c>
      <c r="G1440" s="105" t="s">
        <v>71</v>
      </c>
      <c r="H1440" s="105" t="s">
        <v>466</v>
      </c>
      <c r="I1440" s="105" t="s">
        <v>448</v>
      </c>
    </row>
    <row r="1441" spans="1:14" ht="13">
      <c r="A1441" s="118">
        <v>46183</v>
      </c>
      <c r="B1441" s="119">
        <v>7002883077</v>
      </c>
      <c r="C1441" s="119" t="s">
        <v>611</v>
      </c>
      <c r="D1441" s="119" t="s">
        <v>489</v>
      </c>
      <c r="E1441" s="119" t="s">
        <v>103</v>
      </c>
      <c r="F1441" s="119" t="s">
        <v>108</v>
      </c>
      <c r="G1441" s="119">
        <v>2</v>
      </c>
      <c r="H1441" s="119" t="s">
        <v>472</v>
      </c>
      <c r="I1441" s="119" t="s">
        <v>505</v>
      </c>
    </row>
    <row r="1442" spans="1:14" ht="14">
      <c r="A1442" s="118">
        <v>46183</v>
      </c>
      <c r="B1442" s="119">
        <v>7002884128</v>
      </c>
      <c r="C1442" s="119" t="s">
        <v>612</v>
      </c>
      <c r="D1442" s="119" t="s">
        <v>479</v>
      </c>
      <c r="E1442" s="119" t="s">
        <v>98</v>
      </c>
      <c r="F1442" s="119" t="s">
        <v>96</v>
      </c>
      <c r="G1442" s="119">
        <v>13</v>
      </c>
      <c r="H1442" s="119" t="s">
        <v>472</v>
      </c>
      <c r="I1442" s="119" t="s">
        <v>505</v>
      </c>
      <c r="K1442" s="217">
        <v>46183</v>
      </c>
      <c r="L1442" s="196"/>
      <c r="M1442" s="196"/>
      <c r="N1442" s="197"/>
    </row>
    <row r="1443" spans="1:14" ht="14">
      <c r="A1443" s="118">
        <v>46183</v>
      </c>
      <c r="B1443" s="119">
        <v>7002894061</v>
      </c>
      <c r="C1443" s="119" t="s">
        <v>613</v>
      </c>
      <c r="D1443" s="119" t="s">
        <v>476</v>
      </c>
      <c r="E1443" s="119" t="s">
        <v>98</v>
      </c>
      <c r="F1443" s="119" t="s">
        <v>96</v>
      </c>
      <c r="G1443" s="119">
        <v>2</v>
      </c>
      <c r="H1443" s="119" t="s">
        <v>472</v>
      </c>
      <c r="I1443" s="119" t="s">
        <v>505</v>
      </c>
      <c r="K1443" s="54" t="s">
        <v>529</v>
      </c>
      <c r="L1443" s="54" t="s">
        <v>74</v>
      </c>
      <c r="M1443" s="54"/>
      <c r="N1443" s="54"/>
    </row>
    <row r="1444" spans="1:14" ht="14">
      <c r="A1444" s="118">
        <v>46183</v>
      </c>
      <c r="B1444" s="119">
        <v>7002887923</v>
      </c>
      <c r="C1444" s="119" t="s">
        <v>524</v>
      </c>
      <c r="D1444" s="119" t="s">
        <v>474</v>
      </c>
      <c r="E1444" s="119" t="s">
        <v>528</v>
      </c>
      <c r="F1444" s="119" t="s">
        <v>90</v>
      </c>
      <c r="G1444" s="119">
        <v>3</v>
      </c>
      <c r="H1444" s="119" t="s">
        <v>475</v>
      </c>
      <c r="I1444" s="119" t="s">
        <v>82</v>
      </c>
      <c r="K1444" s="54" t="s">
        <v>62</v>
      </c>
      <c r="L1444" s="54" t="s">
        <v>82</v>
      </c>
      <c r="M1444" s="54" t="s">
        <v>505</v>
      </c>
      <c r="N1444" s="54" t="s">
        <v>84</v>
      </c>
    </row>
    <row r="1445" spans="1:14" ht="14">
      <c r="A1445" s="118">
        <v>46183</v>
      </c>
      <c r="B1445" s="119">
        <v>7002888899</v>
      </c>
      <c r="C1445" s="119" t="s">
        <v>524</v>
      </c>
      <c r="D1445" s="119" t="s">
        <v>474</v>
      </c>
      <c r="E1445" s="119" t="s">
        <v>528</v>
      </c>
      <c r="F1445" s="119" t="s">
        <v>90</v>
      </c>
      <c r="G1445" s="119">
        <v>1</v>
      </c>
      <c r="H1445" s="119" t="s">
        <v>475</v>
      </c>
      <c r="I1445" s="119" t="s">
        <v>82</v>
      </c>
      <c r="K1445" s="97" t="s">
        <v>475</v>
      </c>
      <c r="L1445" s="97">
        <v>123</v>
      </c>
      <c r="M1445" s="97">
        <v>1</v>
      </c>
      <c r="N1445" s="97">
        <v>124</v>
      </c>
    </row>
    <row r="1446" spans="1:14" ht="14">
      <c r="A1446" s="118">
        <v>46183</v>
      </c>
      <c r="B1446" s="119">
        <v>7002877751</v>
      </c>
      <c r="C1446" s="119" t="s">
        <v>524</v>
      </c>
      <c r="D1446" s="119" t="s">
        <v>474</v>
      </c>
      <c r="E1446" s="119" t="s">
        <v>454</v>
      </c>
      <c r="F1446" s="119" t="s">
        <v>90</v>
      </c>
      <c r="G1446" s="119">
        <v>2</v>
      </c>
      <c r="H1446" s="119" t="s">
        <v>475</v>
      </c>
      <c r="I1446" s="119" t="s">
        <v>82</v>
      </c>
      <c r="K1446" s="16" t="s">
        <v>524</v>
      </c>
      <c r="L1446" s="16">
        <v>123</v>
      </c>
      <c r="M1446" s="16"/>
      <c r="N1446" s="16">
        <v>123</v>
      </c>
    </row>
    <row r="1447" spans="1:14" ht="14">
      <c r="A1447" s="118">
        <v>46183</v>
      </c>
      <c r="B1447" s="119">
        <v>7002887055</v>
      </c>
      <c r="C1447" s="119" t="s">
        <v>524</v>
      </c>
      <c r="D1447" s="119" t="s">
        <v>474</v>
      </c>
      <c r="E1447" s="119" t="s">
        <v>454</v>
      </c>
      <c r="F1447" s="119" t="s">
        <v>90</v>
      </c>
      <c r="G1447" s="119">
        <v>1</v>
      </c>
      <c r="H1447" s="119" t="s">
        <v>475</v>
      </c>
      <c r="I1447" s="119" t="s">
        <v>82</v>
      </c>
      <c r="K1447" s="16" t="s">
        <v>612</v>
      </c>
      <c r="L1447" s="16"/>
      <c r="M1447" s="16">
        <v>1</v>
      </c>
      <c r="N1447" s="16">
        <v>1</v>
      </c>
    </row>
    <row r="1448" spans="1:14" ht="14">
      <c r="A1448" s="118">
        <v>46183</v>
      </c>
      <c r="B1448" s="119">
        <v>7002893656</v>
      </c>
      <c r="C1448" s="119" t="s">
        <v>524</v>
      </c>
      <c r="D1448" s="119" t="s">
        <v>474</v>
      </c>
      <c r="E1448" s="119" t="s">
        <v>463</v>
      </c>
      <c r="F1448" s="119" t="s">
        <v>90</v>
      </c>
      <c r="G1448" s="119">
        <v>2</v>
      </c>
      <c r="H1448" s="119" t="s">
        <v>475</v>
      </c>
      <c r="I1448" s="119" t="s">
        <v>82</v>
      </c>
      <c r="K1448" s="97" t="s">
        <v>472</v>
      </c>
      <c r="L1448" s="97"/>
      <c r="M1448" s="97">
        <v>3</v>
      </c>
      <c r="N1448" s="97">
        <v>3</v>
      </c>
    </row>
    <row r="1449" spans="1:14" ht="14">
      <c r="A1449" s="118">
        <v>46183</v>
      </c>
      <c r="B1449" s="119">
        <v>7002897648</v>
      </c>
      <c r="C1449" s="119" t="s">
        <v>524</v>
      </c>
      <c r="D1449" s="119" t="s">
        <v>515</v>
      </c>
      <c r="E1449" s="119" t="s">
        <v>470</v>
      </c>
      <c r="F1449" s="119" t="s">
        <v>90</v>
      </c>
      <c r="G1449" s="119">
        <v>10</v>
      </c>
      <c r="H1449" s="119" t="s">
        <v>475</v>
      </c>
      <c r="I1449" s="119" t="s">
        <v>82</v>
      </c>
      <c r="K1449" s="16" t="s">
        <v>612</v>
      </c>
      <c r="L1449" s="16"/>
      <c r="M1449" s="16">
        <v>1</v>
      </c>
      <c r="N1449" s="16">
        <v>1</v>
      </c>
    </row>
    <row r="1450" spans="1:14" ht="14">
      <c r="A1450" s="118">
        <v>46183</v>
      </c>
      <c r="B1450" s="119">
        <v>7002893641</v>
      </c>
      <c r="C1450" s="119" t="s">
        <v>524</v>
      </c>
      <c r="D1450" s="119" t="s">
        <v>474</v>
      </c>
      <c r="E1450" s="119" t="s">
        <v>454</v>
      </c>
      <c r="F1450" s="119" t="s">
        <v>90</v>
      </c>
      <c r="G1450" s="119">
        <v>2</v>
      </c>
      <c r="H1450" s="119" t="s">
        <v>475</v>
      </c>
      <c r="I1450" s="119" t="s">
        <v>82</v>
      </c>
      <c r="K1450" s="16" t="s">
        <v>611</v>
      </c>
      <c r="L1450" s="16"/>
      <c r="M1450" s="16">
        <v>1</v>
      </c>
      <c r="N1450" s="16">
        <v>1</v>
      </c>
    </row>
    <row r="1451" spans="1:14" ht="14">
      <c r="A1451" s="118">
        <v>46183</v>
      </c>
      <c r="B1451" s="119">
        <v>7002891627</v>
      </c>
      <c r="C1451" s="119" t="s">
        <v>524</v>
      </c>
      <c r="D1451" s="119" t="s">
        <v>474</v>
      </c>
      <c r="E1451" s="119" t="s">
        <v>454</v>
      </c>
      <c r="F1451" s="119" t="s">
        <v>90</v>
      </c>
      <c r="G1451" s="119">
        <v>1</v>
      </c>
      <c r="H1451" s="119" t="s">
        <v>475</v>
      </c>
      <c r="I1451" s="119" t="s">
        <v>82</v>
      </c>
      <c r="K1451" s="16" t="s">
        <v>613</v>
      </c>
      <c r="L1451" s="16"/>
      <c r="M1451" s="16">
        <v>1</v>
      </c>
      <c r="N1451" s="16">
        <v>1</v>
      </c>
    </row>
    <row r="1452" spans="1:14" ht="14">
      <c r="A1452" s="118">
        <v>46183</v>
      </c>
      <c r="B1452" s="119">
        <v>7002897611</v>
      </c>
      <c r="C1452" s="119" t="s">
        <v>524</v>
      </c>
      <c r="D1452" s="119" t="s">
        <v>474</v>
      </c>
      <c r="E1452" s="119" t="s">
        <v>454</v>
      </c>
      <c r="F1452" s="119" t="s">
        <v>90</v>
      </c>
      <c r="G1452" s="119">
        <v>1</v>
      </c>
      <c r="H1452" s="119" t="s">
        <v>475</v>
      </c>
      <c r="I1452" s="119" t="s">
        <v>82</v>
      </c>
      <c r="K1452" s="54" t="s">
        <v>84</v>
      </c>
      <c r="L1452" s="54">
        <v>123</v>
      </c>
      <c r="M1452" s="54">
        <v>4</v>
      </c>
      <c r="N1452" s="54">
        <v>127</v>
      </c>
    </row>
    <row r="1453" spans="1:14" ht="13">
      <c r="A1453" s="118">
        <v>46183</v>
      </c>
      <c r="B1453" s="119">
        <v>7002896610</v>
      </c>
      <c r="C1453" s="119" t="s">
        <v>524</v>
      </c>
      <c r="D1453" s="119" t="s">
        <v>474</v>
      </c>
      <c r="E1453" s="119" t="s">
        <v>454</v>
      </c>
      <c r="F1453" s="119" t="s">
        <v>90</v>
      </c>
      <c r="G1453" s="119">
        <v>1</v>
      </c>
      <c r="H1453" s="119" t="s">
        <v>475</v>
      </c>
      <c r="I1453" s="119" t="s">
        <v>82</v>
      </c>
    </row>
    <row r="1454" spans="1:14" ht="13">
      <c r="A1454" s="118">
        <v>46183</v>
      </c>
      <c r="B1454" s="119">
        <v>7002894601</v>
      </c>
      <c r="C1454" s="119" t="s">
        <v>524</v>
      </c>
      <c r="D1454" s="119" t="s">
        <v>474</v>
      </c>
      <c r="E1454" s="119" t="s">
        <v>454</v>
      </c>
      <c r="F1454" s="119" t="s">
        <v>90</v>
      </c>
      <c r="G1454" s="119">
        <v>1</v>
      </c>
      <c r="H1454" s="119" t="s">
        <v>475</v>
      </c>
      <c r="I1454" s="119" t="s">
        <v>82</v>
      </c>
    </row>
    <row r="1455" spans="1:14" ht="13">
      <c r="A1455" s="118">
        <v>46183</v>
      </c>
      <c r="B1455" s="119">
        <v>7002893602</v>
      </c>
      <c r="C1455" s="119" t="s">
        <v>524</v>
      </c>
      <c r="D1455" s="119" t="s">
        <v>474</v>
      </c>
      <c r="E1455" s="119" t="s">
        <v>454</v>
      </c>
      <c r="F1455" s="119" t="s">
        <v>90</v>
      </c>
      <c r="G1455" s="119">
        <v>2</v>
      </c>
      <c r="H1455" s="119" t="s">
        <v>475</v>
      </c>
      <c r="I1455" s="119" t="s">
        <v>82</v>
      </c>
    </row>
    <row r="1456" spans="1:14" ht="13">
      <c r="A1456" s="118">
        <v>46183</v>
      </c>
      <c r="B1456" s="119">
        <v>7002891604</v>
      </c>
      <c r="C1456" s="119" t="s">
        <v>524</v>
      </c>
      <c r="D1456" s="119" t="s">
        <v>474</v>
      </c>
      <c r="E1456" s="119" t="s">
        <v>454</v>
      </c>
      <c r="F1456" s="119" t="s">
        <v>90</v>
      </c>
      <c r="G1456" s="119">
        <v>1</v>
      </c>
      <c r="H1456" s="119" t="s">
        <v>475</v>
      </c>
      <c r="I1456" s="119" t="s">
        <v>82</v>
      </c>
    </row>
    <row r="1457" spans="1:9" ht="13">
      <c r="A1457" s="118">
        <v>46183</v>
      </c>
      <c r="B1457" s="119">
        <v>7002896580</v>
      </c>
      <c r="C1457" s="119" t="s">
        <v>524</v>
      </c>
      <c r="D1457" s="119" t="s">
        <v>474</v>
      </c>
      <c r="E1457" s="119" t="s">
        <v>463</v>
      </c>
      <c r="F1457" s="119" t="s">
        <v>90</v>
      </c>
      <c r="G1457" s="119">
        <v>1</v>
      </c>
      <c r="H1457" s="119" t="s">
        <v>475</v>
      </c>
      <c r="I1457" s="119" t="s">
        <v>82</v>
      </c>
    </row>
    <row r="1458" spans="1:9" ht="13">
      <c r="A1458" s="118">
        <v>46183</v>
      </c>
      <c r="B1458" s="119">
        <v>7002896229</v>
      </c>
      <c r="C1458" s="119" t="s">
        <v>524</v>
      </c>
      <c r="D1458" s="119" t="s">
        <v>474</v>
      </c>
      <c r="E1458" s="119" t="s">
        <v>98</v>
      </c>
      <c r="F1458" s="119" t="s">
        <v>90</v>
      </c>
      <c r="G1458" s="119">
        <v>5</v>
      </c>
      <c r="H1458" s="119" t="s">
        <v>475</v>
      </c>
      <c r="I1458" s="119" t="s">
        <v>82</v>
      </c>
    </row>
    <row r="1459" spans="1:9" ht="13">
      <c r="A1459" s="118">
        <v>46183</v>
      </c>
      <c r="B1459" s="119">
        <v>7002893134</v>
      </c>
      <c r="C1459" s="119" t="s">
        <v>524</v>
      </c>
      <c r="D1459" s="119" t="s">
        <v>474</v>
      </c>
      <c r="E1459" s="119" t="s">
        <v>98</v>
      </c>
      <c r="F1459" s="119" t="s">
        <v>90</v>
      </c>
      <c r="G1459" s="119">
        <v>2</v>
      </c>
      <c r="H1459" s="119" t="s">
        <v>475</v>
      </c>
      <c r="I1459" s="119" t="s">
        <v>82</v>
      </c>
    </row>
    <row r="1460" spans="1:9" ht="13">
      <c r="A1460" s="118">
        <v>46183</v>
      </c>
      <c r="B1460" s="119">
        <v>7002898104</v>
      </c>
      <c r="C1460" s="119" t="s">
        <v>524</v>
      </c>
      <c r="D1460" s="119" t="s">
        <v>474</v>
      </c>
      <c r="E1460" s="119" t="s">
        <v>454</v>
      </c>
      <c r="F1460" s="119" t="s">
        <v>90</v>
      </c>
      <c r="G1460" s="119">
        <v>1</v>
      </c>
      <c r="H1460" s="119" t="s">
        <v>475</v>
      </c>
      <c r="I1460" s="119" t="s">
        <v>82</v>
      </c>
    </row>
    <row r="1461" spans="1:9" ht="13">
      <c r="A1461" s="118">
        <v>46183</v>
      </c>
      <c r="B1461" s="119">
        <v>7002890600</v>
      </c>
      <c r="C1461" s="119" t="s">
        <v>524</v>
      </c>
      <c r="D1461" s="119" t="s">
        <v>474</v>
      </c>
      <c r="E1461" s="119" t="s">
        <v>454</v>
      </c>
      <c r="F1461" s="119" t="s">
        <v>90</v>
      </c>
      <c r="G1461" s="119">
        <v>1</v>
      </c>
      <c r="H1461" s="119" t="s">
        <v>475</v>
      </c>
      <c r="I1461" s="119" t="s">
        <v>82</v>
      </c>
    </row>
    <row r="1462" spans="1:9" ht="13">
      <c r="A1462" s="118">
        <v>46183</v>
      </c>
      <c r="B1462" s="119">
        <v>7002879065</v>
      </c>
      <c r="C1462" s="119" t="s">
        <v>524</v>
      </c>
      <c r="D1462" s="119" t="s">
        <v>478</v>
      </c>
      <c r="E1462" s="119" t="s">
        <v>98</v>
      </c>
      <c r="F1462" s="119" t="s">
        <v>90</v>
      </c>
      <c r="G1462" s="119">
        <v>4</v>
      </c>
      <c r="H1462" s="119" t="s">
        <v>475</v>
      </c>
      <c r="I1462" s="119" t="s">
        <v>82</v>
      </c>
    </row>
    <row r="1463" spans="1:9" ht="13">
      <c r="A1463" s="118">
        <v>46183</v>
      </c>
      <c r="B1463" s="119">
        <v>7002836896</v>
      </c>
      <c r="C1463" s="119" t="s">
        <v>524</v>
      </c>
      <c r="D1463" s="119" t="s">
        <v>474</v>
      </c>
      <c r="E1463" s="119" t="s">
        <v>463</v>
      </c>
      <c r="F1463" s="119" t="s">
        <v>90</v>
      </c>
      <c r="G1463" s="119">
        <v>8</v>
      </c>
      <c r="H1463" s="119" t="s">
        <v>475</v>
      </c>
      <c r="I1463" s="119" t="s">
        <v>82</v>
      </c>
    </row>
    <row r="1464" spans="1:9" ht="13">
      <c r="A1464" s="118">
        <v>46183</v>
      </c>
      <c r="B1464" s="119">
        <v>7002839868</v>
      </c>
      <c r="C1464" s="119" t="s">
        <v>524</v>
      </c>
      <c r="D1464" s="119" t="s">
        <v>474</v>
      </c>
      <c r="E1464" s="119" t="s">
        <v>98</v>
      </c>
      <c r="F1464" s="119" t="s">
        <v>90</v>
      </c>
      <c r="G1464" s="119">
        <v>3</v>
      </c>
      <c r="H1464" s="119" t="s">
        <v>475</v>
      </c>
      <c r="I1464" s="119" t="s">
        <v>82</v>
      </c>
    </row>
    <row r="1465" spans="1:9" ht="13">
      <c r="A1465" s="118">
        <v>46183</v>
      </c>
      <c r="B1465" s="119">
        <v>7002835363</v>
      </c>
      <c r="C1465" s="119" t="s">
        <v>524</v>
      </c>
      <c r="D1465" s="119" t="s">
        <v>474</v>
      </c>
      <c r="E1465" s="119" t="s">
        <v>557</v>
      </c>
      <c r="F1465" s="119" t="s">
        <v>90</v>
      </c>
      <c r="G1465" s="119">
        <v>4</v>
      </c>
      <c r="H1465" s="119" t="s">
        <v>475</v>
      </c>
      <c r="I1465" s="119" t="s">
        <v>82</v>
      </c>
    </row>
    <row r="1466" spans="1:9" ht="13">
      <c r="A1466" s="118">
        <v>46183</v>
      </c>
      <c r="B1466" s="119">
        <v>7002835090</v>
      </c>
      <c r="C1466" s="119" t="s">
        <v>524</v>
      </c>
      <c r="D1466" s="119" t="s">
        <v>474</v>
      </c>
      <c r="E1466" s="119" t="s">
        <v>513</v>
      </c>
      <c r="F1466" s="119" t="s">
        <v>90</v>
      </c>
      <c r="G1466" s="119">
        <v>5</v>
      </c>
      <c r="H1466" s="119" t="s">
        <v>475</v>
      </c>
      <c r="I1466" s="119" t="s">
        <v>82</v>
      </c>
    </row>
    <row r="1467" spans="1:9" ht="13">
      <c r="A1467" s="118">
        <v>46183</v>
      </c>
      <c r="B1467" s="119">
        <v>7002821982</v>
      </c>
      <c r="C1467" s="119" t="s">
        <v>524</v>
      </c>
      <c r="D1467" s="119" t="s">
        <v>474</v>
      </c>
      <c r="E1467" s="119" t="s">
        <v>557</v>
      </c>
      <c r="F1467" s="119" t="s">
        <v>90</v>
      </c>
      <c r="G1467" s="119">
        <v>2</v>
      </c>
      <c r="H1467" s="119" t="s">
        <v>475</v>
      </c>
      <c r="I1467" s="119" t="s">
        <v>82</v>
      </c>
    </row>
    <row r="1468" spans="1:9" ht="13">
      <c r="A1468" s="118">
        <v>46183</v>
      </c>
      <c r="B1468" s="119">
        <v>7002825697</v>
      </c>
      <c r="C1468" s="119" t="s">
        <v>524</v>
      </c>
      <c r="D1468" s="119" t="s">
        <v>474</v>
      </c>
      <c r="E1468" s="119" t="s">
        <v>513</v>
      </c>
      <c r="F1468" s="119" t="s">
        <v>90</v>
      </c>
      <c r="G1468" s="119">
        <v>9</v>
      </c>
      <c r="H1468" s="119" t="s">
        <v>475</v>
      </c>
      <c r="I1468" s="119" t="s">
        <v>82</v>
      </c>
    </row>
    <row r="1469" spans="1:9" ht="13">
      <c r="A1469" s="118">
        <v>46183</v>
      </c>
      <c r="B1469" s="119">
        <v>7002878243</v>
      </c>
      <c r="C1469" s="119" t="s">
        <v>524</v>
      </c>
      <c r="D1469" s="119" t="s">
        <v>478</v>
      </c>
      <c r="E1469" s="119" t="s">
        <v>98</v>
      </c>
      <c r="F1469" s="119" t="s">
        <v>90</v>
      </c>
      <c r="G1469" s="119">
        <v>2</v>
      </c>
      <c r="H1469" s="119" t="s">
        <v>475</v>
      </c>
      <c r="I1469" s="119" t="s">
        <v>82</v>
      </c>
    </row>
    <row r="1470" spans="1:9" ht="13">
      <c r="A1470" s="118">
        <v>46183</v>
      </c>
      <c r="B1470" s="119">
        <v>7002857065</v>
      </c>
      <c r="C1470" s="119" t="s">
        <v>524</v>
      </c>
      <c r="D1470" s="119" t="s">
        <v>476</v>
      </c>
      <c r="E1470" s="119" t="s">
        <v>452</v>
      </c>
      <c r="F1470" s="119" t="s">
        <v>90</v>
      </c>
      <c r="G1470" s="119">
        <v>25</v>
      </c>
      <c r="H1470" s="119" t="s">
        <v>475</v>
      </c>
      <c r="I1470" s="119" t="s">
        <v>82</v>
      </c>
    </row>
    <row r="1471" spans="1:9" ht="13">
      <c r="A1471" s="118">
        <v>46183</v>
      </c>
      <c r="B1471" s="119">
        <v>7002870183</v>
      </c>
      <c r="C1471" s="119" t="s">
        <v>524</v>
      </c>
      <c r="D1471" s="119" t="s">
        <v>474</v>
      </c>
      <c r="E1471" s="119" t="s">
        <v>91</v>
      </c>
      <c r="F1471" s="119" t="s">
        <v>90</v>
      </c>
      <c r="G1471" s="119">
        <v>1</v>
      </c>
      <c r="H1471" s="119" t="s">
        <v>475</v>
      </c>
      <c r="I1471" s="119" t="s">
        <v>82</v>
      </c>
    </row>
    <row r="1472" spans="1:9" ht="13">
      <c r="A1472" s="118">
        <v>46183</v>
      </c>
      <c r="B1472" s="119">
        <v>7002871153</v>
      </c>
      <c r="C1472" s="119" t="s">
        <v>524</v>
      </c>
      <c r="D1472" s="119" t="s">
        <v>474</v>
      </c>
      <c r="E1472" s="119" t="s">
        <v>98</v>
      </c>
      <c r="F1472" s="119" t="s">
        <v>90</v>
      </c>
      <c r="G1472" s="119">
        <v>2</v>
      </c>
      <c r="H1472" s="119" t="s">
        <v>475</v>
      </c>
      <c r="I1472" s="119" t="s">
        <v>82</v>
      </c>
    </row>
    <row r="1473" spans="1:9" ht="13">
      <c r="A1473" s="118">
        <v>46183</v>
      </c>
      <c r="B1473" s="119">
        <v>7002870055</v>
      </c>
      <c r="C1473" s="119" t="s">
        <v>524</v>
      </c>
      <c r="D1473" s="119" t="s">
        <v>474</v>
      </c>
      <c r="E1473" s="119" t="s">
        <v>463</v>
      </c>
      <c r="F1473" s="119" t="s">
        <v>90</v>
      </c>
      <c r="G1473" s="119">
        <v>10</v>
      </c>
      <c r="H1473" s="119" t="s">
        <v>475</v>
      </c>
      <c r="I1473" s="119" t="s">
        <v>82</v>
      </c>
    </row>
    <row r="1474" spans="1:9" ht="13">
      <c r="A1474" s="118">
        <v>46183</v>
      </c>
      <c r="B1474" s="119">
        <v>7002877052</v>
      </c>
      <c r="C1474" s="119" t="s">
        <v>612</v>
      </c>
      <c r="D1474" s="119" t="s">
        <v>476</v>
      </c>
      <c r="E1474" s="119" t="s">
        <v>98</v>
      </c>
      <c r="F1474" s="119" t="s">
        <v>90</v>
      </c>
      <c r="G1474" s="119">
        <v>42</v>
      </c>
      <c r="H1474" s="119" t="s">
        <v>475</v>
      </c>
      <c r="I1474" s="119" t="s">
        <v>505</v>
      </c>
    </row>
    <row r="1475" spans="1:9" ht="13">
      <c r="A1475" s="118">
        <v>46183</v>
      </c>
      <c r="B1475" s="119">
        <v>7002899734</v>
      </c>
      <c r="C1475" s="119" t="s">
        <v>524</v>
      </c>
      <c r="D1475" s="119" t="s">
        <v>474</v>
      </c>
      <c r="E1475" s="119" t="s">
        <v>454</v>
      </c>
      <c r="F1475" s="119" t="s">
        <v>90</v>
      </c>
      <c r="G1475" s="119">
        <v>5</v>
      </c>
      <c r="H1475" s="119" t="s">
        <v>475</v>
      </c>
      <c r="I1475" s="119" t="s">
        <v>82</v>
      </c>
    </row>
    <row r="1476" spans="1:9" ht="13">
      <c r="A1476" s="118">
        <v>46183</v>
      </c>
      <c r="B1476" s="119">
        <v>7002873026</v>
      </c>
      <c r="C1476" s="119" t="s">
        <v>524</v>
      </c>
      <c r="D1476" s="119" t="s">
        <v>474</v>
      </c>
      <c r="E1476" s="119" t="s">
        <v>463</v>
      </c>
      <c r="F1476" s="119" t="s">
        <v>90</v>
      </c>
      <c r="G1476" s="119">
        <v>8</v>
      </c>
      <c r="H1476" s="119" t="s">
        <v>475</v>
      </c>
      <c r="I1476" s="119" t="s">
        <v>82</v>
      </c>
    </row>
    <row r="1477" spans="1:9" ht="13">
      <c r="A1477" s="118">
        <v>46183</v>
      </c>
      <c r="B1477" s="119">
        <v>7002872027</v>
      </c>
      <c r="C1477" s="119" t="s">
        <v>524</v>
      </c>
      <c r="D1477" s="119" t="s">
        <v>474</v>
      </c>
      <c r="E1477" s="119" t="s">
        <v>463</v>
      </c>
      <c r="F1477" s="119" t="s">
        <v>90</v>
      </c>
      <c r="G1477" s="119">
        <v>8</v>
      </c>
      <c r="H1477" s="119" t="s">
        <v>475</v>
      </c>
      <c r="I1477" s="119" t="s">
        <v>82</v>
      </c>
    </row>
    <row r="1478" spans="1:9" ht="13">
      <c r="A1478" s="118">
        <v>46183</v>
      </c>
      <c r="B1478" s="119">
        <v>7002867983</v>
      </c>
      <c r="C1478" s="119" t="s">
        <v>524</v>
      </c>
      <c r="D1478" s="119" t="s">
        <v>474</v>
      </c>
      <c r="E1478" s="119" t="s">
        <v>463</v>
      </c>
      <c r="F1478" s="119" t="s">
        <v>90</v>
      </c>
      <c r="G1478" s="119">
        <v>6</v>
      </c>
      <c r="H1478" s="119" t="s">
        <v>475</v>
      </c>
      <c r="I1478" s="119" t="s">
        <v>82</v>
      </c>
    </row>
    <row r="1479" spans="1:9" ht="13">
      <c r="A1479" s="118">
        <v>46183</v>
      </c>
      <c r="B1479" s="119">
        <v>7002898746</v>
      </c>
      <c r="C1479" s="119" t="s">
        <v>524</v>
      </c>
      <c r="D1479" s="119" t="s">
        <v>474</v>
      </c>
      <c r="E1479" s="119" t="s">
        <v>454</v>
      </c>
      <c r="F1479" s="119" t="s">
        <v>90</v>
      </c>
      <c r="G1479" s="119">
        <v>3</v>
      </c>
      <c r="H1479" s="119" t="s">
        <v>475</v>
      </c>
      <c r="I1479" s="119" t="s">
        <v>82</v>
      </c>
    </row>
    <row r="1480" spans="1:9" ht="13">
      <c r="A1480" s="118">
        <v>46183</v>
      </c>
      <c r="B1480" s="119">
        <v>7002896904</v>
      </c>
      <c r="C1480" s="119" t="s">
        <v>524</v>
      </c>
      <c r="D1480" s="119" t="s">
        <v>474</v>
      </c>
      <c r="E1480" s="119" t="s">
        <v>98</v>
      </c>
      <c r="F1480" s="119" t="s">
        <v>90</v>
      </c>
      <c r="G1480" s="119">
        <v>4</v>
      </c>
      <c r="H1480" s="119" t="s">
        <v>475</v>
      </c>
      <c r="I1480" s="119" t="s">
        <v>82</v>
      </c>
    </row>
    <row r="1481" spans="1:9" ht="13">
      <c r="A1481" s="118">
        <v>46183</v>
      </c>
      <c r="B1481" s="119">
        <v>7002893785</v>
      </c>
      <c r="C1481" s="119" t="s">
        <v>524</v>
      </c>
      <c r="D1481" s="119" t="s">
        <v>474</v>
      </c>
      <c r="E1481" s="119" t="s">
        <v>454</v>
      </c>
      <c r="F1481" s="119" t="s">
        <v>90</v>
      </c>
      <c r="G1481" s="119">
        <v>1</v>
      </c>
      <c r="H1481" s="119" t="s">
        <v>475</v>
      </c>
      <c r="I1481" s="119" t="s">
        <v>82</v>
      </c>
    </row>
    <row r="1482" spans="1:9" ht="13">
      <c r="A1482" s="118">
        <v>46183</v>
      </c>
      <c r="B1482" s="119">
        <v>7002909484</v>
      </c>
      <c r="C1482" s="119" t="s">
        <v>524</v>
      </c>
      <c r="D1482" s="119" t="s">
        <v>474</v>
      </c>
      <c r="E1482" s="119" t="s">
        <v>454</v>
      </c>
      <c r="F1482" s="119" t="s">
        <v>90</v>
      </c>
      <c r="G1482" s="119">
        <v>1</v>
      </c>
      <c r="H1482" s="119" t="s">
        <v>475</v>
      </c>
      <c r="I1482" s="119" t="s">
        <v>82</v>
      </c>
    </row>
    <row r="1483" spans="1:9" ht="13">
      <c r="A1483" s="118">
        <v>46183</v>
      </c>
      <c r="B1483" s="119">
        <v>7002908431</v>
      </c>
      <c r="C1483" s="119" t="s">
        <v>524</v>
      </c>
      <c r="D1483" s="119" t="s">
        <v>474</v>
      </c>
      <c r="E1483" s="119" t="s">
        <v>454</v>
      </c>
      <c r="F1483" s="119" t="s">
        <v>90</v>
      </c>
      <c r="G1483" s="119">
        <v>1</v>
      </c>
      <c r="H1483" s="119" t="s">
        <v>475</v>
      </c>
      <c r="I1483" s="119" t="s">
        <v>82</v>
      </c>
    </row>
    <row r="1484" spans="1:9" ht="13">
      <c r="A1484" s="118">
        <v>46183</v>
      </c>
      <c r="B1484" s="119">
        <v>7002905433</v>
      </c>
      <c r="C1484" s="119" t="s">
        <v>524</v>
      </c>
      <c r="D1484" s="119" t="s">
        <v>474</v>
      </c>
      <c r="E1484" s="119" t="s">
        <v>463</v>
      </c>
      <c r="F1484" s="119" t="s">
        <v>90</v>
      </c>
      <c r="G1484" s="119">
        <v>1</v>
      </c>
      <c r="H1484" s="119" t="s">
        <v>475</v>
      </c>
      <c r="I1484" s="119" t="s">
        <v>82</v>
      </c>
    </row>
    <row r="1485" spans="1:9" ht="13">
      <c r="A1485" s="118">
        <v>46183</v>
      </c>
      <c r="B1485" s="119">
        <v>7002909421</v>
      </c>
      <c r="C1485" s="119" t="s">
        <v>524</v>
      </c>
      <c r="D1485" s="119" t="s">
        <v>474</v>
      </c>
      <c r="E1485" s="119" t="s">
        <v>463</v>
      </c>
      <c r="F1485" s="119" t="s">
        <v>90</v>
      </c>
      <c r="G1485" s="119">
        <v>1</v>
      </c>
      <c r="H1485" s="119" t="s">
        <v>475</v>
      </c>
      <c r="I1485" s="119" t="s">
        <v>82</v>
      </c>
    </row>
    <row r="1486" spans="1:9" ht="13">
      <c r="A1486" s="118">
        <v>46183</v>
      </c>
      <c r="B1486" s="119">
        <v>7002907430</v>
      </c>
      <c r="C1486" s="119" t="s">
        <v>524</v>
      </c>
      <c r="D1486" s="119" t="s">
        <v>474</v>
      </c>
      <c r="E1486" s="119" t="s">
        <v>463</v>
      </c>
      <c r="F1486" s="119" t="s">
        <v>90</v>
      </c>
      <c r="G1486" s="119">
        <v>1</v>
      </c>
      <c r="H1486" s="119" t="s">
        <v>475</v>
      </c>
      <c r="I1486" s="119" t="s">
        <v>82</v>
      </c>
    </row>
    <row r="1487" spans="1:9" ht="13">
      <c r="A1487" s="118">
        <v>46183</v>
      </c>
      <c r="B1487" s="119">
        <v>7002900416</v>
      </c>
      <c r="C1487" s="119" t="s">
        <v>524</v>
      </c>
      <c r="D1487" s="119" t="s">
        <v>474</v>
      </c>
      <c r="E1487" s="119" t="s">
        <v>91</v>
      </c>
      <c r="F1487" s="119" t="s">
        <v>90</v>
      </c>
      <c r="G1487" s="119">
        <v>2</v>
      </c>
      <c r="H1487" s="119" t="s">
        <v>475</v>
      </c>
      <c r="I1487" s="119" t="s">
        <v>82</v>
      </c>
    </row>
    <row r="1488" spans="1:9" ht="13">
      <c r="A1488" s="118">
        <v>46183</v>
      </c>
      <c r="B1488" s="119">
        <v>7002900683</v>
      </c>
      <c r="C1488" s="119" t="s">
        <v>524</v>
      </c>
      <c r="D1488" s="119" t="s">
        <v>479</v>
      </c>
      <c r="E1488" s="119" t="s">
        <v>470</v>
      </c>
      <c r="F1488" s="119" t="s">
        <v>90</v>
      </c>
      <c r="G1488" s="119">
        <v>1</v>
      </c>
      <c r="H1488" s="119" t="s">
        <v>475</v>
      </c>
      <c r="I1488" s="119" t="s">
        <v>82</v>
      </c>
    </row>
    <row r="1489" spans="1:9" ht="13">
      <c r="A1489" s="118">
        <v>46183</v>
      </c>
      <c r="B1489" s="119">
        <v>7002903399</v>
      </c>
      <c r="C1489" s="119" t="s">
        <v>524</v>
      </c>
      <c r="D1489" s="119" t="s">
        <v>474</v>
      </c>
      <c r="E1489" s="119" t="s">
        <v>533</v>
      </c>
      <c r="F1489" s="119" t="s">
        <v>90</v>
      </c>
      <c r="G1489" s="119">
        <v>2</v>
      </c>
      <c r="H1489" s="119" t="s">
        <v>475</v>
      </c>
      <c r="I1489" s="119" t="s">
        <v>82</v>
      </c>
    </row>
    <row r="1490" spans="1:9" ht="13">
      <c r="A1490" s="118">
        <v>46183</v>
      </c>
      <c r="B1490" s="119">
        <v>7002902395</v>
      </c>
      <c r="C1490" s="119" t="s">
        <v>524</v>
      </c>
      <c r="D1490" s="119" t="s">
        <v>479</v>
      </c>
      <c r="E1490" s="119" t="s">
        <v>103</v>
      </c>
      <c r="F1490" s="119" t="s">
        <v>90</v>
      </c>
      <c r="G1490" s="119">
        <v>4</v>
      </c>
      <c r="H1490" s="119" t="s">
        <v>475</v>
      </c>
      <c r="I1490" s="119" t="s">
        <v>82</v>
      </c>
    </row>
    <row r="1491" spans="1:9" ht="13">
      <c r="A1491" s="118">
        <v>46183</v>
      </c>
      <c r="B1491" s="119">
        <v>7002904379</v>
      </c>
      <c r="C1491" s="119" t="s">
        <v>524</v>
      </c>
      <c r="D1491" s="119" t="s">
        <v>474</v>
      </c>
      <c r="E1491" s="119" t="s">
        <v>454</v>
      </c>
      <c r="F1491" s="119" t="s">
        <v>90</v>
      </c>
      <c r="G1491" s="119">
        <v>10</v>
      </c>
      <c r="H1491" s="119" t="s">
        <v>475</v>
      </c>
      <c r="I1491" s="119" t="s">
        <v>82</v>
      </c>
    </row>
    <row r="1492" spans="1:9" ht="13">
      <c r="A1492" s="118">
        <v>46183</v>
      </c>
      <c r="B1492" s="119">
        <v>7002907361</v>
      </c>
      <c r="C1492" s="119" t="s">
        <v>524</v>
      </c>
      <c r="D1492" s="119" t="s">
        <v>474</v>
      </c>
      <c r="E1492" s="119" t="s">
        <v>91</v>
      </c>
      <c r="F1492" s="119" t="s">
        <v>90</v>
      </c>
      <c r="G1492" s="119">
        <v>3</v>
      </c>
      <c r="H1492" s="119" t="s">
        <v>475</v>
      </c>
      <c r="I1492" s="119" t="s">
        <v>82</v>
      </c>
    </row>
    <row r="1493" spans="1:9" ht="13">
      <c r="A1493" s="118">
        <v>46183</v>
      </c>
      <c r="B1493" s="119">
        <v>7002902353</v>
      </c>
      <c r="C1493" s="119" t="s">
        <v>524</v>
      </c>
      <c r="D1493" s="119" t="s">
        <v>474</v>
      </c>
      <c r="E1493" s="119" t="s">
        <v>91</v>
      </c>
      <c r="F1493" s="119" t="s">
        <v>90</v>
      </c>
      <c r="G1493" s="119">
        <v>2</v>
      </c>
      <c r="H1493" s="119" t="s">
        <v>475</v>
      </c>
      <c r="I1493" s="119" t="s">
        <v>82</v>
      </c>
    </row>
    <row r="1494" spans="1:9" ht="13">
      <c r="A1494" s="118">
        <v>46183</v>
      </c>
      <c r="B1494" s="119">
        <v>7002909328</v>
      </c>
      <c r="C1494" s="119" t="s">
        <v>524</v>
      </c>
      <c r="D1494" s="119" t="s">
        <v>474</v>
      </c>
      <c r="E1494" s="119" t="s">
        <v>98</v>
      </c>
      <c r="F1494" s="119" t="s">
        <v>90</v>
      </c>
      <c r="G1494" s="119">
        <v>2</v>
      </c>
      <c r="H1494" s="119" t="s">
        <v>475</v>
      </c>
      <c r="I1494" s="119" t="s">
        <v>82</v>
      </c>
    </row>
    <row r="1495" spans="1:9" ht="13">
      <c r="A1495" s="118">
        <v>46183</v>
      </c>
      <c r="B1495" s="119">
        <v>7002904322</v>
      </c>
      <c r="C1495" s="119" t="s">
        <v>524</v>
      </c>
      <c r="D1495" s="119" t="s">
        <v>479</v>
      </c>
      <c r="E1495" s="119" t="s">
        <v>103</v>
      </c>
      <c r="F1495" s="119" t="s">
        <v>90</v>
      </c>
      <c r="G1495" s="119">
        <v>1</v>
      </c>
      <c r="H1495" s="119" t="s">
        <v>475</v>
      </c>
      <c r="I1495" s="119" t="s">
        <v>82</v>
      </c>
    </row>
    <row r="1496" spans="1:9" ht="13">
      <c r="A1496" s="118">
        <v>46183</v>
      </c>
      <c r="B1496" s="119">
        <v>7002901308</v>
      </c>
      <c r="C1496" s="119" t="s">
        <v>524</v>
      </c>
      <c r="D1496" s="119" t="s">
        <v>474</v>
      </c>
      <c r="E1496" s="119" t="s">
        <v>463</v>
      </c>
      <c r="F1496" s="119" t="s">
        <v>90</v>
      </c>
      <c r="G1496" s="119">
        <v>2</v>
      </c>
      <c r="H1496" s="119" t="s">
        <v>475</v>
      </c>
      <c r="I1496" s="119" t="s">
        <v>82</v>
      </c>
    </row>
    <row r="1497" spans="1:9" ht="13">
      <c r="A1497" s="118">
        <v>46183</v>
      </c>
      <c r="B1497" s="119">
        <v>7002904291</v>
      </c>
      <c r="C1497" s="119" t="s">
        <v>524</v>
      </c>
      <c r="D1497" s="119" t="s">
        <v>474</v>
      </c>
      <c r="E1497" s="119" t="s">
        <v>547</v>
      </c>
      <c r="F1497" s="119" t="s">
        <v>90</v>
      </c>
      <c r="G1497" s="119">
        <v>3</v>
      </c>
      <c r="H1497" s="119" t="s">
        <v>475</v>
      </c>
      <c r="I1497" s="119" t="s">
        <v>82</v>
      </c>
    </row>
    <row r="1498" spans="1:9" ht="13">
      <c r="A1498" s="118">
        <v>46183</v>
      </c>
      <c r="B1498" s="119">
        <v>7002900400</v>
      </c>
      <c r="C1498" s="119" t="s">
        <v>524</v>
      </c>
      <c r="D1498" s="119" t="s">
        <v>474</v>
      </c>
      <c r="E1498" s="119" t="s">
        <v>528</v>
      </c>
      <c r="F1498" s="119" t="s">
        <v>90</v>
      </c>
      <c r="G1498" s="119">
        <v>27</v>
      </c>
      <c r="H1498" s="119" t="s">
        <v>475</v>
      </c>
      <c r="I1498" s="119" t="s">
        <v>82</v>
      </c>
    </row>
    <row r="1499" spans="1:9" ht="13">
      <c r="A1499" s="118">
        <v>46183</v>
      </c>
      <c r="B1499" s="119">
        <v>7002900746</v>
      </c>
      <c r="C1499" s="119" t="s">
        <v>524</v>
      </c>
      <c r="D1499" s="119" t="s">
        <v>474</v>
      </c>
      <c r="E1499" s="119" t="s">
        <v>91</v>
      </c>
      <c r="F1499" s="119" t="s">
        <v>90</v>
      </c>
      <c r="G1499" s="119">
        <v>2</v>
      </c>
      <c r="H1499" s="119" t="s">
        <v>475</v>
      </c>
      <c r="I1499" s="119" t="s">
        <v>82</v>
      </c>
    </row>
    <row r="1500" spans="1:9" ht="13">
      <c r="A1500" s="118">
        <v>46183</v>
      </c>
      <c r="B1500" s="119">
        <v>7002925145</v>
      </c>
      <c r="C1500" s="119" t="s">
        <v>524</v>
      </c>
      <c r="D1500" s="119" t="s">
        <v>474</v>
      </c>
      <c r="E1500" s="119" t="s">
        <v>454</v>
      </c>
      <c r="F1500" s="119" t="s">
        <v>90</v>
      </c>
      <c r="G1500" s="119">
        <v>1</v>
      </c>
      <c r="H1500" s="119" t="s">
        <v>475</v>
      </c>
      <c r="I1500" s="119" t="s">
        <v>82</v>
      </c>
    </row>
    <row r="1501" spans="1:9" ht="13">
      <c r="A1501" s="118">
        <v>46183</v>
      </c>
      <c r="B1501" s="119">
        <v>7002921159</v>
      </c>
      <c r="C1501" s="119" t="s">
        <v>524</v>
      </c>
      <c r="D1501" s="119" t="s">
        <v>474</v>
      </c>
      <c r="E1501" s="119" t="s">
        <v>454</v>
      </c>
      <c r="F1501" s="119" t="s">
        <v>90</v>
      </c>
      <c r="G1501" s="119">
        <v>1</v>
      </c>
      <c r="H1501" s="119" t="s">
        <v>475</v>
      </c>
      <c r="I1501" s="119" t="s">
        <v>82</v>
      </c>
    </row>
    <row r="1502" spans="1:9" ht="13">
      <c r="A1502" s="118">
        <v>46183</v>
      </c>
      <c r="B1502" s="119">
        <v>7002919705</v>
      </c>
      <c r="C1502" s="119" t="s">
        <v>524</v>
      </c>
      <c r="D1502" s="119" t="s">
        <v>474</v>
      </c>
      <c r="E1502" s="119" t="s">
        <v>528</v>
      </c>
      <c r="F1502" s="119" t="s">
        <v>90</v>
      </c>
      <c r="G1502" s="119">
        <v>1</v>
      </c>
      <c r="H1502" s="119" t="s">
        <v>475</v>
      </c>
      <c r="I1502" s="119" t="s">
        <v>82</v>
      </c>
    </row>
    <row r="1503" spans="1:9" ht="13">
      <c r="A1503" s="118">
        <v>46183</v>
      </c>
      <c r="B1503" s="119">
        <v>7002917606</v>
      </c>
      <c r="C1503" s="119" t="s">
        <v>524</v>
      </c>
      <c r="D1503" s="119" t="s">
        <v>474</v>
      </c>
      <c r="E1503" s="119" t="s">
        <v>91</v>
      </c>
      <c r="F1503" s="119" t="s">
        <v>90</v>
      </c>
      <c r="G1503" s="119">
        <v>2</v>
      </c>
      <c r="H1503" s="119" t="s">
        <v>475</v>
      </c>
      <c r="I1503" s="119" t="s">
        <v>82</v>
      </c>
    </row>
    <row r="1504" spans="1:9" ht="13">
      <c r="A1504" s="118">
        <v>46183</v>
      </c>
      <c r="B1504" s="119">
        <v>7002915512</v>
      </c>
      <c r="C1504" s="119" t="s">
        <v>524</v>
      </c>
      <c r="D1504" s="119" t="s">
        <v>474</v>
      </c>
      <c r="E1504" s="119" t="s">
        <v>528</v>
      </c>
      <c r="F1504" s="119" t="s">
        <v>90</v>
      </c>
      <c r="G1504" s="119">
        <v>4</v>
      </c>
      <c r="H1504" s="119" t="s">
        <v>475</v>
      </c>
      <c r="I1504" s="119" t="s">
        <v>82</v>
      </c>
    </row>
    <row r="1505" spans="1:9" ht="13">
      <c r="A1505" s="118">
        <v>46183</v>
      </c>
      <c r="B1505" s="119">
        <v>7002917376</v>
      </c>
      <c r="C1505" s="119" t="s">
        <v>524</v>
      </c>
      <c r="D1505" s="119" t="s">
        <v>474</v>
      </c>
      <c r="E1505" s="119" t="s">
        <v>528</v>
      </c>
      <c r="F1505" s="119" t="s">
        <v>90</v>
      </c>
      <c r="G1505" s="119">
        <v>1</v>
      </c>
      <c r="H1505" s="119" t="s">
        <v>475</v>
      </c>
      <c r="I1505" s="119" t="s">
        <v>82</v>
      </c>
    </row>
    <row r="1506" spans="1:9" ht="13">
      <c r="A1506" s="118">
        <v>46183</v>
      </c>
      <c r="B1506" s="119">
        <v>7002911166</v>
      </c>
      <c r="C1506" s="119" t="s">
        <v>524</v>
      </c>
      <c r="D1506" s="119" t="s">
        <v>474</v>
      </c>
      <c r="E1506" s="119" t="s">
        <v>98</v>
      </c>
      <c r="F1506" s="119" t="s">
        <v>90</v>
      </c>
      <c r="G1506" s="119">
        <v>2</v>
      </c>
      <c r="H1506" s="119" t="s">
        <v>475</v>
      </c>
      <c r="I1506" s="119" t="s">
        <v>82</v>
      </c>
    </row>
    <row r="1507" spans="1:9" ht="13">
      <c r="A1507" s="118">
        <v>46183</v>
      </c>
      <c r="B1507" s="119">
        <v>7002916138</v>
      </c>
      <c r="C1507" s="119" t="s">
        <v>524</v>
      </c>
      <c r="D1507" s="119" t="s">
        <v>474</v>
      </c>
      <c r="E1507" s="119" t="s">
        <v>533</v>
      </c>
      <c r="F1507" s="119" t="s">
        <v>90</v>
      </c>
      <c r="G1507" s="119">
        <v>1</v>
      </c>
      <c r="H1507" s="119" t="s">
        <v>475</v>
      </c>
      <c r="I1507" s="119" t="s">
        <v>82</v>
      </c>
    </row>
    <row r="1508" spans="1:9" ht="13">
      <c r="A1508" s="118">
        <v>46183</v>
      </c>
      <c r="B1508" s="119">
        <v>7002900290</v>
      </c>
      <c r="C1508" s="119" t="s">
        <v>524</v>
      </c>
      <c r="D1508" s="119" t="s">
        <v>474</v>
      </c>
      <c r="E1508" s="119" t="s">
        <v>98</v>
      </c>
      <c r="F1508" s="119" t="s">
        <v>90</v>
      </c>
      <c r="G1508" s="119">
        <v>28</v>
      </c>
      <c r="H1508" s="119" t="s">
        <v>475</v>
      </c>
      <c r="I1508" s="119" t="s">
        <v>82</v>
      </c>
    </row>
    <row r="1509" spans="1:9" ht="13">
      <c r="A1509" s="118">
        <v>46183</v>
      </c>
      <c r="B1509" s="119">
        <v>7002896777</v>
      </c>
      <c r="C1509" s="119" t="s">
        <v>524</v>
      </c>
      <c r="D1509" s="119" t="s">
        <v>474</v>
      </c>
      <c r="E1509" s="119" t="s">
        <v>454</v>
      </c>
      <c r="F1509" s="119" t="s">
        <v>90</v>
      </c>
      <c r="G1509" s="119">
        <v>1</v>
      </c>
      <c r="H1509" s="119" t="s">
        <v>475</v>
      </c>
      <c r="I1509" s="119" t="s">
        <v>82</v>
      </c>
    </row>
    <row r="1510" spans="1:9" ht="13">
      <c r="A1510" s="118">
        <v>46183</v>
      </c>
      <c r="B1510" s="119">
        <v>7002907250</v>
      </c>
      <c r="C1510" s="119" t="s">
        <v>524</v>
      </c>
      <c r="D1510" s="119" t="s">
        <v>474</v>
      </c>
      <c r="E1510" s="119" t="s">
        <v>528</v>
      </c>
      <c r="F1510" s="119" t="s">
        <v>90</v>
      </c>
      <c r="G1510" s="119">
        <v>6</v>
      </c>
      <c r="H1510" s="119" t="s">
        <v>475</v>
      </c>
      <c r="I1510" s="119" t="s">
        <v>82</v>
      </c>
    </row>
    <row r="1511" spans="1:9" ht="13">
      <c r="A1511" s="118">
        <v>46183</v>
      </c>
      <c r="B1511" s="119">
        <v>7002897985</v>
      </c>
      <c r="C1511" s="119" t="s">
        <v>524</v>
      </c>
      <c r="D1511" s="119" t="s">
        <v>515</v>
      </c>
      <c r="E1511" s="119" t="s">
        <v>470</v>
      </c>
      <c r="F1511" s="119" t="s">
        <v>90</v>
      </c>
      <c r="G1511" s="119">
        <v>29</v>
      </c>
      <c r="H1511" s="119" t="s">
        <v>475</v>
      </c>
      <c r="I1511" s="119" t="s">
        <v>82</v>
      </c>
    </row>
    <row r="1512" spans="1:9" ht="13">
      <c r="A1512" s="118">
        <v>46183</v>
      </c>
      <c r="B1512" s="119">
        <v>7002895990</v>
      </c>
      <c r="C1512" s="119" t="s">
        <v>524</v>
      </c>
      <c r="D1512" s="119" t="s">
        <v>495</v>
      </c>
      <c r="E1512" s="119" t="s">
        <v>103</v>
      </c>
      <c r="F1512" s="119" t="s">
        <v>90</v>
      </c>
      <c r="G1512" s="119">
        <v>5</v>
      </c>
      <c r="H1512" s="119" t="s">
        <v>475</v>
      </c>
      <c r="I1512" s="119" t="s">
        <v>82</v>
      </c>
    </row>
    <row r="1513" spans="1:9" ht="13">
      <c r="A1513" s="118">
        <v>46183</v>
      </c>
      <c r="B1513" s="119">
        <v>7002891975</v>
      </c>
      <c r="C1513" s="119" t="s">
        <v>524</v>
      </c>
      <c r="D1513" s="119" t="s">
        <v>474</v>
      </c>
      <c r="E1513" s="119" t="s">
        <v>454</v>
      </c>
      <c r="F1513" s="119" t="s">
        <v>90</v>
      </c>
      <c r="G1513" s="119">
        <v>2</v>
      </c>
      <c r="H1513" s="119" t="s">
        <v>475</v>
      </c>
      <c r="I1513" s="119" t="s">
        <v>82</v>
      </c>
    </row>
    <row r="1514" spans="1:9" ht="13">
      <c r="A1514" s="118">
        <v>46183</v>
      </c>
      <c r="B1514" s="119">
        <v>7002894977</v>
      </c>
      <c r="C1514" s="119" t="s">
        <v>524</v>
      </c>
      <c r="D1514" s="119" t="s">
        <v>474</v>
      </c>
      <c r="E1514" s="119" t="s">
        <v>463</v>
      </c>
      <c r="F1514" s="119" t="s">
        <v>90</v>
      </c>
      <c r="G1514" s="119">
        <v>80</v>
      </c>
      <c r="H1514" s="119" t="s">
        <v>475</v>
      </c>
      <c r="I1514" s="119" t="s">
        <v>82</v>
      </c>
    </row>
    <row r="1515" spans="1:9" ht="13">
      <c r="A1515" s="118">
        <v>46183</v>
      </c>
      <c r="B1515" s="119">
        <v>7002890969</v>
      </c>
      <c r="C1515" s="119" t="s">
        <v>524</v>
      </c>
      <c r="D1515" s="119" t="s">
        <v>474</v>
      </c>
      <c r="E1515" s="119" t="s">
        <v>91</v>
      </c>
      <c r="F1515" s="119" t="s">
        <v>90</v>
      </c>
      <c r="G1515" s="119">
        <v>171</v>
      </c>
      <c r="H1515" s="119" t="s">
        <v>475</v>
      </c>
      <c r="I1515" s="119" t="s">
        <v>82</v>
      </c>
    </row>
    <row r="1516" spans="1:9" ht="13">
      <c r="A1516" s="118">
        <v>46183</v>
      </c>
      <c r="B1516" s="119">
        <v>7002898964</v>
      </c>
      <c r="C1516" s="119" t="s">
        <v>524</v>
      </c>
      <c r="D1516" s="119" t="s">
        <v>479</v>
      </c>
      <c r="E1516" s="119" t="s">
        <v>470</v>
      </c>
      <c r="F1516" s="119" t="s">
        <v>90</v>
      </c>
      <c r="G1516" s="119">
        <v>10</v>
      </c>
      <c r="H1516" s="119" t="s">
        <v>475</v>
      </c>
      <c r="I1516" s="119" t="s">
        <v>82</v>
      </c>
    </row>
    <row r="1517" spans="1:9" ht="13">
      <c r="A1517" s="118">
        <v>46183</v>
      </c>
      <c r="B1517" s="119">
        <v>7002899956</v>
      </c>
      <c r="C1517" s="119" t="s">
        <v>524</v>
      </c>
      <c r="D1517" s="119" t="s">
        <v>474</v>
      </c>
      <c r="E1517" s="119" t="s">
        <v>533</v>
      </c>
      <c r="F1517" s="119" t="s">
        <v>90</v>
      </c>
      <c r="G1517" s="119">
        <v>3</v>
      </c>
      <c r="H1517" s="119" t="s">
        <v>475</v>
      </c>
      <c r="I1517" s="119" t="s">
        <v>82</v>
      </c>
    </row>
    <row r="1518" spans="1:9" ht="13">
      <c r="A1518" s="118">
        <v>46183</v>
      </c>
      <c r="B1518" s="119">
        <v>7002897963</v>
      </c>
      <c r="C1518" s="119" t="s">
        <v>524</v>
      </c>
      <c r="D1518" s="119" t="s">
        <v>474</v>
      </c>
      <c r="E1518" s="119" t="s">
        <v>463</v>
      </c>
      <c r="F1518" s="119" t="s">
        <v>90</v>
      </c>
      <c r="G1518" s="119">
        <v>4</v>
      </c>
      <c r="H1518" s="119" t="s">
        <v>475</v>
      </c>
      <c r="I1518" s="119" t="s">
        <v>82</v>
      </c>
    </row>
    <row r="1519" spans="1:9" ht="13">
      <c r="A1519" s="118">
        <v>46183</v>
      </c>
      <c r="B1519" s="119">
        <v>7002895961</v>
      </c>
      <c r="C1519" s="119" t="s">
        <v>524</v>
      </c>
      <c r="D1519" s="119" t="s">
        <v>474</v>
      </c>
      <c r="E1519" s="119" t="s">
        <v>463</v>
      </c>
      <c r="F1519" s="119" t="s">
        <v>90</v>
      </c>
      <c r="G1519" s="119">
        <v>5</v>
      </c>
      <c r="H1519" s="119" t="s">
        <v>475</v>
      </c>
      <c r="I1519" s="119" t="s">
        <v>82</v>
      </c>
    </row>
    <row r="1520" spans="1:9" ht="13">
      <c r="A1520" s="118">
        <v>46183</v>
      </c>
      <c r="B1520" s="119">
        <v>7002890948</v>
      </c>
      <c r="C1520" s="119" t="s">
        <v>524</v>
      </c>
      <c r="D1520" s="119" t="s">
        <v>479</v>
      </c>
      <c r="E1520" s="119" t="s">
        <v>470</v>
      </c>
      <c r="F1520" s="119" t="s">
        <v>90</v>
      </c>
      <c r="G1520" s="119">
        <v>5</v>
      </c>
      <c r="H1520" s="119" t="s">
        <v>475</v>
      </c>
      <c r="I1520" s="119" t="s">
        <v>82</v>
      </c>
    </row>
    <row r="1521" spans="1:9" ht="13">
      <c r="A1521" s="118">
        <v>46183</v>
      </c>
      <c r="B1521" s="119">
        <v>7002900010</v>
      </c>
      <c r="C1521" s="119" t="s">
        <v>524</v>
      </c>
      <c r="D1521" s="119" t="s">
        <v>495</v>
      </c>
      <c r="E1521" s="119" t="s">
        <v>103</v>
      </c>
      <c r="F1521" s="119" t="s">
        <v>90</v>
      </c>
      <c r="G1521" s="119">
        <v>2</v>
      </c>
      <c r="H1521" s="119" t="s">
        <v>475</v>
      </c>
      <c r="I1521" s="119" t="s">
        <v>82</v>
      </c>
    </row>
    <row r="1522" spans="1:9" ht="13">
      <c r="A1522" s="118">
        <v>46183</v>
      </c>
      <c r="B1522" s="119">
        <v>7002897944</v>
      </c>
      <c r="C1522" s="119" t="s">
        <v>524</v>
      </c>
      <c r="D1522" s="119" t="s">
        <v>474</v>
      </c>
      <c r="E1522" s="119" t="s">
        <v>533</v>
      </c>
      <c r="F1522" s="119" t="s">
        <v>90</v>
      </c>
      <c r="G1522" s="119">
        <v>7</v>
      </c>
      <c r="H1522" s="119" t="s">
        <v>475</v>
      </c>
      <c r="I1522" s="119" t="s">
        <v>82</v>
      </c>
    </row>
    <row r="1523" spans="1:9" ht="13">
      <c r="A1523" s="118">
        <v>46183</v>
      </c>
      <c r="B1523" s="119">
        <v>7002898938</v>
      </c>
      <c r="C1523" s="119" t="s">
        <v>524</v>
      </c>
      <c r="D1523" s="119" t="s">
        <v>474</v>
      </c>
      <c r="E1523" s="119" t="s">
        <v>533</v>
      </c>
      <c r="F1523" s="119" t="s">
        <v>90</v>
      </c>
      <c r="G1523" s="119">
        <v>3</v>
      </c>
      <c r="H1523" s="119" t="s">
        <v>475</v>
      </c>
      <c r="I1523" s="119" t="s">
        <v>82</v>
      </c>
    </row>
    <row r="1524" spans="1:9" ht="13">
      <c r="A1524" s="118">
        <v>46183</v>
      </c>
      <c r="B1524" s="119">
        <v>7002890930</v>
      </c>
      <c r="C1524" s="119" t="s">
        <v>524</v>
      </c>
      <c r="D1524" s="119" t="s">
        <v>474</v>
      </c>
      <c r="E1524" s="119" t="s">
        <v>533</v>
      </c>
      <c r="F1524" s="119" t="s">
        <v>90</v>
      </c>
      <c r="G1524" s="119">
        <v>4</v>
      </c>
      <c r="H1524" s="119" t="s">
        <v>475</v>
      </c>
      <c r="I1524" s="119" t="s">
        <v>82</v>
      </c>
    </row>
    <row r="1525" spans="1:9" ht="13">
      <c r="A1525" s="118">
        <v>46183</v>
      </c>
      <c r="B1525" s="119">
        <v>7002898940</v>
      </c>
      <c r="C1525" s="119" t="s">
        <v>524</v>
      </c>
      <c r="D1525" s="119" t="s">
        <v>479</v>
      </c>
      <c r="E1525" s="119" t="s">
        <v>103</v>
      </c>
      <c r="F1525" s="119" t="s">
        <v>90</v>
      </c>
      <c r="G1525" s="119">
        <v>13</v>
      </c>
      <c r="H1525" s="119" t="s">
        <v>475</v>
      </c>
      <c r="I1525" s="119" t="s">
        <v>82</v>
      </c>
    </row>
    <row r="1526" spans="1:9" ht="13">
      <c r="A1526" s="118">
        <v>46183</v>
      </c>
      <c r="B1526" s="119">
        <v>7002891923</v>
      </c>
      <c r="C1526" s="119" t="s">
        <v>524</v>
      </c>
      <c r="D1526" s="119" t="s">
        <v>474</v>
      </c>
      <c r="E1526" s="119" t="s">
        <v>463</v>
      </c>
      <c r="F1526" s="119" t="s">
        <v>90</v>
      </c>
      <c r="G1526" s="119">
        <v>32</v>
      </c>
      <c r="H1526" s="119" t="s">
        <v>475</v>
      </c>
      <c r="I1526" s="119" t="s">
        <v>82</v>
      </c>
    </row>
    <row r="1527" spans="1:9" ht="13">
      <c r="A1527" s="118">
        <v>46183</v>
      </c>
      <c r="B1527" s="119">
        <v>7002898873</v>
      </c>
      <c r="C1527" s="119" t="s">
        <v>524</v>
      </c>
      <c r="D1527" s="119" t="s">
        <v>474</v>
      </c>
      <c r="E1527" s="119" t="s">
        <v>91</v>
      </c>
      <c r="F1527" s="119" t="s">
        <v>90</v>
      </c>
      <c r="G1527" s="119">
        <v>10</v>
      </c>
      <c r="H1527" s="119" t="s">
        <v>475</v>
      </c>
      <c r="I1527" s="119" t="s">
        <v>82</v>
      </c>
    </row>
    <row r="1528" spans="1:9" ht="13">
      <c r="A1528" s="118">
        <v>46183</v>
      </c>
      <c r="B1528" s="119">
        <v>7002891814</v>
      </c>
      <c r="C1528" s="119" t="s">
        <v>524</v>
      </c>
      <c r="D1528" s="119" t="s">
        <v>474</v>
      </c>
      <c r="E1528" s="119" t="s">
        <v>454</v>
      </c>
      <c r="F1528" s="119" t="s">
        <v>90</v>
      </c>
      <c r="G1528" s="119">
        <v>2</v>
      </c>
      <c r="H1528" s="119" t="s">
        <v>475</v>
      </c>
      <c r="I1528" s="119" t="s">
        <v>82</v>
      </c>
    </row>
    <row r="1529" spans="1:9" ht="13">
      <c r="A1529" s="118">
        <v>46183</v>
      </c>
      <c r="B1529" s="119">
        <v>7002896783</v>
      </c>
      <c r="C1529" s="119" t="s">
        <v>524</v>
      </c>
      <c r="D1529" s="119" t="s">
        <v>474</v>
      </c>
      <c r="E1529" s="119" t="s">
        <v>454</v>
      </c>
      <c r="F1529" s="119" t="s">
        <v>90</v>
      </c>
      <c r="G1529" s="119">
        <v>1</v>
      </c>
      <c r="H1529" s="119" t="s">
        <v>475</v>
      </c>
      <c r="I1529" s="119" t="s">
        <v>82</v>
      </c>
    </row>
    <row r="1530" spans="1:9" ht="13">
      <c r="A1530" s="118">
        <v>46183</v>
      </c>
      <c r="B1530" s="119">
        <v>7002897937</v>
      </c>
      <c r="C1530" s="119" t="s">
        <v>524</v>
      </c>
      <c r="D1530" s="119" t="s">
        <v>515</v>
      </c>
      <c r="E1530" s="119" t="s">
        <v>470</v>
      </c>
      <c r="F1530" s="119" t="s">
        <v>90</v>
      </c>
      <c r="G1530" s="119">
        <v>13</v>
      </c>
      <c r="H1530" s="119" t="s">
        <v>475</v>
      </c>
      <c r="I1530" s="119" t="s">
        <v>82</v>
      </c>
    </row>
    <row r="1531" spans="1:9" ht="13">
      <c r="A1531" s="118">
        <v>46183</v>
      </c>
      <c r="B1531" s="119">
        <v>7002891999</v>
      </c>
      <c r="C1531" s="119" t="s">
        <v>524</v>
      </c>
      <c r="D1531" s="119" t="s">
        <v>474</v>
      </c>
      <c r="E1531" s="119" t="s">
        <v>91</v>
      </c>
      <c r="F1531" s="119" t="s">
        <v>90</v>
      </c>
      <c r="G1531" s="119">
        <v>2</v>
      </c>
      <c r="H1531" s="119" t="s">
        <v>475</v>
      </c>
      <c r="I1531" s="119" t="s">
        <v>82</v>
      </c>
    </row>
    <row r="1532" spans="1:9" ht="13">
      <c r="A1532" s="118">
        <v>46183</v>
      </c>
      <c r="B1532" s="119">
        <v>7002903012</v>
      </c>
      <c r="C1532" s="119" t="s">
        <v>524</v>
      </c>
      <c r="D1532" s="119" t="s">
        <v>474</v>
      </c>
      <c r="E1532" s="119" t="s">
        <v>91</v>
      </c>
      <c r="F1532" s="119" t="s">
        <v>90</v>
      </c>
      <c r="G1532" s="119">
        <v>9</v>
      </c>
      <c r="H1532" s="119" t="s">
        <v>475</v>
      </c>
      <c r="I1532" s="119" t="s">
        <v>82</v>
      </c>
    </row>
    <row r="1533" spans="1:9" ht="13">
      <c r="A1533" s="118">
        <v>46183</v>
      </c>
      <c r="B1533" s="119">
        <v>7002900006</v>
      </c>
      <c r="C1533" s="119" t="s">
        <v>524</v>
      </c>
      <c r="D1533" s="119" t="s">
        <v>479</v>
      </c>
      <c r="E1533" s="119" t="s">
        <v>470</v>
      </c>
      <c r="F1533" s="119" t="s">
        <v>90</v>
      </c>
      <c r="G1533" s="119">
        <v>19</v>
      </c>
      <c r="H1533" s="119" t="s">
        <v>475</v>
      </c>
      <c r="I1533" s="119" t="s">
        <v>82</v>
      </c>
    </row>
    <row r="1534" spans="1:9" ht="13">
      <c r="A1534" s="118">
        <v>46183</v>
      </c>
      <c r="B1534" s="119">
        <v>7002901225</v>
      </c>
      <c r="C1534" s="119" t="s">
        <v>524</v>
      </c>
      <c r="D1534" s="119" t="s">
        <v>479</v>
      </c>
      <c r="E1534" s="119" t="s">
        <v>470</v>
      </c>
      <c r="F1534" s="119" t="s">
        <v>90</v>
      </c>
      <c r="G1534" s="119">
        <v>5</v>
      </c>
      <c r="H1534" s="119" t="s">
        <v>475</v>
      </c>
      <c r="I1534" s="119" t="s">
        <v>82</v>
      </c>
    </row>
    <row r="1535" spans="1:9" ht="13">
      <c r="A1535" s="118">
        <v>46183</v>
      </c>
      <c r="B1535" s="119">
        <v>7002906212</v>
      </c>
      <c r="C1535" s="119" t="s">
        <v>524</v>
      </c>
      <c r="D1535" s="119" t="s">
        <v>495</v>
      </c>
      <c r="E1535" s="119" t="s">
        <v>103</v>
      </c>
      <c r="F1535" s="119" t="s">
        <v>90</v>
      </c>
      <c r="G1535" s="119">
        <v>11</v>
      </c>
      <c r="H1535" s="119" t="s">
        <v>475</v>
      </c>
      <c r="I1535" s="119" t="s">
        <v>82</v>
      </c>
    </row>
    <row r="1536" spans="1:9" ht="13">
      <c r="A1536" s="118">
        <v>46183</v>
      </c>
      <c r="B1536" s="119">
        <v>7002901188</v>
      </c>
      <c r="C1536" s="119" t="s">
        <v>524</v>
      </c>
      <c r="D1536" s="119" t="s">
        <v>474</v>
      </c>
      <c r="E1536" s="119" t="s">
        <v>463</v>
      </c>
      <c r="F1536" s="119" t="s">
        <v>90</v>
      </c>
      <c r="G1536" s="119">
        <v>1</v>
      </c>
      <c r="H1536" s="119" t="s">
        <v>475</v>
      </c>
      <c r="I1536" s="119" t="s">
        <v>82</v>
      </c>
    </row>
    <row r="1537" spans="1:9" ht="13">
      <c r="A1537" s="118">
        <v>46183</v>
      </c>
      <c r="B1537" s="119">
        <v>7002906176</v>
      </c>
      <c r="C1537" s="119" t="s">
        <v>524</v>
      </c>
      <c r="D1537" s="119" t="s">
        <v>474</v>
      </c>
      <c r="E1537" s="119" t="s">
        <v>528</v>
      </c>
      <c r="F1537" s="119" t="s">
        <v>90</v>
      </c>
      <c r="G1537" s="119">
        <v>15</v>
      </c>
      <c r="H1537" s="119" t="s">
        <v>475</v>
      </c>
      <c r="I1537" s="119" t="s">
        <v>82</v>
      </c>
    </row>
    <row r="1538" spans="1:9" ht="13">
      <c r="A1538" s="118">
        <v>46183</v>
      </c>
      <c r="B1538" s="119">
        <v>7002900158</v>
      </c>
      <c r="C1538" s="119" t="s">
        <v>524</v>
      </c>
      <c r="D1538" s="119" t="s">
        <v>474</v>
      </c>
      <c r="E1538" s="119" t="s">
        <v>91</v>
      </c>
      <c r="F1538" s="119" t="s">
        <v>90</v>
      </c>
      <c r="G1538" s="119">
        <v>3</v>
      </c>
      <c r="H1538" s="119" t="s">
        <v>475</v>
      </c>
      <c r="I1538" s="119" t="s">
        <v>82</v>
      </c>
    </row>
    <row r="1539" spans="1:9" ht="13">
      <c r="A1539" s="118">
        <v>46183</v>
      </c>
      <c r="B1539" s="119">
        <v>7002909133</v>
      </c>
      <c r="C1539" s="119" t="s">
        <v>524</v>
      </c>
      <c r="D1539" s="119" t="s">
        <v>474</v>
      </c>
      <c r="E1539" s="119" t="s">
        <v>547</v>
      </c>
      <c r="F1539" s="119" t="s">
        <v>90</v>
      </c>
      <c r="G1539" s="119">
        <v>5</v>
      </c>
      <c r="H1539" s="119" t="s">
        <v>475</v>
      </c>
      <c r="I1539" s="119" t="s">
        <v>82</v>
      </c>
    </row>
    <row r="1540" spans="1:9" ht="13">
      <c r="A1540" s="118">
        <v>46183</v>
      </c>
      <c r="B1540" s="119">
        <v>7002904100</v>
      </c>
      <c r="C1540" s="119" t="s">
        <v>524</v>
      </c>
      <c r="D1540" s="119" t="s">
        <v>474</v>
      </c>
      <c r="E1540" s="119" t="s">
        <v>463</v>
      </c>
      <c r="F1540" s="119" t="s">
        <v>90</v>
      </c>
      <c r="G1540" s="119">
        <v>1</v>
      </c>
      <c r="H1540" s="119" t="s">
        <v>475</v>
      </c>
      <c r="I1540" s="119" t="s">
        <v>82</v>
      </c>
    </row>
    <row r="1541" spans="1:9" ht="13">
      <c r="A1541" s="118">
        <v>46183</v>
      </c>
      <c r="B1541" s="119">
        <v>7002909074</v>
      </c>
      <c r="C1541" s="119" t="s">
        <v>524</v>
      </c>
      <c r="D1541" s="119" t="s">
        <v>474</v>
      </c>
      <c r="E1541" s="119" t="s">
        <v>454</v>
      </c>
      <c r="F1541" s="119" t="s">
        <v>90</v>
      </c>
      <c r="G1541" s="119">
        <v>4</v>
      </c>
      <c r="H1541" s="119" t="s">
        <v>475</v>
      </c>
      <c r="I1541" s="119" t="s">
        <v>82</v>
      </c>
    </row>
    <row r="1542" spans="1:9" ht="13">
      <c r="A1542" s="118">
        <v>46183</v>
      </c>
      <c r="B1542" s="119">
        <v>7002907055</v>
      </c>
      <c r="C1542" s="119" t="s">
        <v>524</v>
      </c>
      <c r="D1542" s="119" t="s">
        <v>474</v>
      </c>
      <c r="E1542" s="119" t="s">
        <v>463</v>
      </c>
      <c r="F1542" s="119" t="s">
        <v>90</v>
      </c>
      <c r="G1542" s="119">
        <v>4</v>
      </c>
      <c r="H1542" s="119" t="s">
        <v>475</v>
      </c>
      <c r="I1542" s="119" t="s">
        <v>82</v>
      </c>
    </row>
    <row r="1543" spans="1:9" ht="13">
      <c r="A1543" s="118">
        <v>46183</v>
      </c>
      <c r="B1543" s="119">
        <v>7002909061</v>
      </c>
      <c r="C1543" s="119" t="s">
        <v>524</v>
      </c>
      <c r="D1543" s="119" t="s">
        <v>495</v>
      </c>
      <c r="E1543" s="119" t="s">
        <v>103</v>
      </c>
      <c r="F1543" s="119" t="s">
        <v>90</v>
      </c>
      <c r="G1543" s="119">
        <v>2</v>
      </c>
      <c r="H1543" s="119" t="s">
        <v>475</v>
      </c>
      <c r="I1543" s="119" t="s">
        <v>82</v>
      </c>
    </row>
    <row r="1544" spans="1:9" ht="13">
      <c r="A1544" s="118">
        <v>46183</v>
      </c>
      <c r="B1544" s="119">
        <v>7002907038</v>
      </c>
      <c r="C1544" s="119" t="s">
        <v>524</v>
      </c>
      <c r="D1544" s="119" t="s">
        <v>474</v>
      </c>
      <c r="E1544" s="119" t="s">
        <v>454</v>
      </c>
      <c r="F1544" s="119" t="s">
        <v>90</v>
      </c>
      <c r="G1544" s="119">
        <v>1</v>
      </c>
      <c r="H1544" s="119" t="s">
        <v>475</v>
      </c>
      <c r="I1544" s="119" t="s">
        <v>82</v>
      </c>
    </row>
    <row r="1545" spans="1:9" ht="13">
      <c r="A1545" s="118">
        <v>46183</v>
      </c>
      <c r="B1545" s="119">
        <v>7002903031</v>
      </c>
      <c r="C1545" s="119" t="s">
        <v>524</v>
      </c>
      <c r="D1545" s="119" t="s">
        <v>474</v>
      </c>
      <c r="E1545" s="119" t="s">
        <v>463</v>
      </c>
      <c r="F1545" s="119" t="s">
        <v>90</v>
      </c>
      <c r="G1545" s="119">
        <v>4</v>
      </c>
      <c r="H1545" s="119" t="s">
        <v>475</v>
      </c>
      <c r="I1545" s="119" t="s">
        <v>82</v>
      </c>
    </row>
    <row r="1546" spans="1:9" ht="13">
      <c r="A1546" s="118">
        <v>46183</v>
      </c>
      <c r="B1546" s="119">
        <v>7002900034</v>
      </c>
      <c r="C1546" s="119" t="s">
        <v>524</v>
      </c>
      <c r="D1546" s="119" t="s">
        <v>474</v>
      </c>
      <c r="E1546" s="119" t="s">
        <v>463</v>
      </c>
      <c r="F1546" s="119" t="s">
        <v>90</v>
      </c>
      <c r="G1546" s="119">
        <v>3</v>
      </c>
      <c r="H1546" s="119" t="s">
        <v>475</v>
      </c>
      <c r="I1546" s="119" t="s">
        <v>82</v>
      </c>
    </row>
    <row r="1547" spans="1:9" ht="13">
      <c r="A1547" s="118">
        <v>46183</v>
      </c>
      <c r="B1547" s="119">
        <v>7002902032</v>
      </c>
      <c r="C1547" s="119" t="s">
        <v>524</v>
      </c>
      <c r="D1547" s="119" t="s">
        <v>474</v>
      </c>
      <c r="E1547" s="119" t="s">
        <v>91</v>
      </c>
      <c r="F1547" s="119" t="s">
        <v>90</v>
      </c>
      <c r="G1547" s="119">
        <v>9</v>
      </c>
      <c r="H1547" s="119" t="s">
        <v>475</v>
      </c>
      <c r="I1547" s="119" t="s">
        <v>82</v>
      </c>
    </row>
    <row r="1548" spans="1:9" ht="13">
      <c r="A1548" s="118">
        <v>46183</v>
      </c>
      <c r="B1548" s="119">
        <v>7002906016</v>
      </c>
      <c r="C1548" s="119" t="s">
        <v>524</v>
      </c>
      <c r="D1548" s="119" t="s">
        <v>474</v>
      </c>
      <c r="E1548" s="119" t="s">
        <v>454</v>
      </c>
      <c r="F1548" s="119" t="s">
        <v>90</v>
      </c>
      <c r="G1548" s="119">
        <v>15</v>
      </c>
      <c r="H1548" s="119" t="s">
        <v>475</v>
      </c>
      <c r="I1548" s="119" t="s">
        <v>82</v>
      </c>
    </row>
    <row r="1549" spans="1:9" ht="13">
      <c r="A1549" s="118">
        <v>46183</v>
      </c>
      <c r="B1549" s="119">
        <v>7002767505</v>
      </c>
      <c r="C1549" s="119" t="s">
        <v>524</v>
      </c>
      <c r="D1549" s="119" t="s">
        <v>474</v>
      </c>
      <c r="E1549" s="119" t="s">
        <v>458</v>
      </c>
      <c r="F1549" s="119" t="s">
        <v>90</v>
      </c>
      <c r="G1549" s="119">
        <v>3</v>
      </c>
      <c r="H1549" s="119" t="s">
        <v>475</v>
      </c>
      <c r="I1549" s="119" t="s">
        <v>82</v>
      </c>
    </row>
    <row r="1550" spans="1:9" ht="13">
      <c r="A1550" s="118">
        <v>46183</v>
      </c>
      <c r="B1550" s="119">
        <v>7002760114</v>
      </c>
      <c r="C1550" s="119" t="s">
        <v>524</v>
      </c>
      <c r="D1550" s="119" t="s">
        <v>474</v>
      </c>
      <c r="E1550" s="119" t="s">
        <v>452</v>
      </c>
      <c r="F1550" s="119" t="s">
        <v>90</v>
      </c>
      <c r="G1550" s="119">
        <v>125</v>
      </c>
      <c r="H1550" s="119" t="s">
        <v>475</v>
      </c>
      <c r="I1550" s="119" t="s">
        <v>82</v>
      </c>
    </row>
    <row r="1551" spans="1:9" ht="13">
      <c r="A1551" s="118">
        <v>46183</v>
      </c>
      <c r="B1551" s="119">
        <v>7002769170</v>
      </c>
      <c r="C1551" s="119" t="s">
        <v>524</v>
      </c>
      <c r="D1551" s="119" t="s">
        <v>474</v>
      </c>
      <c r="E1551" s="119" t="s">
        <v>452</v>
      </c>
      <c r="F1551" s="119" t="s">
        <v>90</v>
      </c>
      <c r="G1551" s="119">
        <v>139</v>
      </c>
      <c r="H1551" s="119" t="s">
        <v>475</v>
      </c>
      <c r="I1551" s="119" t="s">
        <v>82</v>
      </c>
    </row>
    <row r="1552" spans="1:9" ht="13">
      <c r="A1552" s="118">
        <v>46183</v>
      </c>
      <c r="B1552" s="119">
        <v>7002800452</v>
      </c>
      <c r="C1552" s="119" t="s">
        <v>524</v>
      </c>
      <c r="D1552" s="119" t="s">
        <v>474</v>
      </c>
      <c r="E1552" s="119" t="s">
        <v>557</v>
      </c>
      <c r="F1552" s="119" t="s">
        <v>90</v>
      </c>
      <c r="G1552" s="119">
        <v>22</v>
      </c>
      <c r="H1552" s="119" t="s">
        <v>475</v>
      </c>
      <c r="I1552" s="119" t="s">
        <v>82</v>
      </c>
    </row>
    <row r="1553" spans="1:9" ht="13">
      <c r="A1553" s="118">
        <v>46183</v>
      </c>
      <c r="B1553" s="119">
        <v>7002781212</v>
      </c>
      <c r="C1553" s="119" t="s">
        <v>524</v>
      </c>
      <c r="D1553" s="119" t="s">
        <v>474</v>
      </c>
      <c r="E1553" s="119" t="s">
        <v>614</v>
      </c>
      <c r="F1553" s="119" t="s">
        <v>90</v>
      </c>
      <c r="G1553" s="119">
        <v>4</v>
      </c>
      <c r="H1553" s="119" t="s">
        <v>475</v>
      </c>
      <c r="I1553" s="119" t="s">
        <v>82</v>
      </c>
    </row>
    <row r="1554" spans="1:9" ht="13">
      <c r="A1554" s="118">
        <v>46183</v>
      </c>
      <c r="B1554" s="119">
        <v>7002781325</v>
      </c>
      <c r="C1554" s="119" t="s">
        <v>524</v>
      </c>
      <c r="D1554" s="119" t="s">
        <v>474</v>
      </c>
      <c r="E1554" s="119" t="s">
        <v>614</v>
      </c>
      <c r="F1554" s="119" t="s">
        <v>90</v>
      </c>
      <c r="G1554" s="119">
        <v>4</v>
      </c>
      <c r="H1554" s="119" t="s">
        <v>475</v>
      </c>
      <c r="I1554" s="119" t="s">
        <v>82</v>
      </c>
    </row>
    <row r="1555" spans="1:9" ht="13">
      <c r="A1555" s="118">
        <v>46183</v>
      </c>
      <c r="B1555" s="119">
        <v>7002724648</v>
      </c>
      <c r="C1555" s="119" t="s">
        <v>524</v>
      </c>
      <c r="D1555" s="119" t="s">
        <v>474</v>
      </c>
      <c r="E1555" s="119" t="s">
        <v>488</v>
      </c>
      <c r="F1555" s="119" t="s">
        <v>90</v>
      </c>
      <c r="G1555" s="119">
        <v>2</v>
      </c>
      <c r="H1555" s="119" t="s">
        <v>475</v>
      </c>
      <c r="I1555" s="119" t="s">
        <v>82</v>
      </c>
    </row>
    <row r="1556" spans="1:9" ht="13">
      <c r="A1556" s="118">
        <v>46183</v>
      </c>
      <c r="B1556" s="119">
        <v>7002751799</v>
      </c>
      <c r="C1556" s="119" t="s">
        <v>524</v>
      </c>
      <c r="D1556" s="119" t="s">
        <v>474</v>
      </c>
      <c r="E1556" s="119" t="s">
        <v>615</v>
      </c>
      <c r="F1556" s="119" t="s">
        <v>90</v>
      </c>
      <c r="G1556" s="119">
        <v>12</v>
      </c>
      <c r="H1556" s="119" t="s">
        <v>475</v>
      </c>
      <c r="I1556" s="119" t="s">
        <v>82</v>
      </c>
    </row>
    <row r="1557" spans="1:9" ht="13">
      <c r="A1557" s="118">
        <v>46183</v>
      </c>
      <c r="B1557" s="119">
        <v>7002780898</v>
      </c>
      <c r="C1557" s="119" t="s">
        <v>524</v>
      </c>
      <c r="D1557" s="119" t="s">
        <v>474</v>
      </c>
      <c r="E1557" s="119" t="s">
        <v>488</v>
      </c>
      <c r="F1557" s="119" t="s">
        <v>90</v>
      </c>
      <c r="G1557" s="119">
        <v>2</v>
      </c>
      <c r="H1557" s="119" t="s">
        <v>475</v>
      </c>
      <c r="I1557" s="119" t="s">
        <v>82</v>
      </c>
    </row>
    <row r="1558" spans="1:9" ht="13">
      <c r="A1558" s="118">
        <v>46183</v>
      </c>
      <c r="B1558" s="119">
        <v>7002786893</v>
      </c>
      <c r="C1558" s="119" t="s">
        <v>524</v>
      </c>
      <c r="D1558" s="119" t="s">
        <v>474</v>
      </c>
      <c r="E1558" s="119" t="s">
        <v>616</v>
      </c>
      <c r="F1558" s="119" t="s">
        <v>90</v>
      </c>
      <c r="G1558" s="119">
        <v>5</v>
      </c>
      <c r="H1558" s="119" t="s">
        <v>475</v>
      </c>
      <c r="I1558" s="119" t="s">
        <v>82</v>
      </c>
    </row>
    <row r="1559" spans="1:9" ht="13">
      <c r="A1559" s="118">
        <v>46183</v>
      </c>
      <c r="B1559" s="119">
        <v>7002706253</v>
      </c>
      <c r="C1559" s="119" t="s">
        <v>524</v>
      </c>
      <c r="D1559" s="119" t="s">
        <v>474</v>
      </c>
      <c r="E1559" s="119" t="s">
        <v>458</v>
      </c>
      <c r="F1559" s="119" t="s">
        <v>90</v>
      </c>
      <c r="G1559" s="119">
        <v>4</v>
      </c>
      <c r="H1559" s="119" t="s">
        <v>475</v>
      </c>
      <c r="I1559" s="119" t="s">
        <v>82</v>
      </c>
    </row>
    <row r="1560" spans="1:9" ht="13">
      <c r="A1560" s="118">
        <v>46183</v>
      </c>
      <c r="B1560" s="119">
        <v>7002791731</v>
      </c>
      <c r="C1560" s="119" t="s">
        <v>524</v>
      </c>
      <c r="D1560" s="119" t="s">
        <v>474</v>
      </c>
      <c r="E1560" s="119" t="s">
        <v>557</v>
      </c>
      <c r="F1560" s="119" t="s">
        <v>90</v>
      </c>
      <c r="G1560" s="119">
        <v>4</v>
      </c>
      <c r="H1560" s="119" t="s">
        <v>475</v>
      </c>
      <c r="I1560" s="119" t="s">
        <v>82</v>
      </c>
    </row>
    <row r="1561" spans="1:9" ht="13">
      <c r="A1561" s="118">
        <v>46183</v>
      </c>
      <c r="B1561" s="119">
        <v>7002792782</v>
      </c>
      <c r="C1561" s="119" t="s">
        <v>524</v>
      </c>
      <c r="D1561" s="119" t="s">
        <v>474</v>
      </c>
      <c r="E1561" s="119" t="s">
        <v>557</v>
      </c>
      <c r="F1561" s="119" t="s">
        <v>90</v>
      </c>
      <c r="G1561" s="119">
        <v>6</v>
      </c>
      <c r="H1561" s="119" t="s">
        <v>475</v>
      </c>
      <c r="I1561" s="119" t="s">
        <v>82</v>
      </c>
    </row>
    <row r="1562" spans="1:9" ht="13">
      <c r="A1562" s="118">
        <v>46183</v>
      </c>
      <c r="B1562" s="119">
        <v>7002671776</v>
      </c>
      <c r="C1562" s="119" t="s">
        <v>524</v>
      </c>
      <c r="D1562" s="119" t="s">
        <v>474</v>
      </c>
      <c r="E1562" s="119" t="s">
        <v>458</v>
      </c>
      <c r="F1562" s="119" t="s">
        <v>90</v>
      </c>
      <c r="G1562" s="119">
        <v>5</v>
      </c>
      <c r="H1562" s="119" t="s">
        <v>475</v>
      </c>
      <c r="I1562" s="119" t="s">
        <v>82</v>
      </c>
    </row>
    <row r="1563" spans="1:9" ht="13">
      <c r="A1563" s="118">
        <v>46183</v>
      </c>
      <c r="B1563" s="119">
        <v>7002633475</v>
      </c>
      <c r="C1563" s="119" t="s">
        <v>524</v>
      </c>
      <c r="D1563" s="119" t="s">
        <v>474</v>
      </c>
      <c r="E1563" s="119" t="s">
        <v>458</v>
      </c>
      <c r="F1563" s="119" t="s">
        <v>90</v>
      </c>
      <c r="G1563" s="119">
        <v>4</v>
      </c>
      <c r="H1563" s="119" t="s">
        <v>475</v>
      </c>
      <c r="I1563" s="119" t="s">
        <v>82</v>
      </c>
    </row>
    <row r="1564" spans="1:9" ht="13">
      <c r="A1564" s="118">
        <v>46183</v>
      </c>
      <c r="B1564" s="119">
        <v>7002636782</v>
      </c>
      <c r="C1564" s="119" t="s">
        <v>524</v>
      </c>
      <c r="D1564" s="119" t="s">
        <v>474</v>
      </c>
      <c r="E1564" s="119" t="s">
        <v>481</v>
      </c>
      <c r="F1564" s="119" t="s">
        <v>90</v>
      </c>
      <c r="G1564" s="119">
        <v>5</v>
      </c>
      <c r="H1564" s="119" t="s">
        <v>475</v>
      </c>
      <c r="I1564" s="119" t="s">
        <v>82</v>
      </c>
    </row>
    <row r="1565" spans="1:9" ht="13">
      <c r="A1565" s="118">
        <v>46183</v>
      </c>
      <c r="B1565" s="119">
        <v>7002801106</v>
      </c>
      <c r="C1565" s="119" t="s">
        <v>524</v>
      </c>
      <c r="D1565" s="119" t="s">
        <v>474</v>
      </c>
      <c r="E1565" s="119" t="s">
        <v>616</v>
      </c>
      <c r="F1565" s="119" t="s">
        <v>90</v>
      </c>
      <c r="G1565" s="119">
        <v>7</v>
      </c>
      <c r="H1565" s="119" t="s">
        <v>475</v>
      </c>
      <c r="I1565" s="119" t="s">
        <v>82</v>
      </c>
    </row>
    <row r="1566" spans="1:9" ht="13">
      <c r="A1566" s="118">
        <v>46183</v>
      </c>
      <c r="B1566" s="119">
        <v>7002644537</v>
      </c>
      <c r="C1566" s="119" t="s">
        <v>524</v>
      </c>
      <c r="D1566" s="119" t="s">
        <v>474</v>
      </c>
      <c r="E1566" s="119" t="s">
        <v>458</v>
      </c>
      <c r="F1566" s="119" t="s">
        <v>90</v>
      </c>
      <c r="G1566" s="119">
        <v>5</v>
      </c>
      <c r="H1566" s="119" t="s">
        <v>475</v>
      </c>
      <c r="I1566" s="119" t="s">
        <v>82</v>
      </c>
    </row>
    <row r="1567" spans="1:9" ht="13">
      <c r="A1567" s="118">
        <v>46183</v>
      </c>
      <c r="B1567" s="119">
        <v>7002706036</v>
      </c>
      <c r="C1567" s="119" t="s">
        <v>524</v>
      </c>
      <c r="D1567" s="119" t="s">
        <v>474</v>
      </c>
      <c r="E1567" s="119" t="s">
        <v>557</v>
      </c>
      <c r="F1567" s="119" t="s">
        <v>90</v>
      </c>
      <c r="G1567" s="119">
        <v>21</v>
      </c>
      <c r="H1567" s="119" t="s">
        <v>475</v>
      </c>
      <c r="I1567" s="119" t="s">
        <v>82</v>
      </c>
    </row>
    <row r="1568" spans="1:9" ht="13">
      <c r="A1568" s="109"/>
      <c r="B1568" s="110"/>
      <c r="C1568" s="110"/>
      <c r="D1568" s="110"/>
      <c r="E1568" s="110"/>
      <c r="F1568" s="110"/>
      <c r="G1568" s="110"/>
      <c r="H1568" s="110"/>
      <c r="I1568" s="110"/>
    </row>
    <row r="1569" spans="1:15" ht="13">
      <c r="A1569" s="109"/>
      <c r="B1569" s="110"/>
      <c r="C1569" s="110"/>
      <c r="D1569" s="110"/>
      <c r="E1569" s="110"/>
      <c r="F1569" s="110"/>
      <c r="G1569" s="110"/>
      <c r="H1569" s="110"/>
      <c r="I1569" s="110"/>
    </row>
    <row r="1570" spans="1:15" ht="13">
      <c r="A1570" s="105" t="s">
        <v>1</v>
      </c>
      <c r="B1570" s="105" t="s">
        <v>445</v>
      </c>
      <c r="C1570" s="105" t="s">
        <v>446</v>
      </c>
      <c r="D1570" s="105" t="s">
        <v>465</v>
      </c>
      <c r="E1570" s="105" t="s">
        <v>70</v>
      </c>
      <c r="F1570" s="105" t="s">
        <v>447</v>
      </c>
      <c r="G1570" s="105" t="s">
        <v>71</v>
      </c>
      <c r="H1570" s="105" t="s">
        <v>466</v>
      </c>
      <c r="I1570" s="105" t="s">
        <v>448</v>
      </c>
    </row>
    <row r="1571" spans="1:15" ht="13">
      <c r="A1571" s="118">
        <v>46184</v>
      </c>
      <c r="B1571" s="119">
        <v>7002906951</v>
      </c>
      <c r="C1571" s="119" t="s">
        <v>617</v>
      </c>
      <c r="D1571" s="119" t="s">
        <v>476</v>
      </c>
      <c r="E1571" s="119" t="s">
        <v>98</v>
      </c>
      <c r="F1571" s="119" t="s">
        <v>102</v>
      </c>
      <c r="G1571" s="119">
        <v>0</v>
      </c>
      <c r="H1571" s="119" t="s">
        <v>472</v>
      </c>
      <c r="I1571" s="119" t="s">
        <v>82</v>
      </c>
    </row>
    <row r="1572" spans="1:15" ht="14">
      <c r="A1572" s="118">
        <v>46184</v>
      </c>
      <c r="B1572" s="119">
        <v>7002909573</v>
      </c>
      <c r="C1572" s="119" t="s">
        <v>618</v>
      </c>
      <c r="D1572" s="119" t="s">
        <v>489</v>
      </c>
      <c r="E1572" s="119" t="s">
        <v>103</v>
      </c>
      <c r="F1572" s="119" t="s">
        <v>96</v>
      </c>
      <c r="G1572" s="119">
        <v>1</v>
      </c>
      <c r="H1572" s="119" t="s">
        <v>472</v>
      </c>
      <c r="I1572" s="119" t="s">
        <v>82</v>
      </c>
      <c r="K1572" s="218">
        <v>46184</v>
      </c>
      <c r="L1572" s="196"/>
      <c r="M1572" s="196"/>
      <c r="N1572" s="196"/>
      <c r="O1572" s="197"/>
    </row>
    <row r="1573" spans="1:15" ht="14">
      <c r="A1573" s="118">
        <v>46184</v>
      </c>
      <c r="B1573" s="119">
        <v>7002915346</v>
      </c>
      <c r="C1573" s="119" t="s">
        <v>617</v>
      </c>
      <c r="D1573" s="119" t="s">
        <v>476</v>
      </c>
      <c r="E1573" s="119" t="s">
        <v>98</v>
      </c>
      <c r="F1573" s="119" t="s">
        <v>462</v>
      </c>
      <c r="G1573" s="119">
        <v>0</v>
      </c>
      <c r="H1573" s="119" t="s">
        <v>472</v>
      </c>
      <c r="I1573" s="119" t="s">
        <v>82</v>
      </c>
      <c r="K1573" s="54" t="s">
        <v>529</v>
      </c>
      <c r="L1573" s="54" t="s">
        <v>74</v>
      </c>
      <c r="M1573" s="54"/>
      <c r="N1573" s="54"/>
      <c r="O1573" s="54"/>
    </row>
    <row r="1574" spans="1:15" ht="14">
      <c r="A1574" s="118">
        <v>46184</v>
      </c>
      <c r="B1574" s="119">
        <v>7002929670</v>
      </c>
      <c r="C1574" s="119" t="s">
        <v>593</v>
      </c>
      <c r="D1574" s="119" t="s">
        <v>474</v>
      </c>
      <c r="E1574" s="119" t="s">
        <v>463</v>
      </c>
      <c r="F1574" s="119" t="s">
        <v>118</v>
      </c>
      <c r="G1574" s="119">
        <v>2</v>
      </c>
      <c r="H1574" s="119" t="s">
        <v>472</v>
      </c>
      <c r="I1574" s="119" t="s">
        <v>82</v>
      </c>
      <c r="K1574" s="54" t="s">
        <v>62</v>
      </c>
      <c r="L1574" s="54" t="s">
        <v>503</v>
      </c>
      <c r="M1574" s="54" t="s">
        <v>82</v>
      </c>
      <c r="N1574" s="54" t="s">
        <v>505</v>
      </c>
      <c r="O1574" s="54" t="s">
        <v>84</v>
      </c>
    </row>
    <row r="1575" spans="1:15" ht="14">
      <c r="A1575" s="118">
        <v>46184</v>
      </c>
      <c r="B1575" s="119">
        <v>7002924699</v>
      </c>
      <c r="C1575" s="119" t="s">
        <v>593</v>
      </c>
      <c r="D1575" s="119" t="s">
        <v>474</v>
      </c>
      <c r="E1575" s="119" t="s">
        <v>463</v>
      </c>
      <c r="F1575" s="119" t="s">
        <v>118</v>
      </c>
      <c r="G1575" s="119">
        <v>1</v>
      </c>
      <c r="H1575" s="119" t="s">
        <v>472</v>
      </c>
      <c r="I1575" s="119" t="s">
        <v>82</v>
      </c>
      <c r="K1575" s="97" t="s">
        <v>475</v>
      </c>
      <c r="L1575" s="97">
        <v>1</v>
      </c>
      <c r="M1575" s="97">
        <v>58</v>
      </c>
      <c r="N1575" s="97">
        <v>8</v>
      </c>
      <c r="O1575" s="97">
        <v>67</v>
      </c>
    </row>
    <row r="1576" spans="1:15" ht="14">
      <c r="A1576" s="118">
        <v>46184</v>
      </c>
      <c r="B1576" s="119">
        <v>7002922887</v>
      </c>
      <c r="C1576" s="119" t="s">
        <v>617</v>
      </c>
      <c r="D1576" s="119" t="s">
        <v>476</v>
      </c>
      <c r="E1576" s="119" t="s">
        <v>98</v>
      </c>
      <c r="F1576" s="119" t="s">
        <v>102</v>
      </c>
      <c r="G1576" s="119">
        <v>0</v>
      </c>
      <c r="H1576" s="119" t="s">
        <v>472</v>
      </c>
      <c r="I1576" s="119" t="s">
        <v>82</v>
      </c>
      <c r="K1576" s="16" t="s">
        <v>619</v>
      </c>
      <c r="L1576" s="16">
        <v>1</v>
      </c>
      <c r="M1576" s="16"/>
      <c r="N1576" s="16"/>
      <c r="O1576" s="16">
        <v>1</v>
      </c>
    </row>
    <row r="1577" spans="1:15" ht="14">
      <c r="A1577" s="118">
        <v>46184</v>
      </c>
      <c r="B1577" s="119">
        <v>7002914317</v>
      </c>
      <c r="C1577" s="119" t="s">
        <v>617</v>
      </c>
      <c r="D1577" s="119" t="s">
        <v>476</v>
      </c>
      <c r="E1577" s="119" t="s">
        <v>98</v>
      </c>
      <c r="F1577" s="119" t="s">
        <v>462</v>
      </c>
      <c r="G1577" s="119">
        <v>0</v>
      </c>
      <c r="H1577" s="119" t="s">
        <v>472</v>
      </c>
      <c r="I1577" s="119" t="s">
        <v>82</v>
      </c>
      <c r="K1577" s="64" t="s">
        <v>620</v>
      </c>
      <c r="L1577" s="16"/>
      <c r="M1577" s="16">
        <v>58</v>
      </c>
      <c r="N1577" s="16">
        <v>8</v>
      </c>
      <c r="O1577" s="16">
        <v>66</v>
      </c>
    </row>
    <row r="1578" spans="1:15" ht="14">
      <c r="A1578" s="118">
        <v>46184</v>
      </c>
      <c r="B1578" s="119">
        <v>7002884128</v>
      </c>
      <c r="C1578" s="119" t="s">
        <v>619</v>
      </c>
      <c r="D1578" s="119" t="s">
        <v>479</v>
      </c>
      <c r="E1578" s="119" t="s">
        <v>98</v>
      </c>
      <c r="F1578" s="119" t="s">
        <v>96</v>
      </c>
      <c r="G1578" s="119"/>
      <c r="H1578" s="119" t="s">
        <v>472</v>
      </c>
      <c r="I1578" s="119" t="s">
        <v>503</v>
      </c>
      <c r="K1578" s="97" t="s">
        <v>472</v>
      </c>
      <c r="L1578" s="97">
        <v>2</v>
      </c>
      <c r="M1578" s="97">
        <v>7</v>
      </c>
      <c r="N1578" s="97"/>
      <c r="O1578" s="97">
        <v>9</v>
      </c>
    </row>
    <row r="1579" spans="1:15" ht="14">
      <c r="A1579" s="118">
        <v>46184</v>
      </c>
      <c r="B1579" s="119">
        <v>7002883077</v>
      </c>
      <c r="C1579" s="119" t="s">
        <v>618</v>
      </c>
      <c r="D1579" s="119" t="s">
        <v>489</v>
      </c>
      <c r="E1579" s="119" t="s">
        <v>103</v>
      </c>
      <c r="F1579" s="119" t="s">
        <v>108</v>
      </c>
      <c r="G1579" s="119">
        <v>2</v>
      </c>
      <c r="H1579" s="119" t="s">
        <v>472</v>
      </c>
      <c r="I1579" s="119" t="s">
        <v>503</v>
      </c>
      <c r="K1579" s="64" t="s">
        <v>621</v>
      </c>
      <c r="L1579" s="16"/>
      <c r="M1579" s="16">
        <v>2</v>
      </c>
      <c r="N1579" s="16"/>
      <c r="O1579" s="16">
        <v>2</v>
      </c>
    </row>
    <row r="1580" spans="1:15" ht="14">
      <c r="A1580" s="118">
        <v>46184</v>
      </c>
      <c r="B1580" s="119">
        <v>7002925431</v>
      </c>
      <c r="C1580" s="119" t="s">
        <v>622</v>
      </c>
      <c r="D1580" s="119" t="s">
        <v>495</v>
      </c>
      <c r="E1580" s="119" t="s">
        <v>103</v>
      </c>
      <c r="F1580" s="119" t="s">
        <v>90</v>
      </c>
      <c r="G1580" s="119">
        <v>4</v>
      </c>
      <c r="H1580" s="119" t="s">
        <v>475</v>
      </c>
      <c r="I1580" s="119" t="s">
        <v>82</v>
      </c>
      <c r="K1580" s="16" t="s">
        <v>619</v>
      </c>
      <c r="L1580" s="16">
        <v>1</v>
      </c>
      <c r="M1580" s="16"/>
      <c r="N1580" s="16"/>
      <c r="O1580" s="16">
        <v>1</v>
      </c>
    </row>
    <row r="1581" spans="1:15" ht="14">
      <c r="A1581" s="118">
        <v>46184</v>
      </c>
      <c r="B1581" s="119">
        <v>7002925251</v>
      </c>
      <c r="C1581" s="119" t="s">
        <v>622</v>
      </c>
      <c r="D1581" s="119" t="s">
        <v>474</v>
      </c>
      <c r="E1581" s="119" t="s">
        <v>91</v>
      </c>
      <c r="F1581" s="119" t="s">
        <v>90</v>
      </c>
      <c r="G1581" s="119">
        <v>4</v>
      </c>
      <c r="H1581" s="119" t="s">
        <v>475</v>
      </c>
      <c r="I1581" s="119" t="s">
        <v>82</v>
      </c>
      <c r="K1581" s="16" t="s">
        <v>623</v>
      </c>
      <c r="L1581" s="16"/>
      <c r="M1581" s="16">
        <v>4</v>
      </c>
      <c r="N1581" s="16"/>
      <c r="O1581" s="16">
        <v>4</v>
      </c>
    </row>
    <row r="1582" spans="1:15" ht="14">
      <c r="A1582" s="118">
        <v>46184</v>
      </c>
      <c r="B1582" s="119">
        <v>7002921464</v>
      </c>
      <c r="C1582" s="119" t="s">
        <v>622</v>
      </c>
      <c r="D1582" s="119" t="s">
        <v>479</v>
      </c>
      <c r="E1582" s="119" t="s">
        <v>103</v>
      </c>
      <c r="F1582" s="119" t="s">
        <v>90</v>
      </c>
      <c r="G1582" s="119">
        <v>1</v>
      </c>
      <c r="H1582" s="119" t="s">
        <v>475</v>
      </c>
      <c r="I1582" s="119" t="s">
        <v>82</v>
      </c>
      <c r="K1582" s="16" t="s">
        <v>618</v>
      </c>
      <c r="L1582" s="16">
        <v>1</v>
      </c>
      <c r="M1582" s="16">
        <v>1</v>
      </c>
      <c r="N1582" s="16"/>
      <c r="O1582" s="16">
        <v>2</v>
      </c>
    </row>
    <row r="1583" spans="1:15" ht="14">
      <c r="A1583" s="118">
        <v>46184</v>
      </c>
      <c r="B1583" s="119">
        <v>7002933662</v>
      </c>
      <c r="C1583" s="119" t="s">
        <v>622</v>
      </c>
      <c r="D1583" s="119" t="s">
        <v>474</v>
      </c>
      <c r="E1583" s="119" t="s">
        <v>91</v>
      </c>
      <c r="F1583" s="119" t="s">
        <v>90</v>
      </c>
      <c r="G1583" s="119">
        <v>1</v>
      </c>
      <c r="H1583" s="119" t="s">
        <v>475</v>
      </c>
      <c r="I1583" s="119" t="s">
        <v>82</v>
      </c>
      <c r="K1583" s="54" t="s">
        <v>84</v>
      </c>
      <c r="L1583" s="54">
        <v>3</v>
      </c>
      <c r="M1583" s="54">
        <v>65</v>
      </c>
      <c r="N1583" s="54">
        <v>8</v>
      </c>
      <c r="O1583" s="54">
        <v>76</v>
      </c>
    </row>
    <row r="1584" spans="1:15" ht="13">
      <c r="A1584" s="118">
        <v>46184</v>
      </c>
      <c r="B1584" s="119">
        <v>7002900683</v>
      </c>
      <c r="C1584" s="119" t="s">
        <v>622</v>
      </c>
      <c r="D1584" s="119" t="s">
        <v>479</v>
      </c>
      <c r="E1584" s="119" t="s">
        <v>470</v>
      </c>
      <c r="F1584" s="119" t="s">
        <v>90</v>
      </c>
      <c r="G1584" s="119">
        <v>1</v>
      </c>
      <c r="H1584" s="119" t="s">
        <v>475</v>
      </c>
      <c r="I1584" s="119" t="s">
        <v>505</v>
      </c>
    </row>
    <row r="1585" spans="1:9" ht="13">
      <c r="A1585" s="118">
        <v>46184</v>
      </c>
      <c r="B1585" s="119">
        <v>7002922257</v>
      </c>
      <c r="C1585" s="119" t="s">
        <v>622</v>
      </c>
      <c r="D1585" s="119" t="s">
        <v>474</v>
      </c>
      <c r="E1585" s="119" t="s">
        <v>533</v>
      </c>
      <c r="F1585" s="119" t="s">
        <v>90</v>
      </c>
      <c r="G1585" s="119">
        <v>1</v>
      </c>
      <c r="H1585" s="119" t="s">
        <v>475</v>
      </c>
      <c r="I1585" s="119" t="s">
        <v>82</v>
      </c>
    </row>
    <row r="1586" spans="1:9" ht="13">
      <c r="A1586" s="118">
        <v>46184</v>
      </c>
      <c r="B1586" s="119">
        <v>7002877052</v>
      </c>
      <c r="C1586" s="119" t="s">
        <v>619</v>
      </c>
      <c r="D1586" s="119" t="s">
        <v>476</v>
      </c>
      <c r="E1586" s="119" t="s">
        <v>98</v>
      </c>
      <c r="F1586" s="119" t="s">
        <v>90</v>
      </c>
      <c r="G1586" s="119">
        <v>42</v>
      </c>
      <c r="H1586" s="119" t="s">
        <v>475</v>
      </c>
      <c r="I1586" s="119" t="s">
        <v>503</v>
      </c>
    </row>
    <row r="1587" spans="1:9" ht="13">
      <c r="A1587" s="118">
        <v>46184</v>
      </c>
      <c r="B1587" s="119">
        <v>7002870183</v>
      </c>
      <c r="C1587" s="119" t="s">
        <v>622</v>
      </c>
      <c r="D1587" s="119" t="s">
        <v>474</v>
      </c>
      <c r="E1587" s="119" t="s">
        <v>91</v>
      </c>
      <c r="F1587" s="119" t="s">
        <v>90</v>
      </c>
      <c r="G1587" s="119">
        <v>1</v>
      </c>
      <c r="H1587" s="119" t="s">
        <v>475</v>
      </c>
      <c r="I1587" s="119" t="s">
        <v>505</v>
      </c>
    </row>
    <row r="1588" spans="1:9" ht="13">
      <c r="A1588" s="118">
        <v>46184</v>
      </c>
      <c r="B1588" s="119">
        <v>7002926247</v>
      </c>
      <c r="C1588" s="119" t="s">
        <v>622</v>
      </c>
      <c r="D1588" s="119" t="s">
        <v>474</v>
      </c>
      <c r="E1588" s="119" t="s">
        <v>533</v>
      </c>
      <c r="F1588" s="119" t="s">
        <v>90</v>
      </c>
      <c r="G1588" s="119">
        <v>1</v>
      </c>
      <c r="H1588" s="119" t="s">
        <v>475</v>
      </c>
      <c r="I1588" s="119" t="s">
        <v>82</v>
      </c>
    </row>
    <row r="1589" spans="1:9" ht="13">
      <c r="A1589" s="118">
        <v>46184</v>
      </c>
      <c r="B1589" s="119">
        <v>7002926234</v>
      </c>
      <c r="C1589" s="119" t="s">
        <v>622</v>
      </c>
      <c r="D1589" s="119" t="s">
        <v>479</v>
      </c>
      <c r="E1589" s="119" t="s">
        <v>103</v>
      </c>
      <c r="F1589" s="119" t="s">
        <v>90</v>
      </c>
      <c r="G1589" s="119">
        <v>4</v>
      </c>
      <c r="H1589" s="119" t="s">
        <v>475</v>
      </c>
      <c r="I1589" s="119" t="s">
        <v>82</v>
      </c>
    </row>
    <row r="1590" spans="1:9" ht="13">
      <c r="A1590" s="118">
        <v>46184</v>
      </c>
      <c r="B1590" s="119">
        <v>7002925246</v>
      </c>
      <c r="C1590" s="119" t="s">
        <v>622</v>
      </c>
      <c r="D1590" s="119" t="s">
        <v>479</v>
      </c>
      <c r="E1590" s="119" t="s">
        <v>103</v>
      </c>
      <c r="F1590" s="119" t="s">
        <v>90</v>
      </c>
      <c r="G1590" s="119">
        <v>1</v>
      </c>
      <c r="H1590" s="119" t="s">
        <v>475</v>
      </c>
      <c r="I1590" s="119" t="s">
        <v>82</v>
      </c>
    </row>
    <row r="1591" spans="1:9" ht="13">
      <c r="A1591" s="118">
        <v>46184</v>
      </c>
      <c r="B1591" s="119">
        <v>7002924240</v>
      </c>
      <c r="C1591" s="119" t="s">
        <v>622</v>
      </c>
      <c r="D1591" s="119" t="s">
        <v>474</v>
      </c>
      <c r="E1591" s="119" t="s">
        <v>533</v>
      </c>
      <c r="F1591" s="119" t="s">
        <v>90</v>
      </c>
      <c r="G1591" s="119">
        <v>5</v>
      </c>
      <c r="H1591" s="119" t="s">
        <v>475</v>
      </c>
      <c r="I1591" s="119" t="s">
        <v>82</v>
      </c>
    </row>
    <row r="1592" spans="1:9" ht="13">
      <c r="A1592" s="118">
        <v>46184</v>
      </c>
      <c r="B1592" s="119">
        <v>7002923241</v>
      </c>
      <c r="C1592" s="119" t="s">
        <v>622</v>
      </c>
      <c r="D1592" s="119" t="s">
        <v>474</v>
      </c>
      <c r="E1592" s="119" t="s">
        <v>463</v>
      </c>
      <c r="F1592" s="119" t="s">
        <v>90</v>
      </c>
      <c r="G1592" s="119">
        <v>18</v>
      </c>
      <c r="H1592" s="119" t="s">
        <v>475</v>
      </c>
      <c r="I1592" s="119" t="s">
        <v>82</v>
      </c>
    </row>
    <row r="1593" spans="1:9" ht="13">
      <c r="A1593" s="118">
        <v>46184</v>
      </c>
      <c r="B1593" s="119">
        <v>7002922242</v>
      </c>
      <c r="C1593" s="119" t="s">
        <v>622</v>
      </c>
      <c r="D1593" s="119" t="s">
        <v>479</v>
      </c>
      <c r="E1593" s="119" t="s">
        <v>103</v>
      </c>
      <c r="F1593" s="119" t="s">
        <v>90</v>
      </c>
      <c r="G1593" s="119">
        <v>4</v>
      </c>
      <c r="H1593" s="119" t="s">
        <v>475</v>
      </c>
      <c r="I1593" s="119" t="s">
        <v>82</v>
      </c>
    </row>
    <row r="1594" spans="1:9" ht="13">
      <c r="A1594" s="118">
        <v>46184</v>
      </c>
      <c r="B1594" s="119">
        <v>7002928452</v>
      </c>
      <c r="C1594" s="119" t="s">
        <v>622</v>
      </c>
      <c r="D1594" s="119" t="s">
        <v>479</v>
      </c>
      <c r="E1594" s="119" t="s">
        <v>103</v>
      </c>
      <c r="F1594" s="119" t="s">
        <v>90</v>
      </c>
      <c r="G1594" s="119">
        <v>5</v>
      </c>
      <c r="H1594" s="119" t="s">
        <v>475</v>
      </c>
      <c r="I1594" s="119" t="s">
        <v>82</v>
      </c>
    </row>
    <row r="1595" spans="1:9" ht="13">
      <c r="A1595" s="118">
        <v>46184</v>
      </c>
      <c r="B1595" s="119">
        <v>7002926385</v>
      </c>
      <c r="C1595" s="119" t="s">
        <v>622</v>
      </c>
      <c r="D1595" s="119" t="s">
        <v>479</v>
      </c>
      <c r="E1595" s="119" t="s">
        <v>103</v>
      </c>
      <c r="F1595" s="119" t="s">
        <v>90</v>
      </c>
      <c r="G1595" s="119">
        <v>1</v>
      </c>
      <c r="H1595" s="119" t="s">
        <v>475</v>
      </c>
      <c r="I1595" s="119" t="s">
        <v>82</v>
      </c>
    </row>
    <row r="1596" spans="1:9" ht="13">
      <c r="A1596" s="118">
        <v>46184</v>
      </c>
      <c r="B1596" s="119">
        <v>7002929335</v>
      </c>
      <c r="C1596" s="119" t="s">
        <v>622</v>
      </c>
      <c r="D1596" s="119" t="s">
        <v>474</v>
      </c>
      <c r="E1596" s="119" t="s">
        <v>91</v>
      </c>
      <c r="F1596" s="119" t="s">
        <v>90</v>
      </c>
      <c r="G1596" s="119">
        <v>1</v>
      </c>
      <c r="H1596" s="119" t="s">
        <v>475</v>
      </c>
      <c r="I1596" s="119" t="s">
        <v>82</v>
      </c>
    </row>
    <row r="1597" spans="1:9" ht="13">
      <c r="A1597" s="118">
        <v>46184</v>
      </c>
      <c r="B1597" s="119">
        <v>7002928447</v>
      </c>
      <c r="C1597" s="119" t="s">
        <v>622</v>
      </c>
      <c r="D1597" s="119" t="s">
        <v>479</v>
      </c>
      <c r="E1597" s="119" t="s">
        <v>103</v>
      </c>
      <c r="F1597" s="119" t="s">
        <v>90</v>
      </c>
      <c r="G1597" s="119">
        <v>6</v>
      </c>
      <c r="H1597" s="119" t="s">
        <v>475</v>
      </c>
      <c r="I1597" s="119" t="s">
        <v>82</v>
      </c>
    </row>
    <row r="1598" spans="1:9" ht="13">
      <c r="A1598" s="118">
        <v>46184</v>
      </c>
      <c r="B1598" s="119">
        <v>7002839868</v>
      </c>
      <c r="C1598" s="119" t="s">
        <v>622</v>
      </c>
      <c r="D1598" s="119" t="s">
        <v>474</v>
      </c>
      <c r="E1598" s="119" t="s">
        <v>98</v>
      </c>
      <c r="F1598" s="119" t="s">
        <v>90</v>
      </c>
      <c r="G1598" s="119">
        <v>3</v>
      </c>
      <c r="H1598" s="119" t="s">
        <v>475</v>
      </c>
      <c r="I1598" s="119" t="s">
        <v>505</v>
      </c>
    </row>
    <row r="1599" spans="1:9" ht="13">
      <c r="A1599" s="118">
        <v>46184</v>
      </c>
      <c r="B1599" s="119">
        <v>7002921351</v>
      </c>
      <c r="C1599" s="119" t="s">
        <v>622</v>
      </c>
      <c r="D1599" s="119" t="s">
        <v>474</v>
      </c>
      <c r="E1599" s="119" t="s">
        <v>463</v>
      </c>
      <c r="F1599" s="119" t="s">
        <v>90</v>
      </c>
      <c r="G1599" s="119">
        <v>7</v>
      </c>
      <c r="H1599" s="119" t="s">
        <v>475</v>
      </c>
      <c r="I1599" s="119" t="s">
        <v>82</v>
      </c>
    </row>
    <row r="1600" spans="1:9" ht="13">
      <c r="A1600" s="118">
        <v>46184</v>
      </c>
      <c r="B1600" s="119">
        <v>7002924426</v>
      </c>
      <c r="C1600" s="119" t="s">
        <v>622</v>
      </c>
      <c r="D1600" s="119" t="s">
        <v>479</v>
      </c>
      <c r="E1600" s="119" t="s">
        <v>470</v>
      </c>
      <c r="F1600" s="119" t="s">
        <v>90</v>
      </c>
      <c r="G1600" s="119">
        <v>65</v>
      </c>
      <c r="H1600" s="119" t="s">
        <v>475</v>
      </c>
      <c r="I1600" s="119" t="s">
        <v>82</v>
      </c>
    </row>
    <row r="1601" spans="1:9" ht="13">
      <c r="A1601" s="118">
        <v>46184</v>
      </c>
      <c r="B1601" s="119">
        <v>7002923365</v>
      </c>
      <c r="C1601" s="119" t="s">
        <v>622</v>
      </c>
      <c r="D1601" s="119" t="s">
        <v>474</v>
      </c>
      <c r="E1601" s="119" t="s">
        <v>538</v>
      </c>
      <c r="F1601" s="119" t="s">
        <v>90</v>
      </c>
      <c r="G1601" s="119">
        <v>1</v>
      </c>
      <c r="H1601" s="119" t="s">
        <v>475</v>
      </c>
      <c r="I1601" s="119" t="s">
        <v>82</v>
      </c>
    </row>
    <row r="1602" spans="1:9" ht="13">
      <c r="A1602" s="118">
        <v>46184</v>
      </c>
      <c r="B1602" s="119">
        <v>7002925304</v>
      </c>
      <c r="C1602" s="119" t="s">
        <v>622</v>
      </c>
      <c r="D1602" s="119" t="s">
        <v>474</v>
      </c>
      <c r="E1602" s="119" t="s">
        <v>463</v>
      </c>
      <c r="F1602" s="119" t="s">
        <v>90</v>
      </c>
      <c r="G1602" s="119">
        <v>2</v>
      </c>
      <c r="H1602" s="119" t="s">
        <v>475</v>
      </c>
      <c r="I1602" s="119" t="s">
        <v>82</v>
      </c>
    </row>
    <row r="1603" spans="1:9" ht="13">
      <c r="A1603" s="118">
        <v>46184</v>
      </c>
      <c r="B1603" s="119">
        <v>7002923427</v>
      </c>
      <c r="C1603" s="119" t="s">
        <v>622</v>
      </c>
      <c r="D1603" s="119" t="s">
        <v>474</v>
      </c>
      <c r="E1603" s="119" t="s">
        <v>91</v>
      </c>
      <c r="F1603" s="119" t="s">
        <v>90</v>
      </c>
      <c r="G1603" s="119">
        <v>1</v>
      </c>
      <c r="H1603" s="119" t="s">
        <v>475</v>
      </c>
      <c r="I1603" s="119" t="s">
        <v>82</v>
      </c>
    </row>
    <row r="1604" spans="1:9" ht="13">
      <c r="A1604" s="118">
        <v>46184</v>
      </c>
      <c r="B1604" s="119">
        <v>7002923312</v>
      </c>
      <c r="C1604" s="119" t="s">
        <v>622</v>
      </c>
      <c r="D1604" s="119" t="s">
        <v>474</v>
      </c>
      <c r="E1604" s="119" t="s">
        <v>98</v>
      </c>
      <c r="F1604" s="119" t="s">
        <v>90</v>
      </c>
      <c r="G1604" s="119">
        <v>12</v>
      </c>
      <c r="H1604" s="119" t="s">
        <v>475</v>
      </c>
      <c r="I1604" s="119" t="s">
        <v>82</v>
      </c>
    </row>
    <row r="1605" spans="1:9" ht="13">
      <c r="A1605" s="118">
        <v>46184</v>
      </c>
      <c r="B1605" s="119">
        <v>7002922313</v>
      </c>
      <c r="C1605" s="119" t="s">
        <v>622</v>
      </c>
      <c r="D1605" s="119" t="s">
        <v>474</v>
      </c>
      <c r="E1605" s="119" t="s">
        <v>91</v>
      </c>
      <c r="F1605" s="119" t="s">
        <v>90</v>
      </c>
      <c r="G1605" s="119">
        <v>2</v>
      </c>
      <c r="H1605" s="119" t="s">
        <v>475</v>
      </c>
      <c r="I1605" s="119" t="s">
        <v>82</v>
      </c>
    </row>
    <row r="1606" spans="1:9" ht="13">
      <c r="A1606" s="118">
        <v>46184</v>
      </c>
      <c r="B1606" s="119">
        <v>7002925298</v>
      </c>
      <c r="C1606" s="119" t="s">
        <v>622</v>
      </c>
      <c r="D1606" s="119" t="s">
        <v>474</v>
      </c>
      <c r="E1606" s="119" t="s">
        <v>463</v>
      </c>
      <c r="F1606" s="119" t="s">
        <v>90</v>
      </c>
      <c r="G1606" s="119">
        <v>1</v>
      </c>
      <c r="H1606" s="119" t="s">
        <v>475</v>
      </c>
      <c r="I1606" s="119" t="s">
        <v>82</v>
      </c>
    </row>
    <row r="1607" spans="1:9" ht="13">
      <c r="A1607" s="118">
        <v>46184</v>
      </c>
      <c r="B1607" s="119">
        <v>7002928277</v>
      </c>
      <c r="C1607" s="119" t="s">
        <v>622</v>
      </c>
      <c r="D1607" s="119" t="s">
        <v>479</v>
      </c>
      <c r="E1607" s="119" t="s">
        <v>103</v>
      </c>
      <c r="F1607" s="119" t="s">
        <v>90</v>
      </c>
      <c r="G1607" s="119">
        <v>1</v>
      </c>
      <c r="H1607" s="119" t="s">
        <v>475</v>
      </c>
      <c r="I1607" s="119" t="s">
        <v>82</v>
      </c>
    </row>
    <row r="1608" spans="1:9" ht="13">
      <c r="A1608" s="118">
        <v>46184</v>
      </c>
      <c r="B1608" s="119">
        <v>7002928373</v>
      </c>
      <c r="C1608" s="119" t="s">
        <v>622</v>
      </c>
      <c r="D1608" s="119" t="s">
        <v>474</v>
      </c>
      <c r="E1608" s="119" t="s">
        <v>533</v>
      </c>
      <c r="F1608" s="119" t="s">
        <v>90</v>
      </c>
      <c r="G1608" s="119">
        <v>1</v>
      </c>
      <c r="H1608" s="119" t="s">
        <v>475</v>
      </c>
      <c r="I1608" s="119" t="s">
        <v>82</v>
      </c>
    </row>
    <row r="1609" spans="1:9" ht="13">
      <c r="A1609" s="118">
        <v>46184</v>
      </c>
      <c r="B1609" s="119">
        <v>7002923273</v>
      </c>
      <c r="C1609" s="119" t="s">
        <v>622</v>
      </c>
      <c r="D1609" s="119" t="s">
        <v>474</v>
      </c>
      <c r="E1609" s="119" t="s">
        <v>463</v>
      </c>
      <c r="F1609" s="119" t="s">
        <v>90</v>
      </c>
      <c r="G1609" s="119">
        <v>1</v>
      </c>
      <c r="H1609" s="119" t="s">
        <v>475</v>
      </c>
      <c r="I1609" s="119" t="s">
        <v>82</v>
      </c>
    </row>
    <row r="1610" spans="1:9" ht="13">
      <c r="A1610" s="118">
        <v>46184</v>
      </c>
      <c r="B1610" s="119">
        <v>7002927479</v>
      </c>
      <c r="C1610" s="119" t="s">
        <v>622</v>
      </c>
      <c r="D1610" s="119" t="s">
        <v>479</v>
      </c>
      <c r="E1610" s="119" t="s">
        <v>470</v>
      </c>
      <c r="F1610" s="119" t="s">
        <v>90</v>
      </c>
      <c r="G1610" s="119">
        <v>47</v>
      </c>
      <c r="H1610" s="119" t="s">
        <v>475</v>
      </c>
      <c r="I1610" s="119" t="s">
        <v>82</v>
      </c>
    </row>
    <row r="1611" spans="1:9" ht="13">
      <c r="A1611" s="118">
        <v>46184</v>
      </c>
      <c r="B1611" s="119">
        <v>7002922972</v>
      </c>
      <c r="C1611" s="119" t="s">
        <v>622</v>
      </c>
      <c r="D1611" s="119" t="s">
        <v>474</v>
      </c>
      <c r="E1611" s="119" t="s">
        <v>91</v>
      </c>
      <c r="F1611" s="119" t="s">
        <v>90</v>
      </c>
      <c r="G1611" s="119">
        <v>1</v>
      </c>
      <c r="H1611" s="119" t="s">
        <v>475</v>
      </c>
      <c r="I1611" s="119" t="s">
        <v>82</v>
      </c>
    </row>
    <row r="1612" spans="1:9" ht="13">
      <c r="A1612" s="118">
        <v>46184</v>
      </c>
      <c r="B1612" s="119">
        <v>7002899994</v>
      </c>
      <c r="C1612" s="119" t="s">
        <v>622</v>
      </c>
      <c r="D1612" s="119" t="s">
        <v>474</v>
      </c>
      <c r="E1612" s="119" t="s">
        <v>98</v>
      </c>
      <c r="F1612" s="119" t="s">
        <v>90</v>
      </c>
      <c r="G1612" s="119">
        <v>3</v>
      </c>
      <c r="H1612" s="119" t="s">
        <v>475</v>
      </c>
      <c r="I1612" s="119" t="s">
        <v>82</v>
      </c>
    </row>
    <row r="1613" spans="1:9" ht="13">
      <c r="A1613" s="118">
        <v>46184</v>
      </c>
      <c r="B1613" s="119">
        <v>7002925810</v>
      </c>
      <c r="C1613" s="119" t="s">
        <v>622</v>
      </c>
      <c r="D1613" s="119" t="s">
        <v>474</v>
      </c>
      <c r="E1613" s="119" t="s">
        <v>98</v>
      </c>
      <c r="F1613" s="119" t="s">
        <v>90</v>
      </c>
      <c r="G1613" s="119">
        <v>2</v>
      </c>
      <c r="H1613" s="119" t="s">
        <v>475</v>
      </c>
      <c r="I1613" s="119" t="s">
        <v>82</v>
      </c>
    </row>
    <row r="1614" spans="1:9" ht="13">
      <c r="A1614" s="118">
        <v>46184</v>
      </c>
      <c r="B1614" s="119">
        <v>7002908145</v>
      </c>
      <c r="C1614" s="119" t="s">
        <v>622</v>
      </c>
      <c r="D1614" s="119" t="s">
        <v>474</v>
      </c>
      <c r="E1614" s="119" t="s">
        <v>463</v>
      </c>
      <c r="F1614" s="119" t="s">
        <v>90</v>
      </c>
      <c r="G1614" s="119">
        <v>13</v>
      </c>
      <c r="H1614" s="119" t="s">
        <v>475</v>
      </c>
      <c r="I1614" s="119" t="s">
        <v>82</v>
      </c>
    </row>
    <row r="1615" spans="1:9" ht="13">
      <c r="A1615" s="118">
        <v>46184</v>
      </c>
      <c r="B1615" s="119">
        <v>7002900705</v>
      </c>
      <c r="C1615" s="119" t="s">
        <v>622</v>
      </c>
      <c r="D1615" s="119" t="s">
        <v>474</v>
      </c>
      <c r="E1615" s="119" t="s">
        <v>91</v>
      </c>
      <c r="F1615" s="119" t="s">
        <v>90</v>
      </c>
      <c r="G1615" s="119">
        <v>3</v>
      </c>
      <c r="H1615" s="119" t="s">
        <v>475</v>
      </c>
      <c r="I1615" s="119" t="s">
        <v>82</v>
      </c>
    </row>
    <row r="1616" spans="1:9" ht="13">
      <c r="A1616" s="118">
        <v>46184</v>
      </c>
      <c r="B1616" s="119">
        <v>7002906220</v>
      </c>
      <c r="C1616" s="119" t="s">
        <v>622</v>
      </c>
      <c r="D1616" s="119" t="s">
        <v>474</v>
      </c>
      <c r="E1616" s="119" t="s">
        <v>463</v>
      </c>
      <c r="F1616" s="119" t="s">
        <v>90</v>
      </c>
      <c r="G1616" s="119">
        <v>2</v>
      </c>
      <c r="H1616" s="119" t="s">
        <v>475</v>
      </c>
      <c r="I1616" s="119" t="s">
        <v>82</v>
      </c>
    </row>
    <row r="1617" spans="1:9" ht="13">
      <c r="A1617" s="118">
        <v>46184</v>
      </c>
      <c r="B1617" s="119">
        <v>7002909223</v>
      </c>
      <c r="C1617" s="119" t="s">
        <v>622</v>
      </c>
      <c r="D1617" s="119" t="s">
        <v>474</v>
      </c>
      <c r="E1617" s="119" t="s">
        <v>91</v>
      </c>
      <c r="F1617" s="119" t="s">
        <v>90</v>
      </c>
      <c r="G1617" s="119">
        <v>18</v>
      </c>
      <c r="H1617" s="119" t="s">
        <v>475</v>
      </c>
      <c r="I1617" s="119" t="s">
        <v>82</v>
      </c>
    </row>
    <row r="1618" spans="1:9" ht="13">
      <c r="A1618" s="118">
        <v>46184</v>
      </c>
      <c r="B1618" s="119">
        <v>7002907250</v>
      </c>
      <c r="C1618" s="119" t="s">
        <v>622</v>
      </c>
      <c r="D1618" s="119" t="s">
        <v>474</v>
      </c>
      <c r="E1618" s="119" t="s">
        <v>528</v>
      </c>
      <c r="F1618" s="119" t="s">
        <v>90</v>
      </c>
      <c r="G1618" s="119">
        <v>6</v>
      </c>
      <c r="H1618" s="119" t="s">
        <v>475</v>
      </c>
      <c r="I1618" s="119" t="s">
        <v>505</v>
      </c>
    </row>
    <row r="1619" spans="1:9" ht="13">
      <c r="A1619" s="118">
        <v>46184</v>
      </c>
      <c r="B1619" s="119">
        <v>7002905338</v>
      </c>
      <c r="C1619" s="119" t="s">
        <v>622</v>
      </c>
      <c r="D1619" s="119" t="s">
        <v>474</v>
      </c>
      <c r="E1619" s="119" t="s">
        <v>533</v>
      </c>
      <c r="F1619" s="119" t="s">
        <v>90</v>
      </c>
      <c r="G1619" s="119">
        <v>27</v>
      </c>
      <c r="H1619" s="119" t="s">
        <v>475</v>
      </c>
      <c r="I1619" s="119" t="s">
        <v>82</v>
      </c>
    </row>
    <row r="1620" spans="1:9" ht="13">
      <c r="A1620" s="118">
        <v>46184</v>
      </c>
      <c r="B1620" s="119">
        <v>7002926655</v>
      </c>
      <c r="C1620" s="119" t="s">
        <v>622</v>
      </c>
      <c r="D1620" s="119" t="s">
        <v>474</v>
      </c>
      <c r="E1620" s="119" t="s">
        <v>98</v>
      </c>
      <c r="F1620" s="119" t="s">
        <v>90</v>
      </c>
      <c r="G1620" s="119">
        <v>1</v>
      </c>
      <c r="H1620" s="119" t="s">
        <v>475</v>
      </c>
      <c r="I1620" s="119" t="s">
        <v>82</v>
      </c>
    </row>
    <row r="1621" spans="1:9" ht="13">
      <c r="A1621" s="118">
        <v>46184</v>
      </c>
      <c r="B1621" s="119">
        <v>7002923225</v>
      </c>
      <c r="C1621" s="119" t="s">
        <v>622</v>
      </c>
      <c r="D1621" s="119" t="s">
        <v>474</v>
      </c>
      <c r="E1621" s="119" t="s">
        <v>91</v>
      </c>
      <c r="F1621" s="119" t="s">
        <v>90</v>
      </c>
      <c r="G1621" s="119">
        <v>5</v>
      </c>
      <c r="H1621" s="119" t="s">
        <v>475</v>
      </c>
      <c r="I1621" s="119" t="s">
        <v>82</v>
      </c>
    </row>
    <row r="1622" spans="1:9" ht="13">
      <c r="A1622" s="118">
        <v>46184</v>
      </c>
      <c r="B1622" s="119">
        <v>7002922219</v>
      </c>
      <c r="C1622" s="119" t="s">
        <v>622</v>
      </c>
      <c r="D1622" s="119" t="s">
        <v>479</v>
      </c>
      <c r="E1622" s="119" t="s">
        <v>103</v>
      </c>
      <c r="F1622" s="119" t="s">
        <v>90</v>
      </c>
      <c r="G1622" s="119">
        <v>4</v>
      </c>
      <c r="H1622" s="119" t="s">
        <v>475</v>
      </c>
      <c r="I1622" s="119" t="s">
        <v>82</v>
      </c>
    </row>
    <row r="1623" spans="1:9" ht="13">
      <c r="A1623" s="118">
        <v>46184</v>
      </c>
      <c r="B1623" s="119">
        <v>7002921227</v>
      </c>
      <c r="C1623" s="119" t="s">
        <v>622</v>
      </c>
      <c r="D1623" s="119" t="s">
        <v>474</v>
      </c>
      <c r="E1623" s="119" t="s">
        <v>463</v>
      </c>
      <c r="F1623" s="119" t="s">
        <v>90</v>
      </c>
      <c r="G1623" s="119">
        <v>1</v>
      </c>
      <c r="H1623" s="119" t="s">
        <v>475</v>
      </c>
      <c r="I1623" s="119" t="s">
        <v>82</v>
      </c>
    </row>
    <row r="1624" spans="1:9" ht="13">
      <c r="A1624" s="118">
        <v>46184</v>
      </c>
      <c r="B1624" s="119">
        <v>7002928212</v>
      </c>
      <c r="C1624" s="119" t="s">
        <v>622</v>
      </c>
      <c r="D1624" s="119" t="s">
        <v>474</v>
      </c>
      <c r="E1624" s="119" t="s">
        <v>533</v>
      </c>
      <c r="F1624" s="119" t="s">
        <v>90</v>
      </c>
      <c r="G1624" s="119">
        <v>3</v>
      </c>
      <c r="H1624" s="119" t="s">
        <v>475</v>
      </c>
      <c r="I1624" s="119" t="s">
        <v>82</v>
      </c>
    </row>
    <row r="1625" spans="1:9" ht="13">
      <c r="A1625" s="118">
        <v>46184</v>
      </c>
      <c r="B1625" s="119">
        <v>7002877751</v>
      </c>
      <c r="C1625" s="119" t="s">
        <v>622</v>
      </c>
      <c r="D1625" s="119" t="s">
        <v>474</v>
      </c>
      <c r="E1625" s="119" t="s">
        <v>454</v>
      </c>
      <c r="F1625" s="119" t="s">
        <v>90</v>
      </c>
      <c r="G1625" s="119">
        <v>2</v>
      </c>
      <c r="H1625" s="119" t="s">
        <v>475</v>
      </c>
      <c r="I1625" s="119" t="s">
        <v>505</v>
      </c>
    </row>
    <row r="1626" spans="1:9" ht="13">
      <c r="A1626" s="118">
        <v>46184</v>
      </c>
      <c r="B1626" s="119">
        <v>7002927207</v>
      </c>
      <c r="C1626" s="119" t="s">
        <v>622</v>
      </c>
      <c r="D1626" s="119" t="s">
        <v>479</v>
      </c>
      <c r="E1626" s="119" t="s">
        <v>103</v>
      </c>
      <c r="F1626" s="119" t="s">
        <v>90</v>
      </c>
      <c r="G1626" s="119">
        <v>10</v>
      </c>
      <c r="H1626" s="119" t="s">
        <v>475</v>
      </c>
      <c r="I1626" s="119" t="s">
        <v>82</v>
      </c>
    </row>
    <row r="1627" spans="1:9" ht="13">
      <c r="A1627" s="118">
        <v>46184</v>
      </c>
      <c r="B1627" s="119">
        <v>7002920193</v>
      </c>
      <c r="C1627" s="119" t="s">
        <v>622</v>
      </c>
      <c r="D1627" s="119" t="s">
        <v>474</v>
      </c>
      <c r="E1627" s="119" t="s">
        <v>91</v>
      </c>
      <c r="F1627" s="119" t="s">
        <v>90</v>
      </c>
      <c r="G1627" s="119">
        <v>2</v>
      </c>
      <c r="H1627" s="119" t="s">
        <v>475</v>
      </c>
      <c r="I1627" s="119" t="s">
        <v>82</v>
      </c>
    </row>
    <row r="1628" spans="1:9" ht="13">
      <c r="A1628" s="118">
        <v>46184</v>
      </c>
      <c r="B1628" s="119">
        <v>7002924009</v>
      </c>
      <c r="C1628" s="119" t="s">
        <v>622</v>
      </c>
      <c r="D1628" s="119" t="s">
        <v>474</v>
      </c>
      <c r="E1628" s="119" t="s">
        <v>454</v>
      </c>
      <c r="F1628" s="119" t="s">
        <v>90</v>
      </c>
      <c r="G1628" s="119">
        <v>4</v>
      </c>
      <c r="H1628" s="119" t="s">
        <v>475</v>
      </c>
      <c r="I1628" s="119" t="s">
        <v>82</v>
      </c>
    </row>
    <row r="1629" spans="1:9" ht="13">
      <c r="A1629" s="118">
        <v>46184</v>
      </c>
      <c r="B1629" s="119">
        <v>7002935444</v>
      </c>
      <c r="C1629" s="119" t="s">
        <v>622</v>
      </c>
      <c r="D1629" s="119" t="s">
        <v>474</v>
      </c>
      <c r="E1629" s="119" t="s">
        <v>91</v>
      </c>
      <c r="F1629" s="119" t="s">
        <v>90</v>
      </c>
      <c r="G1629" s="119">
        <v>2</v>
      </c>
      <c r="H1629" s="119" t="s">
        <v>475</v>
      </c>
      <c r="I1629" s="119" t="s">
        <v>82</v>
      </c>
    </row>
    <row r="1630" spans="1:9" ht="13">
      <c r="A1630" s="118">
        <v>46184</v>
      </c>
      <c r="B1630" s="119">
        <v>7002913755</v>
      </c>
      <c r="C1630" s="119" t="s">
        <v>622</v>
      </c>
      <c r="D1630" s="119" t="s">
        <v>474</v>
      </c>
      <c r="E1630" s="119" t="s">
        <v>91</v>
      </c>
      <c r="F1630" s="119" t="s">
        <v>90</v>
      </c>
      <c r="G1630" s="119">
        <v>1</v>
      </c>
      <c r="H1630" s="119" t="s">
        <v>475</v>
      </c>
      <c r="I1630" s="119" t="s">
        <v>82</v>
      </c>
    </row>
    <row r="1631" spans="1:9" ht="13">
      <c r="A1631" s="118">
        <v>46184</v>
      </c>
      <c r="B1631" s="119">
        <v>7002913570</v>
      </c>
      <c r="C1631" s="119" t="s">
        <v>622</v>
      </c>
      <c r="D1631" s="119" t="s">
        <v>474</v>
      </c>
      <c r="E1631" s="119" t="s">
        <v>98</v>
      </c>
      <c r="F1631" s="119" t="s">
        <v>90</v>
      </c>
      <c r="G1631" s="119">
        <v>1</v>
      </c>
      <c r="H1631" s="119" t="s">
        <v>475</v>
      </c>
      <c r="I1631" s="119" t="s">
        <v>82</v>
      </c>
    </row>
    <row r="1632" spans="1:9" ht="13">
      <c r="A1632" s="118">
        <v>46184</v>
      </c>
      <c r="B1632" s="119">
        <v>7002939067</v>
      </c>
      <c r="C1632" s="119" t="s">
        <v>622</v>
      </c>
      <c r="D1632" s="119" t="s">
        <v>479</v>
      </c>
      <c r="E1632" s="119" t="s">
        <v>103</v>
      </c>
      <c r="F1632" s="119" t="s">
        <v>90</v>
      </c>
      <c r="G1632" s="119">
        <v>1</v>
      </c>
      <c r="H1632" s="119" t="s">
        <v>475</v>
      </c>
      <c r="I1632" s="119" t="s">
        <v>82</v>
      </c>
    </row>
    <row r="1633" spans="1:9" ht="13">
      <c r="A1633" s="118">
        <v>46184</v>
      </c>
      <c r="B1633" s="119">
        <v>7002928558</v>
      </c>
      <c r="C1633" s="119" t="s">
        <v>622</v>
      </c>
      <c r="D1633" s="119" t="s">
        <v>495</v>
      </c>
      <c r="E1633" s="119" t="s">
        <v>103</v>
      </c>
      <c r="F1633" s="119" t="s">
        <v>90</v>
      </c>
      <c r="G1633" s="119">
        <v>3</v>
      </c>
      <c r="H1633" s="119" t="s">
        <v>475</v>
      </c>
      <c r="I1633" s="119" t="s">
        <v>82</v>
      </c>
    </row>
    <row r="1634" spans="1:9" ht="13">
      <c r="A1634" s="118">
        <v>46184</v>
      </c>
      <c r="B1634" s="119">
        <v>7002934037</v>
      </c>
      <c r="C1634" s="119" t="s">
        <v>622</v>
      </c>
      <c r="D1634" s="119" t="s">
        <v>474</v>
      </c>
      <c r="E1634" s="119" t="s">
        <v>91</v>
      </c>
      <c r="F1634" s="119" t="s">
        <v>90</v>
      </c>
      <c r="G1634" s="119">
        <v>1</v>
      </c>
      <c r="H1634" s="119" t="s">
        <v>475</v>
      </c>
      <c r="I1634" s="119" t="s">
        <v>82</v>
      </c>
    </row>
    <row r="1635" spans="1:9" ht="13">
      <c r="A1635" s="118">
        <v>46184</v>
      </c>
      <c r="B1635" s="119">
        <v>7002890852</v>
      </c>
      <c r="C1635" s="119" t="s">
        <v>622</v>
      </c>
      <c r="D1635" s="119" t="s">
        <v>474</v>
      </c>
      <c r="E1635" s="119" t="s">
        <v>463</v>
      </c>
      <c r="F1635" s="119" t="s">
        <v>90</v>
      </c>
      <c r="G1635" s="119">
        <v>4</v>
      </c>
      <c r="H1635" s="119" t="s">
        <v>475</v>
      </c>
      <c r="I1635" s="119" t="s">
        <v>82</v>
      </c>
    </row>
    <row r="1636" spans="1:9" ht="13">
      <c r="A1636" s="118">
        <v>46184</v>
      </c>
      <c r="B1636" s="119">
        <v>7002901607</v>
      </c>
      <c r="C1636" s="119" t="s">
        <v>622</v>
      </c>
      <c r="D1636" s="119" t="s">
        <v>474</v>
      </c>
      <c r="E1636" s="119" t="s">
        <v>98</v>
      </c>
      <c r="F1636" s="119" t="s">
        <v>90</v>
      </c>
      <c r="G1636" s="119">
        <v>1</v>
      </c>
      <c r="H1636" s="119" t="s">
        <v>475</v>
      </c>
      <c r="I1636" s="119" t="s">
        <v>82</v>
      </c>
    </row>
    <row r="1637" spans="1:9" ht="13">
      <c r="A1637" s="118">
        <v>46184</v>
      </c>
      <c r="B1637" s="119">
        <v>7002922437</v>
      </c>
      <c r="C1637" s="119" t="s">
        <v>622</v>
      </c>
      <c r="D1637" s="119" t="s">
        <v>479</v>
      </c>
      <c r="E1637" s="119" t="s">
        <v>470</v>
      </c>
      <c r="F1637" s="119" t="s">
        <v>90</v>
      </c>
      <c r="G1637" s="119">
        <v>109</v>
      </c>
      <c r="H1637" s="119" t="s">
        <v>475</v>
      </c>
      <c r="I1637" s="119" t="s">
        <v>82</v>
      </c>
    </row>
    <row r="1638" spans="1:9" ht="13">
      <c r="A1638" s="118">
        <v>46184</v>
      </c>
      <c r="B1638" s="119">
        <v>7002780898</v>
      </c>
      <c r="C1638" s="119" t="s">
        <v>622</v>
      </c>
      <c r="D1638" s="119" t="s">
        <v>474</v>
      </c>
      <c r="E1638" s="119" t="s">
        <v>488</v>
      </c>
      <c r="F1638" s="119" t="s">
        <v>90</v>
      </c>
      <c r="G1638" s="119">
        <v>2</v>
      </c>
      <c r="H1638" s="119" t="s">
        <v>475</v>
      </c>
      <c r="I1638" s="119" t="s">
        <v>505</v>
      </c>
    </row>
    <row r="1639" spans="1:9" ht="13">
      <c r="A1639" s="118">
        <v>46184</v>
      </c>
      <c r="B1639" s="119">
        <v>7002922416</v>
      </c>
      <c r="C1639" s="119" t="s">
        <v>622</v>
      </c>
      <c r="D1639" s="119" t="s">
        <v>474</v>
      </c>
      <c r="E1639" s="119" t="s">
        <v>91</v>
      </c>
      <c r="F1639" s="119" t="s">
        <v>90</v>
      </c>
      <c r="G1639" s="119">
        <v>6</v>
      </c>
      <c r="H1639" s="119" t="s">
        <v>475</v>
      </c>
      <c r="I1639" s="119" t="s">
        <v>82</v>
      </c>
    </row>
    <row r="1640" spans="1:9" ht="13">
      <c r="A1640" s="118">
        <v>46184</v>
      </c>
      <c r="B1640" s="119">
        <v>7002922397</v>
      </c>
      <c r="C1640" s="119" t="s">
        <v>622</v>
      </c>
      <c r="D1640" s="119" t="s">
        <v>474</v>
      </c>
      <c r="E1640" s="119" t="s">
        <v>98</v>
      </c>
      <c r="F1640" s="119" t="s">
        <v>90</v>
      </c>
      <c r="G1640" s="119">
        <v>24</v>
      </c>
      <c r="H1640" s="119" t="s">
        <v>475</v>
      </c>
      <c r="I1640" s="119" t="s">
        <v>82</v>
      </c>
    </row>
    <row r="1641" spans="1:9" ht="13">
      <c r="A1641" s="118">
        <v>46184</v>
      </c>
      <c r="B1641" s="119">
        <v>7002724648</v>
      </c>
      <c r="C1641" s="119" t="s">
        <v>622</v>
      </c>
      <c r="D1641" s="119" t="s">
        <v>474</v>
      </c>
      <c r="E1641" s="119" t="s">
        <v>488</v>
      </c>
      <c r="F1641" s="119" t="s">
        <v>90</v>
      </c>
      <c r="G1641" s="119">
        <v>2</v>
      </c>
      <c r="H1641" s="119" t="s">
        <v>475</v>
      </c>
      <c r="I1641" s="119" t="s">
        <v>505</v>
      </c>
    </row>
    <row r="1642" spans="1:9" ht="13">
      <c r="A1642" s="118">
        <v>46184</v>
      </c>
      <c r="B1642" s="119">
        <v>7002929390</v>
      </c>
      <c r="C1642" s="119" t="s">
        <v>622</v>
      </c>
      <c r="D1642" s="119" t="s">
        <v>495</v>
      </c>
      <c r="E1642" s="119" t="s">
        <v>103</v>
      </c>
      <c r="F1642" s="119" t="s">
        <v>90</v>
      </c>
      <c r="G1642" s="119">
        <v>74</v>
      </c>
      <c r="H1642" s="119" t="s">
        <v>475</v>
      </c>
      <c r="I1642" s="119" t="s">
        <v>82</v>
      </c>
    </row>
    <row r="1643" spans="1:9" ht="13">
      <c r="A1643" s="118">
        <v>46184</v>
      </c>
      <c r="B1643" s="119">
        <v>7002922428</v>
      </c>
      <c r="C1643" s="119" t="s">
        <v>622</v>
      </c>
      <c r="D1643" s="119" t="s">
        <v>479</v>
      </c>
      <c r="E1643" s="119" t="s">
        <v>103</v>
      </c>
      <c r="F1643" s="119" t="s">
        <v>90</v>
      </c>
      <c r="G1643" s="119">
        <v>8</v>
      </c>
      <c r="H1643" s="119" t="s">
        <v>475</v>
      </c>
      <c r="I1643" s="119" t="s">
        <v>82</v>
      </c>
    </row>
    <row r="1644" spans="1:9" ht="13">
      <c r="A1644" s="118">
        <v>46184</v>
      </c>
      <c r="B1644" s="119">
        <v>7002925408</v>
      </c>
      <c r="C1644" s="119" t="s">
        <v>622</v>
      </c>
      <c r="D1644" s="119" t="s">
        <v>479</v>
      </c>
      <c r="E1644" s="119" t="s">
        <v>103</v>
      </c>
      <c r="F1644" s="119" t="s">
        <v>90</v>
      </c>
      <c r="G1644" s="119">
        <v>1</v>
      </c>
      <c r="H1644" s="119" t="s">
        <v>475</v>
      </c>
      <c r="I1644" s="119" t="s">
        <v>82</v>
      </c>
    </row>
    <row r="1645" spans="1:9" ht="13">
      <c r="A1645" s="118">
        <v>46184</v>
      </c>
      <c r="B1645" s="119">
        <v>7002636782</v>
      </c>
      <c r="C1645" s="119" t="s">
        <v>622</v>
      </c>
      <c r="D1645" s="119" t="s">
        <v>474</v>
      </c>
      <c r="E1645" s="119" t="s">
        <v>481</v>
      </c>
      <c r="F1645" s="119" t="s">
        <v>90</v>
      </c>
      <c r="G1645" s="119">
        <v>5</v>
      </c>
      <c r="H1645" s="119" t="s">
        <v>475</v>
      </c>
      <c r="I1645" s="119" t="s">
        <v>505</v>
      </c>
    </row>
    <row r="1646" spans="1:9" ht="13">
      <c r="A1646" s="118">
        <v>46184</v>
      </c>
      <c r="B1646" s="119">
        <v>7002929388</v>
      </c>
      <c r="C1646" s="119" t="s">
        <v>622</v>
      </c>
      <c r="D1646" s="119" t="s">
        <v>479</v>
      </c>
      <c r="E1646" s="119" t="s">
        <v>103</v>
      </c>
      <c r="F1646" s="119" t="s">
        <v>90</v>
      </c>
      <c r="G1646" s="119">
        <v>1</v>
      </c>
      <c r="H1646" s="119" t="s">
        <v>475</v>
      </c>
      <c r="I1646" s="119" t="s">
        <v>82</v>
      </c>
    </row>
    <row r="1647" spans="1:9" ht="13">
      <c r="A1647" s="109"/>
      <c r="B1647" s="110"/>
      <c r="C1647" s="110"/>
      <c r="D1647" s="110"/>
      <c r="E1647" s="110"/>
      <c r="F1647" s="110"/>
      <c r="G1647" s="110"/>
      <c r="H1647" s="110"/>
      <c r="I1647" s="110"/>
    </row>
    <row r="1648" spans="1:9" ht="13">
      <c r="A1648" s="109"/>
      <c r="B1648" s="110"/>
      <c r="C1648" s="110"/>
      <c r="D1648" s="110"/>
      <c r="E1648" s="110"/>
      <c r="F1648" s="110"/>
      <c r="G1648" s="110"/>
      <c r="H1648" s="110"/>
      <c r="I1648" s="110"/>
    </row>
    <row r="1649" spans="1:16" ht="13">
      <c r="A1649" s="105" t="s">
        <v>1</v>
      </c>
      <c r="B1649" s="105" t="s">
        <v>445</v>
      </c>
      <c r="C1649" s="105" t="s">
        <v>446</v>
      </c>
      <c r="D1649" s="105" t="s">
        <v>465</v>
      </c>
      <c r="E1649" s="105" t="s">
        <v>70</v>
      </c>
      <c r="F1649" s="105" t="s">
        <v>447</v>
      </c>
      <c r="G1649" s="105" t="s">
        <v>71</v>
      </c>
      <c r="H1649" s="105" t="s">
        <v>466</v>
      </c>
      <c r="I1649" s="105" t="s">
        <v>448</v>
      </c>
    </row>
    <row r="1650" spans="1:16" ht="13">
      <c r="A1650" s="118">
        <v>46185</v>
      </c>
      <c r="B1650" s="119">
        <v>7002928208</v>
      </c>
      <c r="C1650" s="119" t="s">
        <v>524</v>
      </c>
      <c r="D1650" s="119" t="s">
        <v>474</v>
      </c>
      <c r="E1650" s="119" t="s">
        <v>486</v>
      </c>
      <c r="F1650" s="119" t="s">
        <v>90</v>
      </c>
      <c r="G1650" s="119">
        <v>1</v>
      </c>
      <c r="H1650" s="119" t="s">
        <v>475</v>
      </c>
      <c r="I1650" s="119" t="s">
        <v>82</v>
      </c>
      <c r="K1650" s="219">
        <v>46185</v>
      </c>
      <c r="L1650" s="196"/>
      <c r="M1650" s="196"/>
      <c r="N1650" s="196"/>
      <c r="O1650" s="197"/>
    </row>
    <row r="1651" spans="1:16" ht="14">
      <c r="A1651" s="118">
        <v>46185</v>
      </c>
      <c r="B1651" s="119">
        <v>7002915819</v>
      </c>
      <c r="C1651" s="119" t="s">
        <v>524</v>
      </c>
      <c r="D1651" s="119" t="s">
        <v>474</v>
      </c>
      <c r="E1651" s="119" t="s">
        <v>98</v>
      </c>
      <c r="F1651" s="119" t="s">
        <v>90</v>
      </c>
      <c r="G1651" s="119">
        <v>4</v>
      </c>
      <c r="H1651" s="119" t="s">
        <v>475</v>
      </c>
      <c r="I1651" s="119" t="s">
        <v>82</v>
      </c>
      <c r="K1651" s="54" t="s">
        <v>529</v>
      </c>
      <c r="L1651" s="54" t="s">
        <v>74</v>
      </c>
      <c r="M1651" s="54"/>
      <c r="N1651" s="54"/>
      <c r="O1651" s="54"/>
      <c r="P1651" s="40"/>
    </row>
    <row r="1652" spans="1:16" ht="14">
      <c r="A1652" s="118">
        <v>46185</v>
      </c>
      <c r="B1652" s="119">
        <v>7002921258</v>
      </c>
      <c r="C1652" s="119" t="s">
        <v>524</v>
      </c>
      <c r="D1652" s="119" t="s">
        <v>474</v>
      </c>
      <c r="E1652" s="119" t="s">
        <v>486</v>
      </c>
      <c r="F1652" s="119" t="s">
        <v>90</v>
      </c>
      <c r="G1652" s="119">
        <v>11</v>
      </c>
      <c r="H1652" s="119" t="s">
        <v>475</v>
      </c>
      <c r="I1652" s="119" t="s">
        <v>82</v>
      </c>
      <c r="K1652" s="54" t="s">
        <v>62</v>
      </c>
      <c r="L1652" s="54" t="s">
        <v>503</v>
      </c>
      <c r="M1652" s="54" t="s">
        <v>82</v>
      </c>
      <c r="N1652" s="54" t="s">
        <v>505</v>
      </c>
      <c r="O1652" s="54" t="s">
        <v>84</v>
      </c>
      <c r="P1652" s="40"/>
    </row>
    <row r="1653" spans="1:16" ht="14">
      <c r="A1653" s="118">
        <v>46185</v>
      </c>
      <c r="B1653" s="119">
        <v>7002915645</v>
      </c>
      <c r="C1653" s="119" t="s">
        <v>524</v>
      </c>
      <c r="D1653" s="119" t="s">
        <v>474</v>
      </c>
      <c r="E1653" s="119" t="s">
        <v>98</v>
      </c>
      <c r="F1653" s="119" t="s">
        <v>90</v>
      </c>
      <c r="G1653" s="119">
        <v>4</v>
      </c>
      <c r="H1653" s="119" t="s">
        <v>475</v>
      </c>
      <c r="I1653" s="119" t="s">
        <v>82</v>
      </c>
      <c r="K1653" s="97" t="s">
        <v>475</v>
      </c>
      <c r="L1653" s="97">
        <v>5</v>
      </c>
      <c r="M1653" s="97">
        <v>63</v>
      </c>
      <c r="N1653" s="97"/>
      <c r="O1653" s="97">
        <v>68</v>
      </c>
      <c r="P1653" s="40"/>
    </row>
    <row r="1654" spans="1:16" ht="14">
      <c r="A1654" s="118">
        <v>46185</v>
      </c>
      <c r="B1654" s="119">
        <v>7002929284</v>
      </c>
      <c r="C1654" s="119" t="s">
        <v>524</v>
      </c>
      <c r="D1654" s="119" t="s">
        <v>474</v>
      </c>
      <c r="E1654" s="119" t="s">
        <v>485</v>
      </c>
      <c r="F1654" s="119" t="s">
        <v>90</v>
      </c>
      <c r="G1654" s="119">
        <v>220</v>
      </c>
      <c r="H1654" s="119" t="s">
        <v>475</v>
      </c>
      <c r="I1654" s="119" t="s">
        <v>82</v>
      </c>
      <c r="K1654" s="16" t="s">
        <v>624</v>
      </c>
      <c r="L1654" s="16">
        <v>4</v>
      </c>
      <c r="M1654" s="16"/>
      <c r="N1654" s="16"/>
      <c r="O1654" s="16">
        <v>4</v>
      </c>
      <c r="P1654" s="130" t="s">
        <v>468</v>
      </c>
    </row>
    <row r="1655" spans="1:16" ht="14">
      <c r="A1655" s="118">
        <v>46185</v>
      </c>
      <c r="B1655" s="119">
        <v>7002926445</v>
      </c>
      <c r="C1655" s="119" t="s">
        <v>524</v>
      </c>
      <c r="D1655" s="119" t="s">
        <v>474</v>
      </c>
      <c r="E1655" s="119" t="s">
        <v>486</v>
      </c>
      <c r="F1655" s="119" t="s">
        <v>90</v>
      </c>
      <c r="G1655" s="119">
        <v>2</v>
      </c>
      <c r="H1655" s="119" t="s">
        <v>475</v>
      </c>
      <c r="I1655" s="119" t="s">
        <v>82</v>
      </c>
      <c r="K1655" s="16" t="s">
        <v>625</v>
      </c>
      <c r="L1655" s="16">
        <v>1</v>
      </c>
      <c r="M1655" s="16"/>
      <c r="N1655" s="16"/>
      <c r="O1655" s="16">
        <v>1</v>
      </c>
      <c r="P1655" s="40"/>
    </row>
    <row r="1656" spans="1:16" ht="14">
      <c r="A1656" s="118">
        <v>46185</v>
      </c>
      <c r="B1656" s="119">
        <v>7002926371</v>
      </c>
      <c r="C1656" s="119" t="s">
        <v>524</v>
      </c>
      <c r="D1656" s="119" t="s">
        <v>474</v>
      </c>
      <c r="E1656" s="119" t="s">
        <v>486</v>
      </c>
      <c r="F1656" s="119" t="s">
        <v>90</v>
      </c>
      <c r="G1656" s="119">
        <v>9</v>
      </c>
      <c r="H1656" s="119" t="s">
        <v>475</v>
      </c>
      <c r="I1656" s="119" t="s">
        <v>82</v>
      </c>
      <c r="K1656" s="16" t="s">
        <v>626</v>
      </c>
      <c r="L1656" s="16"/>
      <c r="M1656" s="16">
        <v>63</v>
      </c>
      <c r="N1656" s="16"/>
      <c r="O1656" s="16">
        <v>63</v>
      </c>
      <c r="P1656" s="131" t="s">
        <v>627</v>
      </c>
    </row>
    <row r="1657" spans="1:16" ht="14">
      <c r="A1657" s="118">
        <v>46185</v>
      </c>
      <c r="B1657" s="119">
        <v>7002923396</v>
      </c>
      <c r="C1657" s="119" t="s">
        <v>524</v>
      </c>
      <c r="D1657" s="119" t="s">
        <v>474</v>
      </c>
      <c r="E1657" s="119" t="s">
        <v>485</v>
      </c>
      <c r="F1657" s="119" t="s">
        <v>90</v>
      </c>
      <c r="G1657" s="119">
        <v>3</v>
      </c>
      <c r="H1657" s="119" t="s">
        <v>475</v>
      </c>
      <c r="I1657" s="119" t="s">
        <v>82</v>
      </c>
      <c r="K1657" s="97" t="s">
        <v>472</v>
      </c>
      <c r="L1657" s="97"/>
      <c r="M1657" s="97">
        <v>1</v>
      </c>
      <c r="N1657" s="97">
        <v>2</v>
      </c>
      <c r="O1657" s="97">
        <v>3</v>
      </c>
      <c r="P1657" s="40"/>
    </row>
    <row r="1658" spans="1:16" ht="14">
      <c r="A1658" s="118">
        <v>46185</v>
      </c>
      <c r="B1658" s="119">
        <v>7002928434</v>
      </c>
      <c r="C1658" s="119" t="s">
        <v>524</v>
      </c>
      <c r="D1658" s="119" t="s">
        <v>474</v>
      </c>
      <c r="E1658" s="119" t="s">
        <v>486</v>
      </c>
      <c r="F1658" s="119" t="s">
        <v>90</v>
      </c>
      <c r="G1658" s="119">
        <v>4</v>
      </c>
      <c r="H1658" s="119" t="s">
        <v>475</v>
      </c>
      <c r="I1658" s="119" t="s">
        <v>82</v>
      </c>
      <c r="K1658" s="16" t="s">
        <v>628</v>
      </c>
      <c r="L1658" s="16"/>
      <c r="M1658" s="16"/>
      <c r="N1658" s="16">
        <v>1</v>
      </c>
      <c r="O1658" s="16">
        <v>1</v>
      </c>
      <c r="P1658" s="40"/>
    </row>
    <row r="1659" spans="1:16" ht="14">
      <c r="A1659" s="118">
        <v>46185</v>
      </c>
      <c r="B1659" s="119">
        <v>7002925449</v>
      </c>
      <c r="C1659" s="119" t="s">
        <v>524</v>
      </c>
      <c r="D1659" s="119" t="s">
        <v>474</v>
      </c>
      <c r="E1659" s="119" t="s">
        <v>461</v>
      </c>
      <c r="F1659" s="119" t="s">
        <v>90</v>
      </c>
      <c r="G1659" s="119">
        <v>10</v>
      </c>
      <c r="H1659" s="119" t="s">
        <v>475</v>
      </c>
      <c r="I1659" s="119" t="s">
        <v>82</v>
      </c>
      <c r="K1659" s="16" t="s">
        <v>629</v>
      </c>
      <c r="L1659" s="16"/>
      <c r="M1659" s="16">
        <v>1</v>
      </c>
      <c r="N1659" s="16">
        <v>1</v>
      </c>
      <c r="O1659" s="16">
        <v>2</v>
      </c>
      <c r="P1659" s="40"/>
    </row>
    <row r="1660" spans="1:16" ht="14">
      <c r="A1660" s="118">
        <v>46185</v>
      </c>
      <c r="B1660" s="119">
        <v>7002923462</v>
      </c>
      <c r="C1660" s="119" t="s">
        <v>524</v>
      </c>
      <c r="D1660" s="119" t="s">
        <v>474</v>
      </c>
      <c r="E1660" s="119" t="s">
        <v>486</v>
      </c>
      <c r="F1660" s="119" t="s">
        <v>90</v>
      </c>
      <c r="G1660" s="119">
        <v>1</v>
      </c>
      <c r="H1660" s="119" t="s">
        <v>475</v>
      </c>
      <c r="I1660" s="119" t="s">
        <v>82</v>
      </c>
      <c r="K1660" s="54" t="s">
        <v>84</v>
      </c>
      <c r="L1660" s="54">
        <v>5</v>
      </c>
      <c r="M1660" s="54">
        <v>64</v>
      </c>
      <c r="N1660" s="54">
        <v>2</v>
      </c>
      <c r="O1660" s="54">
        <v>71</v>
      </c>
      <c r="P1660" s="40"/>
    </row>
    <row r="1661" spans="1:16" ht="13">
      <c r="A1661" s="118">
        <v>46185</v>
      </c>
      <c r="B1661" s="119">
        <v>7002929482</v>
      </c>
      <c r="C1661" s="119" t="s">
        <v>524</v>
      </c>
      <c r="D1661" s="119" t="s">
        <v>474</v>
      </c>
      <c r="E1661" s="119" t="s">
        <v>485</v>
      </c>
      <c r="F1661" s="119" t="s">
        <v>90</v>
      </c>
      <c r="G1661" s="119">
        <v>3</v>
      </c>
      <c r="H1661" s="119" t="s">
        <v>475</v>
      </c>
      <c r="I1661" s="119" t="s">
        <v>82</v>
      </c>
    </row>
    <row r="1662" spans="1:16" ht="13">
      <c r="A1662" s="118">
        <v>46185</v>
      </c>
      <c r="B1662" s="119">
        <v>7002926587</v>
      </c>
      <c r="C1662" s="119" t="s">
        <v>524</v>
      </c>
      <c r="D1662" s="119" t="s">
        <v>474</v>
      </c>
      <c r="E1662" s="119" t="s">
        <v>486</v>
      </c>
      <c r="F1662" s="119" t="s">
        <v>90</v>
      </c>
      <c r="G1662" s="119">
        <v>1</v>
      </c>
      <c r="H1662" s="119" t="s">
        <v>475</v>
      </c>
      <c r="I1662" s="119" t="s">
        <v>82</v>
      </c>
    </row>
    <row r="1663" spans="1:16" ht="13">
      <c r="A1663" s="118">
        <v>46185</v>
      </c>
      <c r="B1663" s="119">
        <v>7002922582</v>
      </c>
      <c r="C1663" s="119" t="s">
        <v>524</v>
      </c>
      <c r="D1663" s="119" t="s">
        <v>474</v>
      </c>
      <c r="E1663" s="119" t="s">
        <v>461</v>
      </c>
      <c r="F1663" s="119" t="s">
        <v>90</v>
      </c>
      <c r="G1663" s="119">
        <v>11</v>
      </c>
      <c r="H1663" s="119" t="s">
        <v>475</v>
      </c>
      <c r="I1663" s="119" t="s">
        <v>82</v>
      </c>
    </row>
    <row r="1664" spans="1:16" ht="13">
      <c r="A1664" s="118">
        <v>46185</v>
      </c>
      <c r="B1664" s="119">
        <v>7002927338</v>
      </c>
      <c r="C1664" s="119" t="s">
        <v>524</v>
      </c>
      <c r="D1664" s="119" t="s">
        <v>474</v>
      </c>
      <c r="E1664" s="119" t="s">
        <v>486</v>
      </c>
      <c r="F1664" s="119" t="s">
        <v>90</v>
      </c>
      <c r="G1664" s="119">
        <v>3</v>
      </c>
      <c r="H1664" s="119" t="s">
        <v>475</v>
      </c>
      <c r="I1664" s="119" t="s">
        <v>82</v>
      </c>
    </row>
    <row r="1665" spans="1:9" ht="13">
      <c r="A1665" s="118">
        <v>46185</v>
      </c>
      <c r="B1665" s="119">
        <v>7002839868</v>
      </c>
      <c r="C1665" s="119" t="s">
        <v>624</v>
      </c>
      <c r="D1665" s="119" t="s">
        <v>474</v>
      </c>
      <c r="E1665" s="119" t="s">
        <v>98</v>
      </c>
      <c r="F1665" s="119" t="s">
        <v>90</v>
      </c>
      <c r="G1665" s="119">
        <v>3</v>
      </c>
      <c r="H1665" s="119" t="s">
        <v>475</v>
      </c>
      <c r="I1665" s="119" t="s">
        <v>503</v>
      </c>
    </row>
    <row r="1666" spans="1:9" ht="13">
      <c r="A1666" s="118">
        <v>46185</v>
      </c>
      <c r="B1666" s="119">
        <v>7002846303</v>
      </c>
      <c r="C1666" s="119" t="s">
        <v>524</v>
      </c>
      <c r="D1666" s="119" t="s">
        <v>474</v>
      </c>
      <c r="E1666" s="119" t="s">
        <v>486</v>
      </c>
      <c r="F1666" s="119" t="s">
        <v>90</v>
      </c>
      <c r="G1666" s="119">
        <v>1</v>
      </c>
      <c r="H1666" s="119" t="s">
        <v>475</v>
      </c>
      <c r="I1666" s="119" t="s">
        <v>82</v>
      </c>
    </row>
    <row r="1667" spans="1:9" ht="13">
      <c r="A1667" s="118">
        <v>46185</v>
      </c>
      <c r="B1667" s="119">
        <v>7002841324</v>
      </c>
      <c r="C1667" s="119" t="s">
        <v>524</v>
      </c>
      <c r="D1667" s="119" t="s">
        <v>474</v>
      </c>
      <c r="E1667" s="119" t="s">
        <v>486</v>
      </c>
      <c r="F1667" s="119" t="s">
        <v>90</v>
      </c>
      <c r="G1667" s="119">
        <v>1</v>
      </c>
      <c r="H1667" s="119" t="s">
        <v>475</v>
      </c>
      <c r="I1667" s="119" t="s">
        <v>82</v>
      </c>
    </row>
    <row r="1668" spans="1:9" ht="13">
      <c r="A1668" s="118">
        <v>46185</v>
      </c>
      <c r="B1668" s="119">
        <v>7002780898</v>
      </c>
      <c r="C1668" s="119" t="s">
        <v>624</v>
      </c>
      <c r="D1668" s="119" t="s">
        <v>474</v>
      </c>
      <c r="E1668" s="119" t="s">
        <v>488</v>
      </c>
      <c r="F1668" s="119" t="s">
        <v>90</v>
      </c>
      <c r="G1668" s="119">
        <v>2</v>
      </c>
      <c r="H1668" s="119" t="s">
        <v>475</v>
      </c>
      <c r="I1668" s="119" t="s">
        <v>503</v>
      </c>
    </row>
    <row r="1669" spans="1:9" ht="13">
      <c r="A1669" s="118">
        <v>46185</v>
      </c>
      <c r="B1669" s="119">
        <v>7002877309</v>
      </c>
      <c r="C1669" s="119" t="s">
        <v>524</v>
      </c>
      <c r="D1669" s="119" t="s">
        <v>474</v>
      </c>
      <c r="E1669" s="119" t="s">
        <v>486</v>
      </c>
      <c r="F1669" s="119" t="s">
        <v>90</v>
      </c>
      <c r="G1669" s="119">
        <v>16</v>
      </c>
      <c r="H1669" s="119" t="s">
        <v>475</v>
      </c>
      <c r="I1669" s="119" t="s">
        <v>82</v>
      </c>
    </row>
    <row r="1670" spans="1:9" ht="13">
      <c r="A1670" s="118">
        <v>46185</v>
      </c>
      <c r="B1670" s="119">
        <v>7002877751</v>
      </c>
      <c r="C1670" s="119" t="s">
        <v>630</v>
      </c>
      <c r="D1670" s="119" t="s">
        <v>474</v>
      </c>
      <c r="E1670" s="119" t="s">
        <v>454</v>
      </c>
      <c r="F1670" s="119" t="s">
        <v>90</v>
      </c>
      <c r="G1670" s="119">
        <v>2</v>
      </c>
      <c r="H1670" s="119" t="s">
        <v>475</v>
      </c>
      <c r="I1670" s="119" t="s">
        <v>503</v>
      </c>
    </row>
    <row r="1671" spans="1:9" ht="13">
      <c r="A1671" s="118">
        <v>46185</v>
      </c>
      <c r="B1671" s="119">
        <v>7002873912</v>
      </c>
      <c r="C1671" s="119" t="s">
        <v>524</v>
      </c>
      <c r="D1671" s="119" t="s">
        <v>474</v>
      </c>
      <c r="E1671" s="119" t="s">
        <v>591</v>
      </c>
      <c r="F1671" s="119" t="s">
        <v>90</v>
      </c>
      <c r="G1671" s="119">
        <v>4</v>
      </c>
      <c r="H1671" s="119" t="s">
        <v>475</v>
      </c>
      <c r="I1671" s="119" t="s">
        <v>82</v>
      </c>
    </row>
    <row r="1672" spans="1:9" ht="13">
      <c r="A1672" s="118">
        <v>46185</v>
      </c>
      <c r="B1672" s="119">
        <v>7002885535</v>
      </c>
      <c r="C1672" s="119" t="s">
        <v>524</v>
      </c>
      <c r="D1672" s="119" t="s">
        <v>474</v>
      </c>
      <c r="E1672" s="119" t="s">
        <v>486</v>
      </c>
      <c r="F1672" s="119" t="s">
        <v>90</v>
      </c>
      <c r="G1672" s="119">
        <v>1</v>
      </c>
      <c r="H1672" s="119" t="s">
        <v>475</v>
      </c>
      <c r="I1672" s="119" t="s">
        <v>82</v>
      </c>
    </row>
    <row r="1673" spans="1:9" ht="13">
      <c r="A1673" s="118">
        <v>46185</v>
      </c>
      <c r="B1673" s="119">
        <v>7002881669</v>
      </c>
      <c r="C1673" s="119" t="s">
        <v>524</v>
      </c>
      <c r="D1673" s="119" t="s">
        <v>474</v>
      </c>
      <c r="E1673" s="119" t="s">
        <v>591</v>
      </c>
      <c r="F1673" s="119" t="s">
        <v>90</v>
      </c>
      <c r="G1673" s="119">
        <v>5</v>
      </c>
      <c r="H1673" s="119" t="s">
        <v>475</v>
      </c>
      <c r="I1673" s="119" t="s">
        <v>82</v>
      </c>
    </row>
    <row r="1674" spans="1:9" ht="13">
      <c r="A1674" s="118">
        <v>46185</v>
      </c>
      <c r="B1674" s="119">
        <v>7002909003</v>
      </c>
      <c r="C1674" s="119" t="s">
        <v>524</v>
      </c>
      <c r="D1674" s="119" t="s">
        <v>474</v>
      </c>
      <c r="E1674" s="119" t="s">
        <v>486</v>
      </c>
      <c r="F1674" s="119" t="s">
        <v>90</v>
      </c>
      <c r="G1674" s="119">
        <v>1</v>
      </c>
      <c r="H1674" s="119" t="s">
        <v>475</v>
      </c>
      <c r="I1674" s="119" t="s">
        <v>82</v>
      </c>
    </row>
    <row r="1675" spans="1:9" ht="13">
      <c r="A1675" s="118">
        <v>46185</v>
      </c>
      <c r="B1675" s="119">
        <v>7002904204</v>
      </c>
      <c r="C1675" s="119" t="s">
        <v>524</v>
      </c>
      <c r="D1675" s="119" t="s">
        <v>474</v>
      </c>
      <c r="E1675" s="119" t="s">
        <v>486</v>
      </c>
      <c r="F1675" s="119" t="s">
        <v>90</v>
      </c>
      <c r="G1675" s="119">
        <v>46</v>
      </c>
      <c r="H1675" s="119" t="s">
        <v>475</v>
      </c>
      <c r="I1675" s="119" t="s">
        <v>82</v>
      </c>
    </row>
    <row r="1676" spans="1:9" ht="13">
      <c r="A1676" s="118">
        <v>46185</v>
      </c>
      <c r="B1676" s="119">
        <v>7002904243</v>
      </c>
      <c r="C1676" s="119" t="s">
        <v>524</v>
      </c>
      <c r="D1676" s="119" t="s">
        <v>474</v>
      </c>
      <c r="E1676" s="119" t="s">
        <v>486</v>
      </c>
      <c r="F1676" s="119" t="s">
        <v>90</v>
      </c>
      <c r="G1676" s="119">
        <v>58</v>
      </c>
      <c r="H1676" s="119" t="s">
        <v>475</v>
      </c>
      <c r="I1676" s="119" t="s">
        <v>82</v>
      </c>
    </row>
    <row r="1677" spans="1:9" ht="13">
      <c r="A1677" s="118">
        <v>46185</v>
      </c>
      <c r="B1677" s="119">
        <v>7002921621</v>
      </c>
      <c r="C1677" s="119" t="s">
        <v>524</v>
      </c>
      <c r="D1677" s="119" t="s">
        <v>474</v>
      </c>
      <c r="E1677" s="119" t="s">
        <v>486</v>
      </c>
      <c r="F1677" s="119" t="s">
        <v>90</v>
      </c>
      <c r="G1677" s="119">
        <v>1</v>
      </c>
      <c r="H1677" s="119" t="s">
        <v>475</v>
      </c>
      <c r="I1677" s="119" t="s">
        <v>82</v>
      </c>
    </row>
    <row r="1678" spans="1:9" ht="13">
      <c r="A1678" s="118">
        <v>46185</v>
      </c>
      <c r="B1678" s="119">
        <v>7002922620</v>
      </c>
      <c r="C1678" s="119" t="s">
        <v>524</v>
      </c>
      <c r="D1678" s="119" t="s">
        <v>474</v>
      </c>
      <c r="E1678" s="119" t="s">
        <v>486</v>
      </c>
      <c r="F1678" s="119" t="s">
        <v>90</v>
      </c>
      <c r="G1678" s="119">
        <v>1</v>
      </c>
      <c r="H1678" s="119" t="s">
        <v>475</v>
      </c>
      <c r="I1678" s="119" t="s">
        <v>82</v>
      </c>
    </row>
    <row r="1679" spans="1:9" ht="13">
      <c r="A1679" s="118">
        <v>46185</v>
      </c>
      <c r="B1679" s="119">
        <v>7002928318</v>
      </c>
      <c r="C1679" s="119" t="s">
        <v>524</v>
      </c>
      <c r="D1679" s="119" t="s">
        <v>474</v>
      </c>
      <c r="E1679" s="119" t="s">
        <v>461</v>
      </c>
      <c r="F1679" s="119" t="s">
        <v>90</v>
      </c>
      <c r="G1679" s="119">
        <v>36</v>
      </c>
      <c r="H1679" s="119" t="s">
        <v>475</v>
      </c>
      <c r="I1679" s="119" t="s">
        <v>82</v>
      </c>
    </row>
    <row r="1680" spans="1:9" ht="13">
      <c r="A1680" s="118">
        <v>46185</v>
      </c>
      <c r="B1680" s="119">
        <v>7002928832</v>
      </c>
      <c r="C1680" s="119" t="s">
        <v>524</v>
      </c>
      <c r="D1680" s="119" t="s">
        <v>474</v>
      </c>
      <c r="E1680" s="119" t="s">
        <v>486</v>
      </c>
      <c r="F1680" s="119" t="s">
        <v>90</v>
      </c>
      <c r="G1680" s="119">
        <v>2</v>
      </c>
      <c r="H1680" s="119" t="s">
        <v>475</v>
      </c>
      <c r="I1680" s="119" t="s">
        <v>82</v>
      </c>
    </row>
    <row r="1681" spans="1:9" ht="13">
      <c r="A1681" s="118">
        <v>46185</v>
      </c>
      <c r="B1681" s="119">
        <v>7002952320</v>
      </c>
      <c r="C1681" s="119" t="s">
        <v>524</v>
      </c>
      <c r="D1681" s="119" t="s">
        <v>474</v>
      </c>
      <c r="E1681" s="119" t="s">
        <v>98</v>
      </c>
      <c r="F1681" s="119" t="s">
        <v>90</v>
      </c>
      <c r="G1681" s="119">
        <v>1</v>
      </c>
      <c r="H1681" s="119" t="s">
        <v>475</v>
      </c>
      <c r="I1681" s="119" t="s">
        <v>82</v>
      </c>
    </row>
    <row r="1682" spans="1:9" ht="13">
      <c r="A1682" s="118">
        <v>46185</v>
      </c>
      <c r="B1682" s="119">
        <v>7002952436</v>
      </c>
      <c r="C1682" s="119" t="s">
        <v>524</v>
      </c>
      <c r="D1682" s="119" t="s">
        <v>474</v>
      </c>
      <c r="E1682" s="119" t="s">
        <v>98</v>
      </c>
      <c r="F1682" s="119" t="s">
        <v>90</v>
      </c>
      <c r="G1682" s="119">
        <v>1</v>
      </c>
      <c r="H1682" s="119" t="s">
        <v>475</v>
      </c>
      <c r="I1682" s="119" t="s">
        <v>82</v>
      </c>
    </row>
    <row r="1683" spans="1:9" ht="13">
      <c r="A1683" s="118">
        <v>46185</v>
      </c>
      <c r="B1683" s="119">
        <v>7002955525</v>
      </c>
      <c r="C1683" s="119" t="s">
        <v>524</v>
      </c>
      <c r="D1683" s="119" t="s">
        <v>474</v>
      </c>
      <c r="E1683" s="119" t="s">
        <v>91</v>
      </c>
      <c r="F1683" s="119" t="s">
        <v>90</v>
      </c>
      <c r="G1683" s="119">
        <v>1</v>
      </c>
      <c r="H1683" s="119" t="s">
        <v>475</v>
      </c>
      <c r="I1683" s="119" t="s">
        <v>82</v>
      </c>
    </row>
    <row r="1684" spans="1:9" ht="13">
      <c r="A1684" s="118">
        <v>46185</v>
      </c>
      <c r="B1684" s="119">
        <v>7002950613</v>
      </c>
      <c r="C1684" s="119" t="s">
        <v>524</v>
      </c>
      <c r="D1684" s="119" t="s">
        <v>474</v>
      </c>
      <c r="E1684" s="119" t="s">
        <v>528</v>
      </c>
      <c r="F1684" s="119" t="s">
        <v>90</v>
      </c>
      <c r="G1684" s="119">
        <v>6</v>
      </c>
      <c r="H1684" s="119" t="s">
        <v>475</v>
      </c>
      <c r="I1684" s="119" t="s">
        <v>82</v>
      </c>
    </row>
    <row r="1685" spans="1:9" ht="13">
      <c r="A1685" s="118">
        <v>46185</v>
      </c>
      <c r="B1685" s="119">
        <v>7002731618</v>
      </c>
      <c r="C1685" s="119" t="s">
        <v>524</v>
      </c>
      <c r="D1685" s="119" t="s">
        <v>474</v>
      </c>
      <c r="E1685" s="119" t="s">
        <v>557</v>
      </c>
      <c r="F1685" s="119" t="s">
        <v>90</v>
      </c>
      <c r="G1685" s="119">
        <v>43</v>
      </c>
      <c r="H1685" s="119" t="s">
        <v>475</v>
      </c>
      <c r="I1685" s="119" t="s">
        <v>82</v>
      </c>
    </row>
    <row r="1686" spans="1:9" ht="13">
      <c r="A1686" s="118">
        <v>46185</v>
      </c>
      <c r="B1686" s="119">
        <v>7002953623</v>
      </c>
      <c r="C1686" s="119" t="s">
        <v>524</v>
      </c>
      <c r="D1686" s="119" t="s">
        <v>474</v>
      </c>
      <c r="E1686" s="119" t="s">
        <v>528</v>
      </c>
      <c r="F1686" s="119" t="s">
        <v>90</v>
      </c>
      <c r="G1686" s="119">
        <v>5</v>
      </c>
      <c r="H1686" s="119" t="s">
        <v>475</v>
      </c>
      <c r="I1686" s="119" t="s">
        <v>82</v>
      </c>
    </row>
    <row r="1687" spans="1:9" ht="13">
      <c r="A1687" s="118">
        <v>46185</v>
      </c>
      <c r="B1687" s="119">
        <v>7002956763</v>
      </c>
      <c r="C1687" s="119" t="s">
        <v>524</v>
      </c>
      <c r="D1687" s="119" t="s">
        <v>474</v>
      </c>
      <c r="E1687" s="119" t="s">
        <v>98</v>
      </c>
      <c r="F1687" s="119" t="s">
        <v>90</v>
      </c>
      <c r="G1687" s="119">
        <v>7</v>
      </c>
      <c r="H1687" s="119" t="s">
        <v>475</v>
      </c>
      <c r="I1687" s="119" t="s">
        <v>82</v>
      </c>
    </row>
    <row r="1688" spans="1:9" ht="13">
      <c r="A1688" s="118">
        <v>46185</v>
      </c>
      <c r="B1688" s="119">
        <v>7002724648</v>
      </c>
      <c r="C1688" s="119" t="s">
        <v>624</v>
      </c>
      <c r="D1688" s="119" t="s">
        <v>474</v>
      </c>
      <c r="E1688" s="119" t="s">
        <v>488</v>
      </c>
      <c r="F1688" s="119" t="s">
        <v>90</v>
      </c>
      <c r="G1688" s="119">
        <v>2</v>
      </c>
      <c r="H1688" s="119" t="s">
        <v>475</v>
      </c>
      <c r="I1688" s="119" t="s">
        <v>503</v>
      </c>
    </row>
    <row r="1689" spans="1:9" ht="13">
      <c r="A1689" s="118">
        <v>46185</v>
      </c>
      <c r="B1689" s="119">
        <v>7002950987</v>
      </c>
      <c r="C1689" s="119" t="s">
        <v>524</v>
      </c>
      <c r="D1689" s="119" t="s">
        <v>474</v>
      </c>
      <c r="E1689" s="119" t="s">
        <v>98</v>
      </c>
      <c r="F1689" s="119" t="s">
        <v>90</v>
      </c>
      <c r="G1689" s="119">
        <v>5</v>
      </c>
      <c r="H1689" s="119" t="s">
        <v>475</v>
      </c>
      <c r="I1689" s="119" t="s">
        <v>82</v>
      </c>
    </row>
    <row r="1690" spans="1:9" ht="13">
      <c r="A1690" s="118">
        <v>46185</v>
      </c>
      <c r="B1690" s="119">
        <v>7002943949</v>
      </c>
      <c r="C1690" s="119" t="s">
        <v>524</v>
      </c>
      <c r="D1690" s="119" t="s">
        <v>474</v>
      </c>
      <c r="E1690" s="119" t="s">
        <v>91</v>
      </c>
      <c r="F1690" s="119" t="s">
        <v>90</v>
      </c>
      <c r="G1690" s="119">
        <v>2</v>
      </c>
      <c r="H1690" s="119" t="s">
        <v>475</v>
      </c>
      <c r="I1690" s="119" t="s">
        <v>82</v>
      </c>
    </row>
    <row r="1691" spans="1:9" ht="13">
      <c r="A1691" s="118">
        <v>46185</v>
      </c>
      <c r="B1691" s="119">
        <v>7002961001</v>
      </c>
      <c r="C1691" s="119" t="s">
        <v>524</v>
      </c>
      <c r="D1691" s="119" t="s">
        <v>474</v>
      </c>
      <c r="E1691" s="119" t="s">
        <v>98</v>
      </c>
      <c r="F1691" s="119" t="s">
        <v>90</v>
      </c>
      <c r="G1691" s="119">
        <v>20</v>
      </c>
      <c r="H1691" s="119" t="s">
        <v>475</v>
      </c>
      <c r="I1691" s="119" t="s">
        <v>82</v>
      </c>
    </row>
    <row r="1692" spans="1:9" ht="13">
      <c r="A1692" s="118">
        <v>46185</v>
      </c>
      <c r="B1692" s="119">
        <v>7002953991</v>
      </c>
      <c r="C1692" s="119" t="s">
        <v>524</v>
      </c>
      <c r="D1692" s="119" t="s">
        <v>474</v>
      </c>
      <c r="E1692" s="119" t="s">
        <v>91</v>
      </c>
      <c r="F1692" s="119" t="s">
        <v>90</v>
      </c>
      <c r="G1692" s="119">
        <v>1</v>
      </c>
      <c r="H1692" s="119" t="s">
        <v>475</v>
      </c>
      <c r="I1692" s="119" t="s">
        <v>82</v>
      </c>
    </row>
    <row r="1693" spans="1:9" ht="13">
      <c r="A1693" s="118">
        <v>46185</v>
      </c>
      <c r="B1693" s="119">
        <v>7002670009</v>
      </c>
      <c r="C1693" s="119" t="s">
        <v>524</v>
      </c>
      <c r="D1693" s="119" t="s">
        <v>474</v>
      </c>
      <c r="E1693" s="119" t="s">
        <v>488</v>
      </c>
      <c r="F1693" s="119" t="s">
        <v>90</v>
      </c>
      <c r="G1693" s="119">
        <v>26</v>
      </c>
      <c r="H1693" s="119" t="s">
        <v>475</v>
      </c>
      <c r="I1693" s="119" t="s">
        <v>82</v>
      </c>
    </row>
    <row r="1694" spans="1:9" ht="13">
      <c r="A1694" s="118">
        <v>46185</v>
      </c>
      <c r="B1694" s="119">
        <v>7002636782</v>
      </c>
      <c r="C1694" s="119" t="s">
        <v>624</v>
      </c>
      <c r="D1694" s="119" t="s">
        <v>474</v>
      </c>
      <c r="E1694" s="119" t="s">
        <v>481</v>
      </c>
      <c r="F1694" s="119" t="s">
        <v>90</v>
      </c>
      <c r="G1694" s="119">
        <v>5</v>
      </c>
      <c r="H1694" s="119" t="s">
        <v>475</v>
      </c>
      <c r="I1694" s="119" t="s">
        <v>503</v>
      </c>
    </row>
    <row r="1695" spans="1:9" ht="13">
      <c r="A1695" s="118">
        <v>46185</v>
      </c>
      <c r="B1695" s="119">
        <v>7002923676</v>
      </c>
      <c r="C1695" s="119" t="s">
        <v>524</v>
      </c>
      <c r="D1695" s="119" t="s">
        <v>474</v>
      </c>
      <c r="E1695" s="119" t="s">
        <v>85</v>
      </c>
      <c r="F1695" s="119" t="s">
        <v>90</v>
      </c>
      <c r="G1695" s="119">
        <v>17</v>
      </c>
      <c r="H1695" s="119" t="s">
        <v>475</v>
      </c>
      <c r="I1695" s="119" t="s">
        <v>82</v>
      </c>
    </row>
    <row r="1696" spans="1:9" ht="13">
      <c r="A1696" s="118">
        <v>46185</v>
      </c>
      <c r="B1696" s="119">
        <v>7002946840</v>
      </c>
      <c r="C1696" s="119" t="s">
        <v>524</v>
      </c>
      <c r="D1696" s="119" t="s">
        <v>474</v>
      </c>
      <c r="E1696" s="119" t="s">
        <v>91</v>
      </c>
      <c r="F1696" s="119" t="s">
        <v>90</v>
      </c>
      <c r="G1696" s="119">
        <v>1</v>
      </c>
      <c r="H1696" s="119" t="s">
        <v>475</v>
      </c>
      <c r="I1696" s="119" t="s">
        <v>82</v>
      </c>
    </row>
    <row r="1697" spans="1:9" ht="13">
      <c r="A1697" s="118">
        <v>46185</v>
      </c>
      <c r="B1697" s="119">
        <v>7002954974</v>
      </c>
      <c r="C1697" s="119" t="s">
        <v>524</v>
      </c>
      <c r="D1697" s="119" t="s">
        <v>474</v>
      </c>
      <c r="E1697" s="119" t="s">
        <v>91</v>
      </c>
      <c r="F1697" s="119" t="s">
        <v>90</v>
      </c>
      <c r="G1697" s="119">
        <v>1</v>
      </c>
      <c r="H1697" s="119" t="s">
        <v>475</v>
      </c>
      <c r="I1697" s="119" t="s">
        <v>82</v>
      </c>
    </row>
    <row r="1698" spans="1:9" ht="13">
      <c r="A1698" s="118">
        <v>46185</v>
      </c>
      <c r="B1698" s="119">
        <v>7002941813</v>
      </c>
      <c r="C1698" s="119" t="s">
        <v>524</v>
      </c>
      <c r="D1698" s="119" t="s">
        <v>474</v>
      </c>
      <c r="E1698" s="119" t="s">
        <v>91</v>
      </c>
      <c r="F1698" s="119" t="s">
        <v>90</v>
      </c>
      <c r="G1698" s="119">
        <v>2</v>
      </c>
      <c r="H1698" s="119" t="s">
        <v>475</v>
      </c>
      <c r="I1698" s="119" t="s">
        <v>82</v>
      </c>
    </row>
    <row r="1699" spans="1:9" ht="13">
      <c r="A1699" s="118">
        <v>46185</v>
      </c>
      <c r="B1699" s="119">
        <v>7002948243</v>
      </c>
      <c r="C1699" s="119" t="s">
        <v>524</v>
      </c>
      <c r="D1699" s="119" t="s">
        <v>474</v>
      </c>
      <c r="E1699" s="119" t="s">
        <v>91</v>
      </c>
      <c r="F1699" s="119" t="s">
        <v>90</v>
      </c>
      <c r="G1699" s="119">
        <v>4</v>
      </c>
      <c r="H1699" s="119" t="s">
        <v>475</v>
      </c>
      <c r="I1699" s="119" t="s">
        <v>82</v>
      </c>
    </row>
    <row r="1700" spans="1:9" ht="13">
      <c r="A1700" s="118">
        <v>46185</v>
      </c>
      <c r="B1700" s="119">
        <v>7002944298</v>
      </c>
      <c r="C1700" s="119" t="s">
        <v>524</v>
      </c>
      <c r="D1700" s="119" t="s">
        <v>474</v>
      </c>
      <c r="E1700" s="119" t="s">
        <v>98</v>
      </c>
      <c r="F1700" s="119" t="s">
        <v>90</v>
      </c>
      <c r="G1700" s="119">
        <v>12</v>
      </c>
      <c r="H1700" s="119" t="s">
        <v>475</v>
      </c>
      <c r="I1700" s="119" t="s">
        <v>82</v>
      </c>
    </row>
    <row r="1701" spans="1:9" ht="13">
      <c r="A1701" s="118">
        <v>46185</v>
      </c>
      <c r="B1701" s="119">
        <v>7002942812</v>
      </c>
      <c r="C1701" s="119" t="s">
        <v>524</v>
      </c>
      <c r="D1701" s="119" t="s">
        <v>474</v>
      </c>
      <c r="E1701" s="119" t="s">
        <v>91</v>
      </c>
      <c r="F1701" s="119" t="s">
        <v>90</v>
      </c>
      <c r="G1701" s="119">
        <v>4</v>
      </c>
      <c r="H1701" s="119" t="s">
        <v>475</v>
      </c>
      <c r="I1701" s="119" t="s">
        <v>82</v>
      </c>
    </row>
    <row r="1702" spans="1:9" ht="13">
      <c r="A1702" s="118">
        <v>46185</v>
      </c>
      <c r="B1702" s="119">
        <v>7002939864</v>
      </c>
      <c r="C1702" s="119" t="s">
        <v>524</v>
      </c>
      <c r="D1702" s="119" t="s">
        <v>474</v>
      </c>
      <c r="E1702" s="119" t="s">
        <v>486</v>
      </c>
      <c r="F1702" s="119" t="s">
        <v>90</v>
      </c>
      <c r="G1702" s="119">
        <v>15</v>
      </c>
      <c r="H1702" s="119" t="s">
        <v>475</v>
      </c>
      <c r="I1702" s="119" t="s">
        <v>82</v>
      </c>
    </row>
    <row r="1703" spans="1:9" ht="13">
      <c r="A1703" s="118">
        <v>46185</v>
      </c>
      <c r="B1703" s="119">
        <v>7002927896</v>
      </c>
      <c r="C1703" s="119" t="s">
        <v>524</v>
      </c>
      <c r="D1703" s="119" t="s">
        <v>474</v>
      </c>
      <c r="E1703" s="119" t="s">
        <v>461</v>
      </c>
      <c r="F1703" s="119" t="s">
        <v>90</v>
      </c>
      <c r="G1703" s="119">
        <v>1</v>
      </c>
      <c r="H1703" s="119" t="s">
        <v>475</v>
      </c>
      <c r="I1703" s="119" t="s">
        <v>82</v>
      </c>
    </row>
    <row r="1704" spans="1:9" ht="13">
      <c r="A1704" s="118">
        <v>46185</v>
      </c>
      <c r="B1704" s="119">
        <v>7002923900</v>
      </c>
      <c r="C1704" s="119" t="s">
        <v>524</v>
      </c>
      <c r="D1704" s="119" t="s">
        <v>474</v>
      </c>
      <c r="E1704" s="119" t="s">
        <v>461</v>
      </c>
      <c r="F1704" s="119" t="s">
        <v>90</v>
      </c>
      <c r="G1704" s="119">
        <v>2</v>
      </c>
      <c r="H1704" s="119" t="s">
        <v>475</v>
      </c>
      <c r="I1704" s="119" t="s">
        <v>82</v>
      </c>
    </row>
    <row r="1705" spans="1:9" ht="13">
      <c r="A1705" s="118">
        <v>46185</v>
      </c>
      <c r="B1705" s="119">
        <v>7002921861</v>
      </c>
      <c r="C1705" s="119" t="s">
        <v>524</v>
      </c>
      <c r="D1705" s="119" t="s">
        <v>474</v>
      </c>
      <c r="E1705" s="119" t="s">
        <v>461</v>
      </c>
      <c r="F1705" s="119" t="s">
        <v>90</v>
      </c>
      <c r="G1705" s="119">
        <v>2</v>
      </c>
      <c r="H1705" s="119" t="s">
        <v>475</v>
      </c>
      <c r="I1705" s="119" t="s">
        <v>82</v>
      </c>
    </row>
    <row r="1706" spans="1:9" ht="13">
      <c r="A1706" s="118">
        <v>46185</v>
      </c>
      <c r="B1706" s="119">
        <v>7002943316</v>
      </c>
      <c r="C1706" s="119" t="s">
        <v>524</v>
      </c>
      <c r="D1706" s="119" t="s">
        <v>476</v>
      </c>
      <c r="E1706" s="119" t="s">
        <v>98</v>
      </c>
      <c r="F1706" s="119" t="s">
        <v>90</v>
      </c>
      <c r="G1706" s="119">
        <v>11</v>
      </c>
      <c r="H1706" s="119" t="s">
        <v>475</v>
      </c>
      <c r="I1706" s="119" t="s">
        <v>82</v>
      </c>
    </row>
    <row r="1707" spans="1:9" ht="13">
      <c r="A1707" s="118">
        <v>46185</v>
      </c>
      <c r="B1707" s="119">
        <v>7002941423</v>
      </c>
      <c r="C1707" s="119" t="s">
        <v>524</v>
      </c>
      <c r="D1707" s="119" t="s">
        <v>476</v>
      </c>
      <c r="E1707" s="119" t="s">
        <v>454</v>
      </c>
      <c r="F1707" s="119" t="s">
        <v>90</v>
      </c>
      <c r="G1707" s="119">
        <v>0</v>
      </c>
      <c r="H1707" s="119" t="s">
        <v>475</v>
      </c>
      <c r="I1707" s="119" t="s">
        <v>82</v>
      </c>
    </row>
    <row r="1708" spans="1:9" ht="13">
      <c r="A1708" s="118">
        <v>46185</v>
      </c>
      <c r="B1708" s="119">
        <v>7002949439</v>
      </c>
      <c r="C1708" s="119" t="s">
        <v>524</v>
      </c>
      <c r="D1708" s="119" t="s">
        <v>474</v>
      </c>
      <c r="E1708" s="119" t="s">
        <v>528</v>
      </c>
      <c r="F1708" s="119" t="s">
        <v>90</v>
      </c>
      <c r="G1708" s="119">
        <v>4</v>
      </c>
      <c r="H1708" s="119" t="s">
        <v>475</v>
      </c>
      <c r="I1708" s="119" t="s">
        <v>82</v>
      </c>
    </row>
    <row r="1709" spans="1:9" ht="13">
      <c r="A1709" s="118">
        <v>46185</v>
      </c>
      <c r="B1709" s="119">
        <v>7002943413</v>
      </c>
      <c r="C1709" s="119" t="s">
        <v>524</v>
      </c>
      <c r="D1709" s="119" t="s">
        <v>479</v>
      </c>
      <c r="E1709" s="119" t="s">
        <v>103</v>
      </c>
      <c r="F1709" s="119" t="s">
        <v>90</v>
      </c>
      <c r="G1709" s="119">
        <v>44</v>
      </c>
      <c r="H1709" s="119" t="s">
        <v>475</v>
      </c>
      <c r="I1709" s="119" t="s">
        <v>82</v>
      </c>
    </row>
    <row r="1710" spans="1:9" ht="13">
      <c r="A1710" s="118">
        <v>46185</v>
      </c>
      <c r="B1710" s="119">
        <v>7002942519</v>
      </c>
      <c r="C1710" s="119" t="s">
        <v>524</v>
      </c>
      <c r="D1710" s="119" t="s">
        <v>474</v>
      </c>
      <c r="E1710" s="119" t="s">
        <v>91</v>
      </c>
      <c r="F1710" s="119" t="s">
        <v>90</v>
      </c>
      <c r="G1710" s="119">
        <v>2</v>
      </c>
      <c r="H1710" s="119" t="s">
        <v>475</v>
      </c>
      <c r="I1710" s="119" t="s">
        <v>82</v>
      </c>
    </row>
    <row r="1711" spans="1:9" ht="13">
      <c r="A1711" s="118">
        <v>46185</v>
      </c>
      <c r="B1711" s="119">
        <v>7002941468</v>
      </c>
      <c r="C1711" s="119" t="s">
        <v>524</v>
      </c>
      <c r="D1711" s="119" t="s">
        <v>474</v>
      </c>
      <c r="E1711" s="119" t="s">
        <v>91</v>
      </c>
      <c r="F1711" s="119" t="s">
        <v>90</v>
      </c>
      <c r="G1711" s="119">
        <v>1</v>
      </c>
      <c r="H1711" s="119" t="s">
        <v>475</v>
      </c>
      <c r="I1711" s="119" t="s">
        <v>82</v>
      </c>
    </row>
    <row r="1712" spans="1:9" ht="13">
      <c r="A1712" s="118">
        <v>46185</v>
      </c>
      <c r="B1712" s="119">
        <v>7002940544</v>
      </c>
      <c r="C1712" s="119" t="s">
        <v>524</v>
      </c>
      <c r="D1712" s="119" t="s">
        <v>474</v>
      </c>
      <c r="E1712" s="119" t="s">
        <v>98</v>
      </c>
      <c r="F1712" s="119" t="s">
        <v>90</v>
      </c>
      <c r="G1712" s="119">
        <v>2</v>
      </c>
      <c r="H1712" s="119" t="s">
        <v>475</v>
      </c>
      <c r="I1712" s="119" t="s">
        <v>82</v>
      </c>
    </row>
    <row r="1713" spans="1:9" ht="13">
      <c r="A1713" s="118">
        <v>46185</v>
      </c>
      <c r="B1713" s="119">
        <v>7002948486</v>
      </c>
      <c r="C1713" s="119" t="s">
        <v>524</v>
      </c>
      <c r="D1713" s="119" t="s">
        <v>495</v>
      </c>
      <c r="E1713" s="119" t="s">
        <v>103</v>
      </c>
      <c r="F1713" s="119" t="s">
        <v>90</v>
      </c>
      <c r="G1713" s="119">
        <v>5</v>
      </c>
      <c r="H1713" s="119" t="s">
        <v>475</v>
      </c>
      <c r="I1713" s="119" t="s">
        <v>82</v>
      </c>
    </row>
    <row r="1714" spans="1:9" ht="13">
      <c r="A1714" s="118">
        <v>46185</v>
      </c>
      <c r="B1714" s="119">
        <v>7002942535</v>
      </c>
      <c r="C1714" s="119" t="s">
        <v>524</v>
      </c>
      <c r="D1714" s="119" t="s">
        <v>474</v>
      </c>
      <c r="E1714" s="119" t="s">
        <v>98</v>
      </c>
      <c r="F1714" s="119" t="s">
        <v>90</v>
      </c>
      <c r="G1714" s="119">
        <v>3</v>
      </c>
      <c r="H1714" s="119" t="s">
        <v>475</v>
      </c>
      <c r="I1714" s="119" t="s">
        <v>82</v>
      </c>
    </row>
    <row r="1715" spans="1:9" ht="13">
      <c r="A1715" s="118">
        <v>46185</v>
      </c>
      <c r="B1715" s="119">
        <v>7002947524</v>
      </c>
      <c r="C1715" s="119" t="s">
        <v>524</v>
      </c>
      <c r="D1715" s="119" t="s">
        <v>474</v>
      </c>
      <c r="E1715" s="119" t="s">
        <v>91</v>
      </c>
      <c r="F1715" s="119" t="s">
        <v>90</v>
      </c>
      <c r="G1715" s="119">
        <v>1</v>
      </c>
      <c r="H1715" s="119" t="s">
        <v>475</v>
      </c>
      <c r="I1715" s="119" t="s">
        <v>82</v>
      </c>
    </row>
    <row r="1716" spans="1:9" ht="13">
      <c r="A1716" s="118">
        <v>46185</v>
      </c>
      <c r="B1716" s="119">
        <v>7002940469</v>
      </c>
      <c r="C1716" s="119" t="s">
        <v>524</v>
      </c>
      <c r="D1716" s="119" t="s">
        <v>474</v>
      </c>
      <c r="E1716" s="119" t="s">
        <v>98</v>
      </c>
      <c r="F1716" s="119" t="s">
        <v>90</v>
      </c>
      <c r="G1716" s="119">
        <v>16</v>
      </c>
      <c r="H1716" s="119" t="s">
        <v>475</v>
      </c>
      <c r="I1716" s="119" t="s">
        <v>82</v>
      </c>
    </row>
    <row r="1717" spans="1:9" ht="13">
      <c r="A1717" s="118">
        <v>46185</v>
      </c>
      <c r="B1717" s="119">
        <v>7002946523</v>
      </c>
      <c r="C1717" s="119" t="s">
        <v>524</v>
      </c>
      <c r="D1717" s="119" t="s">
        <v>474</v>
      </c>
      <c r="E1717" s="119" t="s">
        <v>91</v>
      </c>
      <c r="F1717" s="119" t="s">
        <v>90</v>
      </c>
      <c r="G1717" s="119">
        <v>12</v>
      </c>
      <c r="H1717" s="119" t="s">
        <v>475</v>
      </c>
      <c r="I1717" s="119" t="s">
        <v>82</v>
      </c>
    </row>
    <row r="1718" spans="1:9" ht="13">
      <c r="A1718" s="118">
        <v>46185</v>
      </c>
      <c r="B1718" s="119">
        <v>7002922887</v>
      </c>
      <c r="C1718" s="119" t="s">
        <v>631</v>
      </c>
      <c r="D1718" s="119" t="s">
        <v>476</v>
      </c>
      <c r="E1718" s="119" t="s">
        <v>98</v>
      </c>
      <c r="F1718" s="119" t="s">
        <v>102</v>
      </c>
      <c r="G1718" s="119">
        <v>0</v>
      </c>
      <c r="H1718" s="119" t="s">
        <v>472</v>
      </c>
      <c r="I1718" s="119" t="s">
        <v>505</v>
      </c>
    </row>
    <row r="1719" spans="1:9" ht="13">
      <c r="A1719" s="118">
        <v>46185</v>
      </c>
      <c r="B1719" s="119">
        <v>7002909573</v>
      </c>
      <c r="C1719" s="119" t="s">
        <v>632</v>
      </c>
      <c r="D1719" s="119" t="s">
        <v>489</v>
      </c>
      <c r="E1719" s="119" t="s">
        <v>103</v>
      </c>
      <c r="F1719" s="119" t="s">
        <v>96</v>
      </c>
      <c r="G1719" s="119">
        <v>1</v>
      </c>
      <c r="H1719" s="119" t="s">
        <v>472</v>
      </c>
      <c r="I1719" s="119" t="s">
        <v>505</v>
      </c>
    </row>
    <row r="1720" spans="1:9" ht="13">
      <c r="A1720" s="118">
        <v>46185</v>
      </c>
      <c r="B1720" s="119">
        <v>7002894061</v>
      </c>
      <c r="C1720" s="119" t="s">
        <v>632</v>
      </c>
      <c r="D1720" s="119" t="s">
        <v>482</v>
      </c>
      <c r="E1720" s="119" t="s">
        <v>98</v>
      </c>
      <c r="F1720" s="119" t="s">
        <v>96</v>
      </c>
      <c r="G1720" s="119">
        <v>2</v>
      </c>
      <c r="H1720" s="119" t="s">
        <v>472</v>
      </c>
      <c r="I1720" s="119" t="s">
        <v>82</v>
      </c>
    </row>
    <row r="1721" spans="1:9" ht="13">
      <c r="A1721" s="109"/>
      <c r="B1721" s="110"/>
      <c r="C1721" s="110"/>
      <c r="D1721" s="110"/>
      <c r="E1721" s="110"/>
      <c r="F1721" s="110"/>
      <c r="G1721" s="110"/>
      <c r="H1721" s="110"/>
      <c r="I1721" s="110"/>
    </row>
    <row r="1722" spans="1:9" ht="13">
      <c r="A1722" s="109"/>
      <c r="B1722" s="110"/>
      <c r="C1722" s="110"/>
      <c r="D1722" s="110"/>
      <c r="E1722" s="110"/>
      <c r="F1722" s="110"/>
      <c r="G1722" s="110"/>
      <c r="H1722" s="110"/>
      <c r="I1722" s="110"/>
    </row>
    <row r="1723" spans="1:9" ht="13">
      <c r="A1723" s="105" t="s">
        <v>1</v>
      </c>
      <c r="B1723" s="105" t="s">
        <v>445</v>
      </c>
      <c r="C1723" s="105" t="s">
        <v>446</v>
      </c>
      <c r="D1723" s="105" t="s">
        <v>465</v>
      </c>
      <c r="E1723" s="105" t="s">
        <v>70</v>
      </c>
      <c r="F1723" s="105" t="s">
        <v>447</v>
      </c>
      <c r="G1723" s="105" t="s">
        <v>71</v>
      </c>
      <c r="H1723" s="105" t="s">
        <v>466</v>
      </c>
      <c r="I1723" s="105" t="s">
        <v>448</v>
      </c>
    </row>
    <row r="1724" spans="1:9" ht="13">
      <c r="A1724" s="118">
        <v>46186</v>
      </c>
      <c r="B1724" s="15">
        <v>7002894061</v>
      </c>
      <c r="C1724" s="15" t="s">
        <v>468</v>
      </c>
      <c r="D1724" s="15" t="s">
        <v>482</v>
      </c>
      <c r="E1724" s="15" t="s">
        <v>98</v>
      </c>
      <c r="F1724" s="15" t="s">
        <v>96</v>
      </c>
      <c r="G1724" s="15">
        <v>2</v>
      </c>
      <c r="H1724" s="119" t="s">
        <v>472</v>
      </c>
      <c r="I1724" s="15" t="s">
        <v>82</v>
      </c>
    </row>
    <row r="1725" spans="1:9" ht="13">
      <c r="A1725" s="118">
        <v>46186</v>
      </c>
      <c r="B1725" s="15">
        <v>7002922887</v>
      </c>
      <c r="C1725" s="15" t="s">
        <v>633</v>
      </c>
      <c r="D1725" s="15" t="s">
        <v>476</v>
      </c>
      <c r="E1725" s="15" t="s">
        <v>98</v>
      </c>
      <c r="F1725" s="15" t="s">
        <v>102</v>
      </c>
      <c r="G1725" s="15">
        <v>0</v>
      </c>
      <c r="H1725" s="119" t="s">
        <v>472</v>
      </c>
      <c r="I1725" s="15" t="s">
        <v>505</v>
      </c>
    </row>
    <row r="1726" spans="1:9" ht="13">
      <c r="A1726" s="118">
        <v>46186</v>
      </c>
      <c r="B1726" s="15">
        <v>7002909573</v>
      </c>
      <c r="C1726" s="15" t="s">
        <v>589</v>
      </c>
      <c r="D1726" s="15" t="s">
        <v>489</v>
      </c>
      <c r="E1726" s="15" t="s">
        <v>103</v>
      </c>
      <c r="F1726" s="15" t="s">
        <v>96</v>
      </c>
      <c r="G1726" s="15">
        <v>1</v>
      </c>
      <c r="H1726" s="119" t="s">
        <v>472</v>
      </c>
      <c r="I1726" s="15" t="s">
        <v>505</v>
      </c>
    </row>
    <row r="1727" spans="1:9" ht="13">
      <c r="A1727" s="109"/>
      <c r="B1727" s="110"/>
      <c r="C1727" s="110"/>
      <c r="D1727" s="110"/>
      <c r="E1727" s="110"/>
      <c r="F1727" s="110"/>
      <c r="G1727" s="110"/>
      <c r="H1727" s="110"/>
      <c r="I1727" s="110"/>
    </row>
    <row r="1728" spans="1:9" ht="13">
      <c r="A1728" s="109"/>
      <c r="B1728" s="110"/>
      <c r="C1728" s="110"/>
      <c r="D1728" s="110"/>
      <c r="E1728" s="110"/>
      <c r="F1728" s="110"/>
      <c r="G1728" s="110"/>
      <c r="H1728" s="110"/>
      <c r="I1728" s="110"/>
    </row>
    <row r="1729" spans="1:15" ht="13">
      <c r="A1729" s="105" t="s">
        <v>1</v>
      </c>
      <c r="B1729" s="105" t="s">
        <v>445</v>
      </c>
      <c r="C1729" s="105" t="s">
        <v>446</v>
      </c>
      <c r="D1729" s="105" t="s">
        <v>465</v>
      </c>
      <c r="E1729" s="105" t="s">
        <v>70</v>
      </c>
      <c r="F1729" s="105" t="s">
        <v>447</v>
      </c>
      <c r="G1729" s="105" t="s">
        <v>71</v>
      </c>
      <c r="H1729" s="105" t="s">
        <v>466</v>
      </c>
      <c r="I1729" s="105" t="s">
        <v>448</v>
      </c>
    </row>
    <row r="1730" spans="1:15" ht="13">
      <c r="A1730" s="118">
        <v>46188</v>
      </c>
      <c r="B1730" s="119">
        <v>7003011511</v>
      </c>
      <c r="C1730" s="119" t="s">
        <v>634</v>
      </c>
      <c r="D1730" s="119" t="s">
        <v>515</v>
      </c>
      <c r="E1730" s="119" t="s">
        <v>470</v>
      </c>
      <c r="F1730" s="119" t="s">
        <v>118</v>
      </c>
      <c r="G1730" s="77">
        <v>4</v>
      </c>
      <c r="H1730" s="77" t="s">
        <v>472</v>
      </c>
      <c r="I1730" s="77" t="s">
        <v>82</v>
      </c>
    </row>
    <row r="1731" spans="1:15" ht="14">
      <c r="A1731" s="118">
        <v>46188</v>
      </c>
      <c r="B1731" s="119">
        <v>7003037072</v>
      </c>
      <c r="C1731" s="119" t="s">
        <v>635</v>
      </c>
      <c r="D1731" s="119" t="s">
        <v>489</v>
      </c>
      <c r="E1731" s="119" t="s">
        <v>470</v>
      </c>
      <c r="F1731" s="119" t="s">
        <v>96</v>
      </c>
      <c r="G1731" s="77">
        <v>2</v>
      </c>
      <c r="H1731" s="77" t="s">
        <v>472</v>
      </c>
      <c r="I1731" s="77" t="s">
        <v>82</v>
      </c>
      <c r="K1731" s="218">
        <v>46188</v>
      </c>
      <c r="L1731" s="196"/>
      <c r="M1731" s="196"/>
      <c r="N1731" s="196"/>
      <c r="O1731" s="197"/>
    </row>
    <row r="1732" spans="1:15" ht="14">
      <c r="A1732" s="118">
        <v>46188</v>
      </c>
      <c r="B1732" s="119">
        <v>7003036124</v>
      </c>
      <c r="C1732" s="119" t="s">
        <v>635</v>
      </c>
      <c r="D1732" s="119" t="s">
        <v>489</v>
      </c>
      <c r="E1732" s="119" t="s">
        <v>470</v>
      </c>
      <c r="F1732" s="119" t="s">
        <v>96</v>
      </c>
      <c r="G1732" s="77">
        <v>1</v>
      </c>
      <c r="H1732" s="77" t="s">
        <v>472</v>
      </c>
      <c r="I1732" s="77" t="s">
        <v>82</v>
      </c>
      <c r="K1732" s="54" t="s">
        <v>529</v>
      </c>
      <c r="L1732" s="54" t="s">
        <v>74</v>
      </c>
      <c r="M1732" s="54"/>
      <c r="N1732" s="54"/>
      <c r="O1732" s="54"/>
    </row>
    <row r="1733" spans="1:15" ht="14">
      <c r="A1733" s="118">
        <v>46188</v>
      </c>
      <c r="B1733" s="119">
        <v>7002949926</v>
      </c>
      <c r="C1733" s="119" t="s">
        <v>635</v>
      </c>
      <c r="D1733" s="119" t="s">
        <v>489</v>
      </c>
      <c r="E1733" s="119" t="s">
        <v>103</v>
      </c>
      <c r="F1733" s="119" t="s">
        <v>108</v>
      </c>
      <c r="G1733" s="77">
        <v>8</v>
      </c>
      <c r="H1733" s="77" t="s">
        <v>472</v>
      </c>
      <c r="I1733" s="77" t="s">
        <v>505</v>
      </c>
      <c r="K1733" s="54" t="s">
        <v>62</v>
      </c>
      <c r="L1733" s="54" t="s">
        <v>503</v>
      </c>
      <c r="M1733" s="54" t="s">
        <v>82</v>
      </c>
      <c r="N1733" s="54" t="s">
        <v>505</v>
      </c>
      <c r="O1733" s="54" t="s">
        <v>84</v>
      </c>
    </row>
    <row r="1734" spans="1:15" ht="14">
      <c r="A1734" s="118">
        <v>46188</v>
      </c>
      <c r="B1734" s="119">
        <v>7002922887</v>
      </c>
      <c r="C1734" s="119" t="s">
        <v>636</v>
      </c>
      <c r="D1734" s="119" t="s">
        <v>476</v>
      </c>
      <c r="E1734" s="119" t="s">
        <v>98</v>
      </c>
      <c r="F1734" s="119" t="s">
        <v>102</v>
      </c>
      <c r="G1734" s="77">
        <v>0</v>
      </c>
      <c r="H1734" s="77" t="s">
        <v>472</v>
      </c>
      <c r="I1734" s="77" t="s">
        <v>503</v>
      </c>
      <c r="K1734" s="97" t="s">
        <v>475</v>
      </c>
      <c r="L1734" s="97">
        <v>1</v>
      </c>
      <c r="M1734" s="97">
        <v>261</v>
      </c>
      <c r="N1734" s="97">
        <v>3</v>
      </c>
      <c r="O1734" s="97">
        <v>265</v>
      </c>
    </row>
    <row r="1735" spans="1:15" ht="14">
      <c r="A1735" s="118">
        <v>46188</v>
      </c>
      <c r="B1735" s="119">
        <v>7002967014</v>
      </c>
      <c r="C1735" s="119" t="s">
        <v>637</v>
      </c>
      <c r="D1735" s="119" t="s">
        <v>474</v>
      </c>
      <c r="E1735" s="119" t="s">
        <v>481</v>
      </c>
      <c r="F1735" s="119" t="s">
        <v>90</v>
      </c>
      <c r="G1735" s="77">
        <v>16</v>
      </c>
      <c r="H1735" s="77" t="s">
        <v>475</v>
      </c>
      <c r="I1735" s="77" t="s">
        <v>82</v>
      </c>
      <c r="K1735" s="16" t="s">
        <v>637</v>
      </c>
      <c r="L1735" s="16"/>
      <c r="M1735" s="16">
        <v>261</v>
      </c>
      <c r="N1735" s="16">
        <v>2</v>
      </c>
      <c r="O1735" s="16">
        <v>263</v>
      </c>
    </row>
    <row r="1736" spans="1:15" ht="14">
      <c r="A1736" s="118">
        <v>46188</v>
      </c>
      <c r="B1736" s="119">
        <v>7003012801</v>
      </c>
      <c r="C1736" s="119" t="s">
        <v>637</v>
      </c>
      <c r="D1736" s="119" t="s">
        <v>474</v>
      </c>
      <c r="E1736" s="119" t="s">
        <v>91</v>
      </c>
      <c r="F1736" s="119" t="s">
        <v>90</v>
      </c>
      <c r="G1736" s="77">
        <v>2</v>
      </c>
      <c r="H1736" s="77" t="s">
        <v>475</v>
      </c>
      <c r="I1736" s="77" t="s">
        <v>82</v>
      </c>
      <c r="K1736" s="16" t="s">
        <v>638</v>
      </c>
      <c r="L1736" s="16">
        <v>1</v>
      </c>
      <c r="M1736" s="16"/>
      <c r="N1736" s="16"/>
      <c r="O1736" s="16">
        <v>1</v>
      </c>
    </row>
    <row r="1737" spans="1:15" ht="14">
      <c r="A1737" s="118">
        <v>46188</v>
      </c>
      <c r="B1737" s="119">
        <v>7002965310</v>
      </c>
      <c r="C1737" s="119" t="s">
        <v>637</v>
      </c>
      <c r="D1737" s="119" t="s">
        <v>495</v>
      </c>
      <c r="E1737" s="119" t="s">
        <v>103</v>
      </c>
      <c r="F1737" s="119" t="s">
        <v>90</v>
      </c>
      <c r="G1737" s="77">
        <v>9</v>
      </c>
      <c r="H1737" s="77" t="s">
        <v>475</v>
      </c>
      <c r="I1737" s="77" t="s">
        <v>82</v>
      </c>
      <c r="K1737" s="16" t="s">
        <v>639</v>
      </c>
      <c r="L1737" s="16"/>
      <c r="M1737" s="16"/>
      <c r="N1737" s="16">
        <v>1</v>
      </c>
      <c r="O1737" s="16">
        <v>1</v>
      </c>
    </row>
    <row r="1738" spans="1:15" ht="14">
      <c r="A1738" s="118">
        <v>46188</v>
      </c>
      <c r="B1738" s="119">
        <v>7003016700</v>
      </c>
      <c r="C1738" s="119" t="s">
        <v>637</v>
      </c>
      <c r="D1738" s="119" t="s">
        <v>474</v>
      </c>
      <c r="E1738" s="119" t="s">
        <v>463</v>
      </c>
      <c r="F1738" s="119" t="s">
        <v>90</v>
      </c>
      <c r="G1738" s="77">
        <v>62</v>
      </c>
      <c r="H1738" s="77" t="s">
        <v>475</v>
      </c>
      <c r="I1738" s="77" t="s">
        <v>82</v>
      </c>
      <c r="K1738" s="97" t="s">
        <v>472</v>
      </c>
      <c r="L1738" s="97">
        <v>1</v>
      </c>
      <c r="M1738" s="97">
        <v>3</v>
      </c>
      <c r="N1738" s="97">
        <v>1</v>
      </c>
      <c r="O1738" s="97">
        <v>5</v>
      </c>
    </row>
    <row r="1739" spans="1:15" ht="14">
      <c r="A1739" s="118">
        <v>46188</v>
      </c>
      <c r="B1739" s="119">
        <v>7003016831</v>
      </c>
      <c r="C1739" s="119" t="s">
        <v>637</v>
      </c>
      <c r="D1739" s="119" t="s">
        <v>474</v>
      </c>
      <c r="E1739" s="119" t="s">
        <v>91</v>
      </c>
      <c r="F1739" s="119" t="s">
        <v>90</v>
      </c>
      <c r="G1739" s="77">
        <v>115</v>
      </c>
      <c r="H1739" s="77" t="s">
        <v>475</v>
      </c>
      <c r="I1739" s="77" t="s">
        <v>82</v>
      </c>
      <c r="K1739" s="16" t="s">
        <v>635</v>
      </c>
      <c r="L1739" s="16"/>
      <c r="M1739" s="16">
        <v>2</v>
      </c>
      <c r="N1739" s="16">
        <v>1</v>
      </c>
      <c r="O1739" s="16">
        <v>3</v>
      </c>
    </row>
    <row r="1740" spans="1:15" ht="14">
      <c r="A1740" s="118">
        <v>46188</v>
      </c>
      <c r="B1740" s="119">
        <v>7002966118</v>
      </c>
      <c r="C1740" s="119" t="s">
        <v>637</v>
      </c>
      <c r="D1740" s="119" t="s">
        <v>479</v>
      </c>
      <c r="E1740" s="119" t="s">
        <v>103</v>
      </c>
      <c r="F1740" s="119" t="s">
        <v>90</v>
      </c>
      <c r="G1740" s="77">
        <v>17</v>
      </c>
      <c r="H1740" s="77" t="s">
        <v>475</v>
      </c>
      <c r="I1740" s="77" t="s">
        <v>82</v>
      </c>
      <c r="K1740" s="16" t="s">
        <v>636</v>
      </c>
      <c r="L1740" s="16">
        <v>1</v>
      </c>
      <c r="M1740" s="16"/>
      <c r="N1740" s="16"/>
      <c r="O1740" s="16">
        <v>1</v>
      </c>
    </row>
    <row r="1741" spans="1:15" ht="14">
      <c r="A1741" s="118">
        <v>46188</v>
      </c>
      <c r="B1741" s="119">
        <v>7002952900</v>
      </c>
      <c r="C1741" s="119" t="s">
        <v>637</v>
      </c>
      <c r="D1741" s="119" t="s">
        <v>474</v>
      </c>
      <c r="E1741" s="119" t="s">
        <v>488</v>
      </c>
      <c r="F1741" s="119" t="s">
        <v>90</v>
      </c>
      <c r="G1741" s="77">
        <v>2</v>
      </c>
      <c r="H1741" s="77" t="s">
        <v>475</v>
      </c>
      <c r="I1741" s="77" t="s">
        <v>82</v>
      </c>
      <c r="K1741" s="16" t="s">
        <v>640</v>
      </c>
      <c r="L1741" s="16"/>
      <c r="M1741" s="16">
        <v>1</v>
      </c>
      <c r="N1741" s="16"/>
      <c r="O1741" s="16">
        <v>1</v>
      </c>
    </row>
    <row r="1742" spans="1:15" ht="14">
      <c r="A1742" s="118">
        <v>46188</v>
      </c>
      <c r="B1742" s="119">
        <v>7003025054</v>
      </c>
      <c r="C1742" s="119" t="s">
        <v>637</v>
      </c>
      <c r="D1742" s="119" t="s">
        <v>474</v>
      </c>
      <c r="E1742" s="119" t="s">
        <v>463</v>
      </c>
      <c r="F1742" s="119" t="s">
        <v>90</v>
      </c>
      <c r="G1742" s="77">
        <v>1</v>
      </c>
      <c r="H1742" s="77" t="s">
        <v>475</v>
      </c>
      <c r="I1742" s="77" t="s">
        <v>82</v>
      </c>
      <c r="K1742" s="54" t="s">
        <v>84</v>
      </c>
      <c r="L1742" s="54">
        <v>2</v>
      </c>
      <c r="M1742" s="54">
        <v>264</v>
      </c>
      <c r="N1742" s="54">
        <v>4</v>
      </c>
      <c r="O1742" s="54">
        <v>270</v>
      </c>
    </row>
    <row r="1743" spans="1:15" ht="13">
      <c r="A1743" s="118">
        <v>46188</v>
      </c>
      <c r="B1743" s="119">
        <v>7003012872</v>
      </c>
      <c r="C1743" s="119" t="s">
        <v>637</v>
      </c>
      <c r="D1743" s="119" t="s">
        <v>474</v>
      </c>
      <c r="E1743" s="119" t="s">
        <v>463</v>
      </c>
      <c r="F1743" s="119" t="s">
        <v>90</v>
      </c>
      <c r="G1743" s="77">
        <v>1</v>
      </c>
      <c r="H1743" s="77" t="s">
        <v>475</v>
      </c>
      <c r="I1743" s="77" t="s">
        <v>82</v>
      </c>
    </row>
    <row r="1744" spans="1:15" ht="13">
      <c r="A1744" s="118">
        <v>46188</v>
      </c>
      <c r="B1744" s="119">
        <v>7003014862</v>
      </c>
      <c r="C1744" s="119" t="s">
        <v>637</v>
      </c>
      <c r="D1744" s="119" t="s">
        <v>474</v>
      </c>
      <c r="E1744" s="119" t="s">
        <v>463</v>
      </c>
      <c r="F1744" s="119" t="s">
        <v>90</v>
      </c>
      <c r="G1744" s="77">
        <v>1</v>
      </c>
      <c r="H1744" s="77" t="s">
        <v>475</v>
      </c>
      <c r="I1744" s="77" t="s">
        <v>82</v>
      </c>
    </row>
    <row r="1745" spans="1:9" ht="13">
      <c r="A1745" s="118">
        <v>46188</v>
      </c>
      <c r="B1745" s="119">
        <v>7003010925</v>
      </c>
      <c r="C1745" s="119" t="s">
        <v>637</v>
      </c>
      <c r="D1745" s="119" t="s">
        <v>474</v>
      </c>
      <c r="E1745" s="119" t="s">
        <v>454</v>
      </c>
      <c r="F1745" s="119" t="s">
        <v>90</v>
      </c>
      <c r="G1745" s="77">
        <v>1</v>
      </c>
      <c r="H1745" s="77" t="s">
        <v>475</v>
      </c>
      <c r="I1745" s="77" t="s">
        <v>82</v>
      </c>
    </row>
    <row r="1746" spans="1:9" ht="13">
      <c r="A1746" s="118">
        <v>46188</v>
      </c>
      <c r="B1746" s="119">
        <v>7002947856</v>
      </c>
      <c r="C1746" s="119" t="s">
        <v>637</v>
      </c>
      <c r="D1746" s="119" t="s">
        <v>474</v>
      </c>
      <c r="E1746" s="119" t="s">
        <v>486</v>
      </c>
      <c r="F1746" s="119" t="s">
        <v>90</v>
      </c>
      <c r="G1746" s="77">
        <v>3</v>
      </c>
      <c r="H1746" s="77" t="s">
        <v>475</v>
      </c>
      <c r="I1746" s="77" t="s">
        <v>82</v>
      </c>
    </row>
    <row r="1747" spans="1:9" ht="13">
      <c r="A1747" s="118">
        <v>46188</v>
      </c>
      <c r="B1747" s="119">
        <v>7002962302</v>
      </c>
      <c r="C1747" s="119" t="s">
        <v>637</v>
      </c>
      <c r="D1747" s="119" t="s">
        <v>474</v>
      </c>
      <c r="E1747" s="119" t="s">
        <v>488</v>
      </c>
      <c r="F1747" s="119" t="s">
        <v>90</v>
      </c>
      <c r="G1747" s="77">
        <v>9</v>
      </c>
      <c r="H1747" s="77" t="s">
        <v>475</v>
      </c>
      <c r="I1747" s="77" t="s">
        <v>82</v>
      </c>
    </row>
    <row r="1748" spans="1:9" ht="13">
      <c r="A1748" s="118">
        <v>46188</v>
      </c>
      <c r="B1748" s="119">
        <v>7003023091</v>
      </c>
      <c r="C1748" s="119" t="s">
        <v>637</v>
      </c>
      <c r="D1748" s="119" t="s">
        <v>474</v>
      </c>
      <c r="E1748" s="119" t="s">
        <v>454</v>
      </c>
      <c r="F1748" s="119" t="s">
        <v>90</v>
      </c>
      <c r="G1748" s="77">
        <v>2</v>
      </c>
      <c r="H1748" s="77" t="s">
        <v>475</v>
      </c>
      <c r="I1748" s="77" t="s">
        <v>82</v>
      </c>
    </row>
    <row r="1749" spans="1:9" ht="13">
      <c r="A1749" s="118">
        <v>46188</v>
      </c>
      <c r="B1749" s="119">
        <v>7003027202</v>
      </c>
      <c r="C1749" s="119" t="s">
        <v>637</v>
      </c>
      <c r="D1749" s="119" t="s">
        <v>474</v>
      </c>
      <c r="E1749" s="119" t="s">
        <v>463</v>
      </c>
      <c r="F1749" s="119" t="s">
        <v>90</v>
      </c>
      <c r="G1749" s="77">
        <v>1</v>
      </c>
      <c r="H1749" s="77" t="s">
        <v>475</v>
      </c>
      <c r="I1749" s="77" t="s">
        <v>82</v>
      </c>
    </row>
    <row r="1750" spans="1:9" ht="13">
      <c r="A1750" s="118">
        <v>46188</v>
      </c>
      <c r="B1750" s="119">
        <v>7003029227</v>
      </c>
      <c r="C1750" s="119" t="s">
        <v>637</v>
      </c>
      <c r="D1750" s="119" t="s">
        <v>474</v>
      </c>
      <c r="E1750" s="119" t="s">
        <v>463</v>
      </c>
      <c r="F1750" s="119" t="s">
        <v>90</v>
      </c>
      <c r="G1750" s="77">
        <v>2</v>
      </c>
      <c r="H1750" s="77" t="s">
        <v>475</v>
      </c>
      <c r="I1750" s="77" t="s">
        <v>82</v>
      </c>
    </row>
    <row r="1751" spans="1:9" ht="13">
      <c r="A1751" s="118">
        <v>46188</v>
      </c>
      <c r="B1751" s="119">
        <v>7003021342</v>
      </c>
      <c r="C1751" s="119" t="s">
        <v>637</v>
      </c>
      <c r="D1751" s="119" t="s">
        <v>479</v>
      </c>
      <c r="E1751" s="119" t="s">
        <v>103</v>
      </c>
      <c r="F1751" s="119" t="s">
        <v>90</v>
      </c>
      <c r="G1751" s="77">
        <v>1</v>
      </c>
      <c r="H1751" s="77" t="s">
        <v>475</v>
      </c>
      <c r="I1751" s="77" t="s">
        <v>82</v>
      </c>
    </row>
    <row r="1752" spans="1:9" ht="13">
      <c r="A1752" s="118">
        <v>46188</v>
      </c>
      <c r="B1752" s="119">
        <v>7002970241</v>
      </c>
      <c r="C1752" s="119" t="s">
        <v>637</v>
      </c>
      <c r="D1752" s="119" t="s">
        <v>474</v>
      </c>
      <c r="E1752" s="119" t="s">
        <v>488</v>
      </c>
      <c r="F1752" s="119" t="s">
        <v>90</v>
      </c>
      <c r="G1752" s="77">
        <v>1</v>
      </c>
      <c r="H1752" s="77" t="s">
        <v>475</v>
      </c>
      <c r="I1752" s="77" t="s">
        <v>82</v>
      </c>
    </row>
    <row r="1753" spans="1:9" ht="13">
      <c r="A1753" s="118">
        <v>46188</v>
      </c>
      <c r="B1753" s="119">
        <v>7003018284</v>
      </c>
      <c r="C1753" s="119" t="s">
        <v>637</v>
      </c>
      <c r="D1753" s="119" t="s">
        <v>474</v>
      </c>
      <c r="E1753" s="119" t="s">
        <v>91</v>
      </c>
      <c r="F1753" s="119" t="s">
        <v>90</v>
      </c>
      <c r="G1753" s="77">
        <v>1</v>
      </c>
      <c r="H1753" s="77" t="s">
        <v>475</v>
      </c>
      <c r="I1753" s="77" t="s">
        <v>82</v>
      </c>
    </row>
    <row r="1754" spans="1:9" ht="13">
      <c r="A1754" s="118">
        <v>46188</v>
      </c>
      <c r="B1754" s="119">
        <v>7003017277</v>
      </c>
      <c r="C1754" s="119" t="s">
        <v>637</v>
      </c>
      <c r="D1754" s="119" t="s">
        <v>479</v>
      </c>
      <c r="E1754" s="119" t="s">
        <v>470</v>
      </c>
      <c r="F1754" s="119" t="s">
        <v>90</v>
      </c>
      <c r="G1754" s="77">
        <v>28</v>
      </c>
      <c r="H1754" s="77" t="s">
        <v>475</v>
      </c>
      <c r="I1754" s="77" t="s">
        <v>82</v>
      </c>
    </row>
    <row r="1755" spans="1:9" ht="13">
      <c r="A1755" s="118">
        <v>46188</v>
      </c>
      <c r="B1755" s="119">
        <v>7003012331</v>
      </c>
      <c r="C1755" s="119" t="s">
        <v>637</v>
      </c>
      <c r="D1755" s="119" t="s">
        <v>474</v>
      </c>
      <c r="E1755" s="119" t="s">
        <v>528</v>
      </c>
      <c r="F1755" s="119" t="s">
        <v>90</v>
      </c>
      <c r="G1755" s="77">
        <v>1</v>
      </c>
      <c r="H1755" s="77" t="s">
        <v>475</v>
      </c>
      <c r="I1755" s="77" t="s">
        <v>82</v>
      </c>
    </row>
    <row r="1756" spans="1:9" ht="13">
      <c r="A1756" s="118">
        <v>46188</v>
      </c>
      <c r="B1756" s="119">
        <v>7002965782</v>
      </c>
      <c r="C1756" s="119" t="s">
        <v>637</v>
      </c>
      <c r="D1756" s="119" t="s">
        <v>474</v>
      </c>
      <c r="E1756" s="119" t="s">
        <v>488</v>
      </c>
      <c r="F1756" s="119" t="s">
        <v>90</v>
      </c>
      <c r="G1756" s="77">
        <v>9</v>
      </c>
      <c r="H1756" s="77" t="s">
        <v>475</v>
      </c>
      <c r="I1756" s="77" t="s">
        <v>82</v>
      </c>
    </row>
    <row r="1757" spans="1:9" ht="13">
      <c r="A1757" s="118">
        <v>46188</v>
      </c>
      <c r="B1757" s="119">
        <v>7002962793</v>
      </c>
      <c r="C1757" s="119" t="s">
        <v>637</v>
      </c>
      <c r="D1757" s="119" t="s">
        <v>474</v>
      </c>
      <c r="E1757" s="119" t="s">
        <v>488</v>
      </c>
      <c r="F1757" s="119" t="s">
        <v>90</v>
      </c>
      <c r="G1757" s="77">
        <v>1</v>
      </c>
      <c r="H1757" s="77" t="s">
        <v>475</v>
      </c>
      <c r="I1757" s="77" t="s">
        <v>82</v>
      </c>
    </row>
    <row r="1758" spans="1:9" ht="13">
      <c r="A1758" s="118">
        <v>46188</v>
      </c>
      <c r="B1758" s="119">
        <v>7002963763</v>
      </c>
      <c r="C1758" s="119" t="s">
        <v>637</v>
      </c>
      <c r="D1758" s="119" t="s">
        <v>474</v>
      </c>
      <c r="E1758" s="119" t="s">
        <v>488</v>
      </c>
      <c r="F1758" s="119" t="s">
        <v>90</v>
      </c>
      <c r="G1758" s="77">
        <v>3</v>
      </c>
      <c r="H1758" s="77" t="s">
        <v>475</v>
      </c>
      <c r="I1758" s="77" t="s">
        <v>82</v>
      </c>
    </row>
    <row r="1759" spans="1:9" ht="13">
      <c r="A1759" s="118">
        <v>46188</v>
      </c>
      <c r="B1759" s="119">
        <v>7002968683</v>
      </c>
      <c r="C1759" s="119" t="s">
        <v>637</v>
      </c>
      <c r="D1759" s="119" t="s">
        <v>474</v>
      </c>
      <c r="E1759" s="119" t="s">
        <v>488</v>
      </c>
      <c r="F1759" s="119" t="s">
        <v>90</v>
      </c>
      <c r="G1759" s="77">
        <v>1</v>
      </c>
      <c r="H1759" s="77" t="s">
        <v>475</v>
      </c>
      <c r="I1759" s="77" t="s">
        <v>82</v>
      </c>
    </row>
    <row r="1760" spans="1:9" ht="13">
      <c r="A1760" s="118">
        <v>46188</v>
      </c>
      <c r="B1760" s="119">
        <v>7002967676</v>
      </c>
      <c r="C1760" s="119" t="s">
        <v>637</v>
      </c>
      <c r="D1760" s="119" t="s">
        <v>474</v>
      </c>
      <c r="E1760" s="119" t="s">
        <v>488</v>
      </c>
      <c r="F1760" s="119" t="s">
        <v>90</v>
      </c>
      <c r="G1760" s="77">
        <v>4</v>
      </c>
      <c r="H1760" s="77" t="s">
        <v>475</v>
      </c>
      <c r="I1760" s="77" t="s">
        <v>82</v>
      </c>
    </row>
    <row r="1761" spans="1:9" ht="13">
      <c r="A1761" s="118">
        <v>46188</v>
      </c>
      <c r="B1761" s="119">
        <v>7002961670</v>
      </c>
      <c r="C1761" s="119" t="s">
        <v>637</v>
      </c>
      <c r="D1761" s="119" t="s">
        <v>474</v>
      </c>
      <c r="E1761" s="119" t="s">
        <v>488</v>
      </c>
      <c r="F1761" s="119" t="s">
        <v>90</v>
      </c>
      <c r="G1761" s="77">
        <v>2</v>
      </c>
      <c r="H1761" s="77" t="s">
        <v>475</v>
      </c>
      <c r="I1761" s="77" t="s">
        <v>82</v>
      </c>
    </row>
    <row r="1762" spans="1:9" ht="13">
      <c r="A1762" s="118">
        <v>46188</v>
      </c>
      <c r="B1762" s="119">
        <v>7002966652</v>
      </c>
      <c r="C1762" s="119" t="s">
        <v>637</v>
      </c>
      <c r="D1762" s="119" t="s">
        <v>474</v>
      </c>
      <c r="E1762" s="119" t="s">
        <v>488</v>
      </c>
      <c r="F1762" s="119" t="s">
        <v>90</v>
      </c>
      <c r="G1762" s="77">
        <v>2</v>
      </c>
      <c r="H1762" s="77" t="s">
        <v>475</v>
      </c>
      <c r="I1762" s="77" t="s">
        <v>82</v>
      </c>
    </row>
    <row r="1763" spans="1:9" ht="13">
      <c r="A1763" s="118">
        <v>46188</v>
      </c>
      <c r="B1763" s="119">
        <v>7002965646</v>
      </c>
      <c r="C1763" s="119" t="s">
        <v>637</v>
      </c>
      <c r="D1763" s="119" t="s">
        <v>474</v>
      </c>
      <c r="E1763" s="119" t="s">
        <v>486</v>
      </c>
      <c r="F1763" s="119" t="s">
        <v>90</v>
      </c>
      <c r="G1763" s="77">
        <v>22</v>
      </c>
      <c r="H1763" s="77" t="s">
        <v>475</v>
      </c>
      <c r="I1763" s="77" t="s">
        <v>82</v>
      </c>
    </row>
    <row r="1764" spans="1:9" ht="13">
      <c r="A1764" s="118">
        <v>46188</v>
      </c>
      <c r="B1764" s="119">
        <v>7003015385</v>
      </c>
      <c r="C1764" s="119" t="s">
        <v>637</v>
      </c>
      <c r="D1764" s="119" t="s">
        <v>474</v>
      </c>
      <c r="E1764" s="119" t="s">
        <v>463</v>
      </c>
      <c r="F1764" s="119" t="s">
        <v>90</v>
      </c>
      <c r="G1764" s="77">
        <v>1</v>
      </c>
      <c r="H1764" s="77" t="s">
        <v>475</v>
      </c>
      <c r="I1764" s="77" t="s">
        <v>82</v>
      </c>
    </row>
    <row r="1765" spans="1:9" ht="13">
      <c r="A1765" s="118">
        <v>46188</v>
      </c>
      <c r="B1765" s="119">
        <v>7003016414</v>
      </c>
      <c r="C1765" s="119" t="s">
        <v>637</v>
      </c>
      <c r="D1765" s="119" t="s">
        <v>474</v>
      </c>
      <c r="E1765" s="119" t="s">
        <v>528</v>
      </c>
      <c r="F1765" s="119" t="s">
        <v>90</v>
      </c>
      <c r="G1765" s="77">
        <v>13</v>
      </c>
      <c r="H1765" s="77" t="s">
        <v>475</v>
      </c>
      <c r="I1765" s="77" t="s">
        <v>82</v>
      </c>
    </row>
    <row r="1766" spans="1:9" ht="13">
      <c r="A1766" s="118">
        <v>46188</v>
      </c>
      <c r="B1766" s="119">
        <v>7002961516</v>
      </c>
      <c r="C1766" s="119" t="s">
        <v>637</v>
      </c>
      <c r="D1766" s="119" t="s">
        <v>474</v>
      </c>
      <c r="E1766" s="119" t="s">
        <v>486</v>
      </c>
      <c r="F1766" s="119" t="s">
        <v>90</v>
      </c>
      <c r="G1766" s="77">
        <v>14</v>
      </c>
      <c r="H1766" s="77" t="s">
        <v>475</v>
      </c>
      <c r="I1766" s="77" t="s">
        <v>82</v>
      </c>
    </row>
    <row r="1767" spans="1:9" ht="13">
      <c r="A1767" s="118">
        <v>46188</v>
      </c>
      <c r="B1767" s="119">
        <v>7003019449</v>
      </c>
      <c r="C1767" s="119" t="s">
        <v>637</v>
      </c>
      <c r="D1767" s="119" t="s">
        <v>479</v>
      </c>
      <c r="E1767" s="119" t="s">
        <v>470</v>
      </c>
      <c r="F1767" s="119" t="s">
        <v>90</v>
      </c>
      <c r="G1767" s="77">
        <v>2</v>
      </c>
      <c r="H1767" s="77" t="s">
        <v>475</v>
      </c>
      <c r="I1767" s="77" t="s">
        <v>82</v>
      </c>
    </row>
    <row r="1768" spans="1:9" ht="13">
      <c r="A1768" s="118">
        <v>46188</v>
      </c>
      <c r="B1768" s="119">
        <v>7003028530</v>
      </c>
      <c r="C1768" s="119" t="s">
        <v>637</v>
      </c>
      <c r="D1768" s="119" t="s">
        <v>474</v>
      </c>
      <c r="E1768" s="119" t="s">
        <v>454</v>
      </c>
      <c r="F1768" s="119" t="s">
        <v>90</v>
      </c>
      <c r="G1768" s="77">
        <v>3</v>
      </c>
      <c r="H1768" s="77" t="s">
        <v>475</v>
      </c>
      <c r="I1768" s="77" t="s">
        <v>82</v>
      </c>
    </row>
    <row r="1769" spans="1:9" ht="13">
      <c r="A1769" s="118">
        <v>46188</v>
      </c>
      <c r="B1769" s="119">
        <v>7002938403</v>
      </c>
      <c r="C1769" s="119" t="s">
        <v>637</v>
      </c>
      <c r="D1769" s="119" t="s">
        <v>474</v>
      </c>
      <c r="E1769" s="119" t="s">
        <v>481</v>
      </c>
      <c r="F1769" s="119" t="s">
        <v>90</v>
      </c>
      <c r="G1769" s="77">
        <v>4</v>
      </c>
      <c r="H1769" s="77" t="s">
        <v>475</v>
      </c>
      <c r="I1769" s="77" t="s">
        <v>82</v>
      </c>
    </row>
    <row r="1770" spans="1:9" ht="13">
      <c r="A1770" s="118">
        <v>46188</v>
      </c>
      <c r="B1770" s="119">
        <v>7003020644</v>
      </c>
      <c r="C1770" s="119" t="s">
        <v>637</v>
      </c>
      <c r="D1770" s="119" t="s">
        <v>479</v>
      </c>
      <c r="E1770" s="119" t="s">
        <v>470</v>
      </c>
      <c r="F1770" s="119" t="s">
        <v>90</v>
      </c>
      <c r="G1770" s="77">
        <v>8</v>
      </c>
      <c r="H1770" s="77" t="s">
        <v>475</v>
      </c>
      <c r="I1770" s="77" t="s">
        <v>82</v>
      </c>
    </row>
    <row r="1771" spans="1:9" ht="13">
      <c r="A1771" s="118">
        <v>46188</v>
      </c>
      <c r="B1771" s="119">
        <v>7002919665</v>
      </c>
      <c r="C1771" s="119" t="s">
        <v>637</v>
      </c>
      <c r="D1771" s="119" t="s">
        <v>476</v>
      </c>
      <c r="E1771" s="119" t="s">
        <v>452</v>
      </c>
      <c r="F1771" s="119" t="s">
        <v>90</v>
      </c>
      <c r="G1771" s="77">
        <v>0</v>
      </c>
      <c r="H1771" s="77" t="s">
        <v>475</v>
      </c>
      <c r="I1771" s="77" t="s">
        <v>82</v>
      </c>
    </row>
    <row r="1772" spans="1:9" ht="13">
      <c r="A1772" s="118">
        <v>46188</v>
      </c>
      <c r="B1772" s="119">
        <v>7002912643</v>
      </c>
      <c r="C1772" s="119" t="s">
        <v>637</v>
      </c>
      <c r="D1772" s="119" t="s">
        <v>474</v>
      </c>
      <c r="E1772" s="119" t="s">
        <v>556</v>
      </c>
      <c r="F1772" s="119" t="s">
        <v>90</v>
      </c>
      <c r="G1772" s="77">
        <v>3</v>
      </c>
      <c r="H1772" s="77" t="s">
        <v>475</v>
      </c>
      <c r="I1772" s="77" t="s">
        <v>82</v>
      </c>
    </row>
    <row r="1773" spans="1:9" ht="13">
      <c r="A1773" s="118">
        <v>46188</v>
      </c>
      <c r="B1773" s="119">
        <v>7002911616</v>
      </c>
      <c r="C1773" s="119" t="s">
        <v>637</v>
      </c>
      <c r="D1773" s="119" t="s">
        <v>474</v>
      </c>
      <c r="E1773" s="119" t="s">
        <v>452</v>
      </c>
      <c r="F1773" s="119" t="s">
        <v>90</v>
      </c>
      <c r="G1773" s="77">
        <v>17</v>
      </c>
      <c r="H1773" s="77" t="s">
        <v>475</v>
      </c>
      <c r="I1773" s="77" t="s">
        <v>82</v>
      </c>
    </row>
    <row r="1774" spans="1:9" ht="13">
      <c r="A1774" s="118">
        <v>46188</v>
      </c>
      <c r="B1774" s="119">
        <v>7002913543</v>
      </c>
      <c r="C1774" s="119" t="s">
        <v>637</v>
      </c>
      <c r="D1774" s="119" t="s">
        <v>474</v>
      </c>
      <c r="E1774" s="119" t="s">
        <v>452</v>
      </c>
      <c r="F1774" s="119" t="s">
        <v>90</v>
      </c>
      <c r="G1774" s="77">
        <v>6</v>
      </c>
      <c r="H1774" s="77" t="s">
        <v>475</v>
      </c>
      <c r="I1774" s="77" t="s">
        <v>82</v>
      </c>
    </row>
    <row r="1775" spans="1:9" ht="13">
      <c r="A1775" s="118">
        <v>46188</v>
      </c>
      <c r="B1775" s="119">
        <v>7002912482</v>
      </c>
      <c r="C1775" s="119" t="s">
        <v>637</v>
      </c>
      <c r="D1775" s="119" t="s">
        <v>474</v>
      </c>
      <c r="E1775" s="119" t="s">
        <v>452</v>
      </c>
      <c r="F1775" s="119" t="s">
        <v>90</v>
      </c>
      <c r="G1775" s="77">
        <v>8</v>
      </c>
      <c r="H1775" s="77" t="s">
        <v>475</v>
      </c>
      <c r="I1775" s="77" t="s">
        <v>82</v>
      </c>
    </row>
    <row r="1776" spans="1:9" ht="13">
      <c r="A1776" s="118">
        <v>46188</v>
      </c>
      <c r="B1776" s="119">
        <v>7002917457</v>
      </c>
      <c r="C1776" s="119" t="s">
        <v>637</v>
      </c>
      <c r="D1776" s="119" t="s">
        <v>474</v>
      </c>
      <c r="E1776" s="119" t="s">
        <v>554</v>
      </c>
      <c r="F1776" s="119" t="s">
        <v>90</v>
      </c>
      <c r="G1776" s="77">
        <v>1</v>
      </c>
      <c r="H1776" s="77" t="s">
        <v>475</v>
      </c>
      <c r="I1776" s="77" t="s">
        <v>82</v>
      </c>
    </row>
    <row r="1777" spans="1:9" ht="13">
      <c r="A1777" s="118">
        <v>46188</v>
      </c>
      <c r="B1777" s="119">
        <v>7002913452</v>
      </c>
      <c r="C1777" s="119" t="s">
        <v>637</v>
      </c>
      <c r="D1777" s="119" t="s">
        <v>474</v>
      </c>
      <c r="E1777" s="119" t="s">
        <v>554</v>
      </c>
      <c r="F1777" s="119" t="s">
        <v>90</v>
      </c>
      <c r="G1777" s="77">
        <v>9</v>
      </c>
      <c r="H1777" s="77" t="s">
        <v>475</v>
      </c>
      <c r="I1777" s="77" t="s">
        <v>82</v>
      </c>
    </row>
    <row r="1778" spans="1:9" ht="13">
      <c r="A1778" s="118">
        <v>46188</v>
      </c>
      <c r="B1778" s="119">
        <v>7002918383</v>
      </c>
      <c r="C1778" s="119" t="s">
        <v>637</v>
      </c>
      <c r="D1778" s="119" t="s">
        <v>474</v>
      </c>
      <c r="E1778" s="119" t="s">
        <v>452</v>
      </c>
      <c r="F1778" s="119" t="s">
        <v>90</v>
      </c>
      <c r="G1778" s="77">
        <v>6</v>
      </c>
      <c r="H1778" s="77" t="s">
        <v>475</v>
      </c>
      <c r="I1778" s="77" t="s">
        <v>82</v>
      </c>
    </row>
    <row r="1779" spans="1:9" ht="13">
      <c r="A1779" s="118">
        <v>46188</v>
      </c>
      <c r="B1779" s="119">
        <v>7002918377</v>
      </c>
      <c r="C1779" s="119" t="s">
        <v>637</v>
      </c>
      <c r="D1779" s="119" t="s">
        <v>474</v>
      </c>
      <c r="E1779" s="119" t="s">
        <v>452</v>
      </c>
      <c r="F1779" s="119" t="s">
        <v>90</v>
      </c>
      <c r="G1779" s="77">
        <v>72</v>
      </c>
      <c r="H1779" s="77" t="s">
        <v>475</v>
      </c>
      <c r="I1779" s="77" t="s">
        <v>82</v>
      </c>
    </row>
    <row r="1780" spans="1:9" ht="13">
      <c r="A1780" s="118">
        <v>46188</v>
      </c>
      <c r="B1780" s="119">
        <v>7002913373</v>
      </c>
      <c r="C1780" s="119" t="s">
        <v>637</v>
      </c>
      <c r="D1780" s="119" t="s">
        <v>474</v>
      </c>
      <c r="E1780" s="119" t="s">
        <v>452</v>
      </c>
      <c r="F1780" s="119" t="s">
        <v>90</v>
      </c>
      <c r="G1780" s="77">
        <v>1</v>
      </c>
      <c r="H1780" s="77" t="s">
        <v>475</v>
      </c>
      <c r="I1780" s="77" t="s">
        <v>82</v>
      </c>
    </row>
    <row r="1781" spans="1:9" ht="13">
      <c r="A1781" s="118">
        <v>46188</v>
      </c>
      <c r="B1781" s="119">
        <v>7002912374</v>
      </c>
      <c r="C1781" s="119" t="s">
        <v>637</v>
      </c>
      <c r="D1781" s="119" t="s">
        <v>474</v>
      </c>
      <c r="E1781" s="119" t="s">
        <v>452</v>
      </c>
      <c r="F1781" s="119" t="s">
        <v>90</v>
      </c>
      <c r="G1781" s="77">
        <v>108</v>
      </c>
      <c r="H1781" s="77" t="s">
        <v>475</v>
      </c>
      <c r="I1781" s="77" t="s">
        <v>82</v>
      </c>
    </row>
    <row r="1782" spans="1:9" ht="13">
      <c r="A1782" s="118">
        <v>46188</v>
      </c>
      <c r="B1782" s="119">
        <v>7002913325</v>
      </c>
      <c r="C1782" s="119" t="s">
        <v>637</v>
      </c>
      <c r="D1782" s="119" t="s">
        <v>474</v>
      </c>
      <c r="E1782" s="119" t="s">
        <v>554</v>
      </c>
      <c r="F1782" s="119" t="s">
        <v>90</v>
      </c>
      <c r="G1782" s="77">
        <v>2</v>
      </c>
      <c r="H1782" s="77" t="s">
        <v>475</v>
      </c>
      <c r="I1782" s="77" t="s">
        <v>82</v>
      </c>
    </row>
    <row r="1783" spans="1:9" ht="13">
      <c r="A1783" s="118">
        <v>46188</v>
      </c>
      <c r="B1783" s="119">
        <v>7002910275</v>
      </c>
      <c r="C1783" s="119" t="s">
        <v>637</v>
      </c>
      <c r="D1783" s="119" t="s">
        <v>474</v>
      </c>
      <c r="E1783" s="119" t="s">
        <v>452</v>
      </c>
      <c r="F1783" s="119" t="s">
        <v>90</v>
      </c>
      <c r="G1783" s="77">
        <v>41</v>
      </c>
      <c r="H1783" s="77" t="s">
        <v>475</v>
      </c>
      <c r="I1783" s="77" t="s">
        <v>82</v>
      </c>
    </row>
    <row r="1784" spans="1:9" ht="13">
      <c r="A1784" s="118">
        <v>46188</v>
      </c>
      <c r="B1784" s="119">
        <v>7002910210</v>
      </c>
      <c r="C1784" s="119" t="s">
        <v>637</v>
      </c>
      <c r="D1784" s="119" t="s">
        <v>474</v>
      </c>
      <c r="E1784" s="119" t="s">
        <v>556</v>
      </c>
      <c r="F1784" s="119" t="s">
        <v>90</v>
      </c>
      <c r="G1784" s="77">
        <v>1</v>
      </c>
      <c r="H1784" s="77" t="s">
        <v>475</v>
      </c>
      <c r="I1784" s="77" t="s">
        <v>82</v>
      </c>
    </row>
    <row r="1785" spans="1:9" ht="13">
      <c r="A1785" s="118">
        <v>46188</v>
      </c>
      <c r="B1785" s="119">
        <v>7002916193</v>
      </c>
      <c r="C1785" s="119" t="s">
        <v>637</v>
      </c>
      <c r="D1785" s="119" t="s">
        <v>474</v>
      </c>
      <c r="E1785" s="119" t="s">
        <v>556</v>
      </c>
      <c r="F1785" s="119" t="s">
        <v>90</v>
      </c>
      <c r="G1785" s="77">
        <v>6</v>
      </c>
      <c r="H1785" s="77" t="s">
        <v>475</v>
      </c>
      <c r="I1785" s="77" t="s">
        <v>82</v>
      </c>
    </row>
    <row r="1786" spans="1:9" ht="13">
      <c r="A1786" s="118">
        <v>46188</v>
      </c>
      <c r="B1786" s="119">
        <v>7003031157</v>
      </c>
      <c r="C1786" s="119" t="s">
        <v>637</v>
      </c>
      <c r="D1786" s="119" t="s">
        <v>474</v>
      </c>
      <c r="E1786" s="119" t="s">
        <v>91</v>
      </c>
      <c r="F1786" s="119" t="s">
        <v>90</v>
      </c>
      <c r="G1786" s="77">
        <v>1</v>
      </c>
      <c r="H1786" s="77" t="s">
        <v>475</v>
      </c>
      <c r="I1786" s="77" t="s">
        <v>82</v>
      </c>
    </row>
    <row r="1787" spans="1:9" ht="13">
      <c r="A1787" s="118">
        <v>46188</v>
      </c>
      <c r="B1787" s="119">
        <v>7002913182</v>
      </c>
      <c r="C1787" s="119" t="s">
        <v>637</v>
      </c>
      <c r="D1787" s="119" t="s">
        <v>474</v>
      </c>
      <c r="E1787" s="119" t="s">
        <v>556</v>
      </c>
      <c r="F1787" s="119" t="s">
        <v>90</v>
      </c>
      <c r="G1787" s="77">
        <v>1</v>
      </c>
      <c r="H1787" s="77" t="s">
        <v>475</v>
      </c>
      <c r="I1787" s="77" t="s">
        <v>82</v>
      </c>
    </row>
    <row r="1788" spans="1:9" ht="13">
      <c r="A1788" s="118">
        <v>46188</v>
      </c>
      <c r="B1788" s="119">
        <v>7002910133</v>
      </c>
      <c r="C1788" s="119" t="s">
        <v>637</v>
      </c>
      <c r="D1788" s="119" t="s">
        <v>474</v>
      </c>
      <c r="E1788" s="119" t="s">
        <v>554</v>
      </c>
      <c r="F1788" s="119" t="s">
        <v>90</v>
      </c>
      <c r="G1788" s="77">
        <v>2</v>
      </c>
      <c r="H1788" s="77" t="s">
        <v>475</v>
      </c>
      <c r="I1788" s="77" t="s">
        <v>82</v>
      </c>
    </row>
    <row r="1789" spans="1:9" ht="13">
      <c r="A1789" s="118">
        <v>46188</v>
      </c>
      <c r="B1789" s="119">
        <v>7003030170</v>
      </c>
      <c r="C1789" s="119" t="s">
        <v>637</v>
      </c>
      <c r="D1789" s="119" t="s">
        <v>474</v>
      </c>
      <c r="E1789" s="119" t="s">
        <v>528</v>
      </c>
      <c r="F1789" s="119" t="s">
        <v>90</v>
      </c>
      <c r="G1789" s="77">
        <v>1</v>
      </c>
      <c r="H1789" s="77" t="s">
        <v>475</v>
      </c>
      <c r="I1789" s="77" t="s">
        <v>82</v>
      </c>
    </row>
    <row r="1790" spans="1:9" ht="13">
      <c r="A1790" s="118">
        <v>46188</v>
      </c>
      <c r="B1790" s="119">
        <v>7002913044</v>
      </c>
      <c r="C1790" s="119" t="s">
        <v>637</v>
      </c>
      <c r="D1790" s="119" t="s">
        <v>474</v>
      </c>
      <c r="E1790" s="119" t="s">
        <v>452</v>
      </c>
      <c r="F1790" s="119" t="s">
        <v>90</v>
      </c>
      <c r="G1790" s="77">
        <v>5</v>
      </c>
      <c r="H1790" s="77" t="s">
        <v>475</v>
      </c>
      <c r="I1790" s="77" t="s">
        <v>82</v>
      </c>
    </row>
    <row r="1791" spans="1:9" ht="13">
      <c r="A1791" s="118">
        <v>46188</v>
      </c>
      <c r="B1791" s="119">
        <v>7002910019</v>
      </c>
      <c r="C1791" s="119" t="s">
        <v>637</v>
      </c>
      <c r="D1791" s="119" t="s">
        <v>474</v>
      </c>
      <c r="E1791" s="119" t="s">
        <v>452</v>
      </c>
      <c r="F1791" s="119" t="s">
        <v>90</v>
      </c>
      <c r="G1791" s="77">
        <v>5</v>
      </c>
      <c r="H1791" s="77" t="s">
        <v>475</v>
      </c>
      <c r="I1791" s="77" t="s">
        <v>82</v>
      </c>
    </row>
    <row r="1792" spans="1:9" ht="13">
      <c r="A1792" s="118">
        <v>46188</v>
      </c>
      <c r="B1792" s="119">
        <v>7002919006</v>
      </c>
      <c r="C1792" s="119" t="s">
        <v>637</v>
      </c>
      <c r="D1792" s="119" t="s">
        <v>474</v>
      </c>
      <c r="E1792" s="119" t="s">
        <v>452</v>
      </c>
      <c r="F1792" s="119" t="s">
        <v>90</v>
      </c>
      <c r="G1792" s="77">
        <v>5</v>
      </c>
      <c r="H1792" s="77" t="s">
        <v>475</v>
      </c>
      <c r="I1792" s="77" t="s">
        <v>82</v>
      </c>
    </row>
    <row r="1793" spans="1:9" ht="13">
      <c r="A1793" s="118">
        <v>46188</v>
      </c>
      <c r="B1793" s="119">
        <v>7002918014</v>
      </c>
      <c r="C1793" s="119" t="s">
        <v>637</v>
      </c>
      <c r="D1793" s="119" t="s">
        <v>474</v>
      </c>
      <c r="E1793" s="119" t="s">
        <v>452</v>
      </c>
      <c r="F1793" s="119" t="s">
        <v>90</v>
      </c>
      <c r="G1793" s="77">
        <v>7</v>
      </c>
      <c r="H1793" s="77" t="s">
        <v>475</v>
      </c>
      <c r="I1793" s="77" t="s">
        <v>82</v>
      </c>
    </row>
    <row r="1794" spans="1:9" ht="13">
      <c r="A1794" s="118">
        <v>46188</v>
      </c>
      <c r="B1794" s="119">
        <v>7002908875</v>
      </c>
      <c r="C1794" s="119" t="s">
        <v>637</v>
      </c>
      <c r="D1794" s="119" t="s">
        <v>474</v>
      </c>
      <c r="E1794" s="119" t="s">
        <v>554</v>
      </c>
      <c r="F1794" s="119" t="s">
        <v>90</v>
      </c>
      <c r="G1794" s="77">
        <v>5</v>
      </c>
      <c r="H1794" s="77" t="s">
        <v>475</v>
      </c>
      <c r="I1794" s="77" t="s">
        <v>82</v>
      </c>
    </row>
    <row r="1795" spans="1:9" ht="13">
      <c r="A1795" s="118">
        <v>46188</v>
      </c>
      <c r="B1795" s="119">
        <v>7002912209</v>
      </c>
      <c r="C1795" s="119" t="s">
        <v>637</v>
      </c>
      <c r="D1795" s="119" t="s">
        <v>474</v>
      </c>
      <c r="E1795" s="119" t="s">
        <v>556</v>
      </c>
      <c r="F1795" s="119" t="s">
        <v>90</v>
      </c>
      <c r="G1795" s="77">
        <v>5</v>
      </c>
      <c r="H1795" s="77" t="s">
        <v>475</v>
      </c>
      <c r="I1795" s="77" t="s">
        <v>82</v>
      </c>
    </row>
    <row r="1796" spans="1:9" ht="13">
      <c r="A1796" s="118">
        <v>46188</v>
      </c>
      <c r="B1796" s="119">
        <v>7002944496</v>
      </c>
      <c r="C1796" s="119" t="s">
        <v>637</v>
      </c>
      <c r="D1796" s="119" t="s">
        <v>474</v>
      </c>
      <c r="E1796" s="119" t="s">
        <v>481</v>
      </c>
      <c r="F1796" s="119" t="s">
        <v>90</v>
      </c>
      <c r="G1796" s="77">
        <v>19</v>
      </c>
      <c r="H1796" s="77" t="s">
        <v>475</v>
      </c>
      <c r="I1796" s="77" t="s">
        <v>82</v>
      </c>
    </row>
    <row r="1797" spans="1:9" ht="13">
      <c r="A1797" s="118">
        <v>46188</v>
      </c>
      <c r="B1797" s="119">
        <v>7003034137</v>
      </c>
      <c r="C1797" s="119" t="s">
        <v>637</v>
      </c>
      <c r="D1797" s="119" t="s">
        <v>474</v>
      </c>
      <c r="E1797" s="119" t="s">
        <v>528</v>
      </c>
      <c r="F1797" s="119" t="s">
        <v>90</v>
      </c>
      <c r="G1797" s="77">
        <v>4</v>
      </c>
      <c r="H1797" s="77" t="s">
        <v>475</v>
      </c>
      <c r="I1797" s="77" t="s">
        <v>82</v>
      </c>
    </row>
    <row r="1798" spans="1:9" ht="13">
      <c r="A1798" s="118">
        <v>46188</v>
      </c>
      <c r="B1798" s="119">
        <v>7002917859</v>
      </c>
      <c r="C1798" s="119" t="s">
        <v>637</v>
      </c>
      <c r="D1798" s="119" t="s">
        <v>474</v>
      </c>
      <c r="E1798" s="119" t="s">
        <v>488</v>
      </c>
      <c r="F1798" s="119" t="s">
        <v>90</v>
      </c>
      <c r="G1798" s="77">
        <v>2</v>
      </c>
      <c r="H1798" s="77" t="s">
        <v>475</v>
      </c>
      <c r="I1798" s="77" t="s">
        <v>82</v>
      </c>
    </row>
    <row r="1799" spans="1:9" ht="13">
      <c r="A1799" s="118">
        <v>46188</v>
      </c>
      <c r="B1799" s="119">
        <v>7003026699</v>
      </c>
      <c r="C1799" s="119" t="s">
        <v>637</v>
      </c>
      <c r="D1799" s="119" t="s">
        <v>474</v>
      </c>
      <c r="E1799" s="119" t="s">
        <v>528</v>
      </c>
      <c r="F1799" s="119" t="s">
        <v>90</v>
      </c>
      <c r="G1799" s="77">
        <v>4</v>
      </c>
      <c r="H1799" s="77" t="s">
        <v>475</v>
      </c>
      <c r="I1799" s="77" t="s">
        <v>82</v>
      </c>
    </row>
    <row r="1800" spans="1:9" ht="13">
      <c r="A1800" s="118">
        <v>46188</v>
      </c>
      <c r="B1800" s="119">
        <v>7003021725</v>
      </c>
      <c r="C1800" s="119" t="s">
        <v>637</v>
      </c>
      <c r="D1800" s="119" t="s">
        <v>474</v>
      </c>
      <c r="E1800" s="119" t="s">
        <v>91</v>
      </c>
      <c r="F1800" s="119" t="s">
        <v>90</v>
      </c>
      <c r="G1800" s="77">
        <v>2</v>
      </c>
      <c r="H1800" s="77" t="s">
        <v>475</v>
      </c>
      <c r="I1800" s="77" t="s">
        <v>82</v>
      </c>
    </row>
    <row r="1801" spans="1:9" ht="13">
      <c r="A1801" s="118">
        <v>46188</v>
      </c>
      <c r="B1801" s="119">
        <v>7003020726</v>
      </c>
      <c r="C1801" s="119" t="s">
        <v>637</v>
      </c>
      <c r="D1801" s="119" t="s">
        <v>474</v>
      </c>
      <c r="E1801" s="119" t="s">
        <v>528</v>
      </c>
      <c r="F1801" s="119" t="s">
        <v>90</v>
      </c>
      <c r="G1801" s="77">
        <v>11</v>
      </c>
      <c r="H1801" s="77" t="s">
        <v>475</v>
      </c>
      <c r="I1801" s="77" t="s">
        <v>82</v>
      </c>
    </row>
    <row r="1802" spans="1:9" ht="13">
      <c r="A1802" s="118">
        <v>46188</v>
      </c>
      <c r="B1802" s="119">
        <v>7002974553</v>
      </c>
      <c r="C1802" s="119" t="s">
        <v>637</v>
      </c>
      <c r="D1802" s="119" t="s">
        <v>474</v>
      </c>
      <c r="E1802" s="119" t="s">
        <v>525</v>
      </c>
      <c r="F1802" s="119" t="s">
        <v>90</v>
      </c>
      <c r="G1802" s="77">
        <v>22</v>
      </c>
      <c r="H1802" s="77" t="s">
        <v>475</v>
      </c>
      <c r="I1802" s="77" t="s">
        <v>82</v>
      </c>
    </row>
    <row r="1803" spans="1:9" ht="13">
      <c r="A1803" s="118">
        <v>46188</v>
      </c>
      <c r="B1803" s="119">
        <v>7002938118</v>
      </c>
      <c r="C1803" s="119" t="s">
        <v>637</v>
      </c>
      <c r="D1803" s="119" t="s">
        <v>474</v>
      </c>
      <c r="E1803" s="119" t="s">
        <v>556</v>
      </c>
      <c r="F1803" s="119" t="s">
        <v>90</v>
      </c>
      <c r="G1803" s="77">
        <v>12</v>
      </c>
      <c r="H1803" s="77" t="s">
        <v>475</v>
      </c>
      <c r="I1803" s="77" t="s">
        <v>82</v>
      </c>
    </row>
    <row r="1804" spans="1:9" ht="13">
      <c r="A1804" s="118">
        <v>46188</v>
      </c>
      <c r="B1804" s="119">
        <v>7002938009</v>
      </c>
      <c r="C1804" s="119" t="s">
        <v>637</v>
      </c>
      <c r="D1804" s="119" t="s">
        <v>474</v>
      </c>
      <c r="E1804" s="119" t="s">
        <v>591</v>
      </c>
      <c r="F1804" s="119" t="s">
        <v>90</v>
      </c>
      <c r="G1804" s="77">
        <v>10</v>
      </c>
      <c r="H1804" s="77" t="s">
        <v>475</v>
      </c>
      <c r="I1804" s="77" t="s">
        <v>82</v>
      </c>
    </row>
    <row r="1805" spans="1:9" ht="13">
      <c r="A1805" s="118">
        <v>46188</v>
      </c>
      <c r="B1805" s="119">
        <v>7003024736</v>
      </c>
      <c r="C1805" s="119" t="s">
        <v>637</v>
      </c>
      <c r="D1805" s="119" t="s">
        <v>474</v>
      </c>
      <c r="E1805" s="119" t="s">
        <v>454</v>
      </c>
      <c r="F1805" s="119" t="s">
        <v>90</v>
      </c>
      <c r="G1805" s="77">
        <v>2</v>
      </c>
      <c r="H1805" s="77" t="s">
        <v>475</v>
      </c>
      <c r="I1805" s="77" t="s">
        <v>82</v>
      </c>
    </row>
    <row r="1806" spans="1:9" ht="13">
      <c r="A1806" s="118">
        <v>46188</v>
      </c>
      <c r="B1806" s="119">
        <v>7003025815</v>
      </c>
      <c r="C1806" s="119" t="s">
        <v>637</v>
      </c>
      <c r="D1806" s="119" t="s">
        <v>474</v>
      </c>
      <c r="E1806" s="119" t="s">
        <v>463</v>
      </c>
      <c r="F1806" s="119" t="s">
        <v>90</v>
      </c>
      <c r="G1806" s="77">
        <v>5</v>
      </c>
      <c r="H1806" s="77" t="s">
        <v>475</v>
      </c>
      <c r="I1806" s="77" t="s">
        <v>82</v>
      </c>
    </row>
    <row r="1807" spans="1:9" ht="13">
      <c r="A1807" s="118">
        <v>46188</v>
      </c>
      <c r="B1807" s="119">
        <v>7002919767</v>
      </c>
      <c r="C1807" s="119" t="s">
        <v>637</v>
      </c>
      <c r="D1807" s="119" t="s">
        <v>474</v>
      </c>
      <c r="E1807" s="119" t="s">
        <v>554</v>
      </c>
      <c r="F1807" s="119" t="s">
        <v>90</v>
      </c>
      <c r="G1807" s="77">
        <v>1</v>
      </c>
      <c r="H1807" s="77" t="s">
        <v>475</v>
      </c>
      <c r="I1807" s="77" t="s">
        <v>82</v>
      </c>
    </row>
    <row r="1808" spans="1:9" ht="13">
      <c r="A1808" s="118">
        <v>46188</v>
      </c>
      <c r="B1808" s="119">
        <v>7003027817</v>
      </c>
      <c r="C1808" s="119" t="s">
        <v>637</v>
      </c>
      <c r="D1808" s="119" t="s">
        <v>474</v>
      </c>
      <c r="E1808" s="119" t="s">
        <v>533</v>
      </c>
      <c r="F1808" s="119" t="s">
        <v>90</v>
      </c>
      <c r="G1808" s="77">
        <v>1</v>
      </c>
      <c r="H1808" s="77" t="s">
        <v>475</v>
      </c>
      <c r="I1808" s="77" t="s">
        <v>82</v>
      </c>
    </row>
    <row r="1809" spans="1:9" ht="13">
      <c r="A1809" s="118">
        <v>46188</v>
      </c>
      <c r="B1809" s="119">
        <v>7003024983</v>
      </c>
      <c r="C1809" s="119" t="s">
        <v>637</v>
      </c>
      <c r="D1809" s="119" t="s">
        <v>474</v>
      </c>
      <c r="E1809" s="119" t="s">
        <v>91</v>
      </c>
      <c r="F1809" s="119" t="s">
        <v>90</v>
      </c>
      <c r="G1809" s="77">
        <v>2</v>
      </c>
      <c r="H1809" s="77" t="s">
        <v>475</v>
      </c>
      <c r="I1809" s="77" t="s">
        <v>82</v>
      </c>
    </row>
    <row r="1810" spans="1:9" ht="13">
      <c r="A1810" s="118">
        <v>46188</v>
      </c>
      <c r="B1810" s="119">
        <v>7003033049</v>
      </c>
      <c r="C1810" s="119" t="s">
        <v>637</v>
      </c>
      <c r="D1810" s="119" t="s">
        <v>474</v>
      </c>
      <c r="E1810" s="119" t="s">
        <v>463</v>
      </c>
      <c r="F1810" s="119" t="s">
        <v>90</v>
      </c>
      <c r="G1810" s="77">
        <v>2</v>
      </c>
      <c r="H1810" s="77" t="s">
        <v>475</v>
      </c>
      <c r="I1810" s="77" t="s">
        <v>82</v>
      </c>
    </row>
    <row r="1811" spans="1:9" ht="13">
      <c r="A1811" s="118">
        <v>46188</v>
      </c>
      <c r="B1811" s="119">
        <v>7003038113</v>
      </c>
      <c r="C1811" s="119" t="s">
        <v>637</v>
      </c>
      <c r="D1811" s="119" t="s">
        <v>479</v>
      </c>
      <c r="E1811" s="119" t="s">
        <v>103</v>
      </c>
      <c r="F1811" s="119" t="s">
        <v>90</v>
      </c>
      <c r="G1811" s="77">
        <v>1</v>
      </c>
      <c r="H1811" s="77" t="s">
        <v>475</v>
      </c>
      <c r="I1811" s="77" t="s">
        <v>82</v>
      </c>
    </row>
    <row r="1812" spans="1:9" ht="13">
      <c r="A1812" s="118">
        <v>46188</v>
      </c>
      <c r="B1812" s="119">
        <v>7002926146</v>
      </c>
      <c r="C1812" s="119" t="s">
        <v>637</v>
      </c>
      <c r="D1812" s="119" t="s">
        <v>474</v>
      </c>
      <c r="E1812" s="119" t="s">
        <v>452</v>
      </c>
      <c r="F1812" s="119" t="s">
        <v>90</v>
      </c>
      <c r="G1812" s="77">
        <v>1</v>
      </c>
      <c r="H1812" s="77" t="s">
        <v>475</v>
      </c>
      <c r="I1812" s="77" t="s">
        <v>82</v>
      </c>
    </row>
    <row r="1813" spans="1:9" ht="13">
      <c r="A1813" s="118">
        <v>46188</v>
      </c>
      <c r="B1813" s="119">
        <v>7002924141</v>
      </c>
      <c r="C1813" s="119" t="s">
        <v>637</v>
      </c>
      <c r="D1813" s="119" t="s">
        <v>474</v>
      </c>
      <c r="E1813" s="119" t="s">
        <v>452</v>
      </c>
      <c r="F1813" s="119" t="s">
        <v>90</v>
      </c>
      <c r="G1813" s="77">
        <v>1</v>
      </c>
      <c r="H1813" s="77" t="s">
        <v>475</v>
      </c>
      <c r="I1813" s="77" t="s">
        <v>82</v>
      </c>
    </row>
    <row r="1814" spans="1:9" ht="13">
      <c r="A1814" s="118">
        <v>46188</v>
      </c>
      <c r="B1814" s="119">
        <v>7002925073</v>
      </c>
      <c r="C1814" s="119" t="s">
        <v>637</v>
      </c>
      <c r="D1814" s="119" t="s">
        <v>474</v>
      </c>
      <c r="E1814" s="119" t="s">
        <v>554</v>
      </c>
      <c r="F1814" s="119" t="s">
        <v>90</v>
      </c>
      <c r="G1814" s="77">
        <v>1</v>
      </c>
      <c r="H1814" s="77" t="s">
        <v>475</v>
      </c>
      <c r="I1814" s="77" t="s">
        <v>82</v>
      </c>
    </row>
    <row r="1815" spans="1:9" ht="13">
      <c r="A1815" s="118">
        <v>46188</v>
      </c>
      <c r="B1815" s="119">
        <v>7002926061</v>
      </c>
      <c r="C1815" s="119" t="s">
        <v>637</v>
      </c>
      <c r="D1815" s="119" t="s">
        <v>474</v>
      </c>
      <c r="E1815" s="119" t="s">
        <v>554</v>
      </c>
      <c r="F1815" s="119" t="s">
        <v>90</v>
      </c>
      <c r="G1815" s="77">
        <v>1</v>
      </c>
      <c r="H1815" s="77" t="s">
        <v>475</v>
      </c>
      <c r="I1815" s="77" t="s">
        <v>82</v>
      </c>
    </row>
    <row r="1816" spans="1:9" ht="13">
      <c r="A1816" s="118">
        <v>46188</v>
      </c>
      <c r="B1816" s="119">
        <v>7002925025</v>
      </c>
      <c r="C1816" s="119" t="s">
        <v>637</v>
      </c>
      <c r="D1816" s="119" t="s">
        <v>474</v>
      </c>
      <c r="E1816" s="119" t="s">
        <v>554</v>
      </c>
      <c r="F1816" s="119" t="s">
        <v>90</v>
      </c>
      <c r="G1816" s="77">
        <v>1</v>
      </c>
      <c r="H1816" s="77" t="s">
        <v>475</v>
      </c>
      <c r="I1816" s="77" t="s">
        <v>82</v>
      </c>
    </row>
    <row r="1817" spans="1:9" ht="13">
      <c r="A1817" s="118">
        <v>46188</v>
      </c>
      <c r="B1817" s="119">
        <v>7003022866</v>
      </c>
      <c r="C1817" s="119" t="s">
        <v>637</v>
      </c>
      <c r="D1817" s="119" t="s">
        <v>474</v>
      </c>
      <c r="E1817" s="119" t="s">
        <v>91</v>
      </c>
      <c r="F1817" s="119" t="s">
        <v>90</v>
      </c>
      <c r="G1817" s="77">
        <v>1</v>
      </c>
      <c r="H1817" s="77" t="s">
        <v>475</v>
      </c>
      <c r="I1817" s="77" t="s">
        <v>82</v>
      </c>
    </row>
    <row r="1818" spans="1:9" ht="13">
      <c r="A1818" s="118">
        <v>46188</v>
      </c>
      <c r="B1818" s="119">
        <v>7003019246</v>
      </c>
      <c r="C1818" s="119" t="s">
        <v>637</v>
      </c>
      <c r="D1818" s="119" t="s">
        <v>474</v>
      </c>
      <c r="E1818" s="119" t="s">
        <v>538</v>
      </c>
      <c r="F1818" s="119" t="s">
        <v>90</v>
      </c>
      <c r="G1818" s="77">
        <v>1</v>
      </c>
      <c r="H1818" s="77" t="s">
        <v>475</v>
      </c>
      <c r="I1818" s="77" t="s">
        <v>82</v>
      </c>
    </row>
    <row r="1819" spans="1:9" ht="13">
      <c r="A1819" s="118">
        <v>46188</v>
      </c>
      <c r="B1819" s="119">
        <v>7002971567</v>
      </c>
      <c r="C1819" s="119" t="s">
        <v>637</v>
      </c>
      <c r="D1819" s="119" t="s">
        <v>474</v>
      </c>
      <c r="E1819" s="119" t="s">
        <v>525</v>
      </c>
      <c r="F1819" s="119" t="s">
        <v>90</v>
      </c>
      <c r="G1819" s="77">
        <v>23</v>
      </c>
      <c r="H1819" s="77" t="s">
        <v>475</v>
      </c>
      <c r="I1819" s="77" t="s">
        <v>82</v>
      </c>
    </row>
    <row r="1820" spans="1:9" ht="13">
      <c r="A1820" s="118">
        <v>46188</v>
      </c>
      <c r="B1820" s="119">
        <v>7003006734</v>
      </c>
      <c r="C1820" s="119" t="s">
        <v>637</v>
      </c>
      <c r="D1820" s="119" t="s">
        <v>474</v>
      </c>
      <c r="E1820" s="119" t="s">
        <v>98</v>
      </c>
      <c r="F1820" s="119" t="s">
        <v>90</v>
      </c>
      <c r="G1820" s="77">
        <v>3</v>
      </c>
      <c r="H1820" s="77" t="s">
        <v>475</v>
      </c>
      <c r="I1820" s="77" t="s">
        <v>82</v>
      </c>
    </row>
    <row r="1821" spans="1:9" ht="13">
      <c r="A1821" s="118">
        <v>46188</v>
      </c>
      <c r="B1821" s="119">
        <v>7003004543</v>
      </c>
      <c r="C1821" s="119" t="s">
        <v>637</v>
      </c>
      <c r="D1821" s="119" t="s">
        <v>474</v>
      </c>
      <c r="E1821" s="119" t="s">
        <v>486</v>
      </c>
      <c r="F1821" s="119" t="s">
        <v>90</v>
      </c>
      <c r="G1821" s="77">
        <v>2</v>
      </c>
      <c r="H1821" s="77" t="s">
        <v>475</v>
      </c>
      <c r="I1821" s="77" t="s">
        <v>82</v>
      </c>
    </row>
    <row r="1822" spans="1:9" ht="13">
      <c r="A1822" s="118">
        <v>46188</v>
      </c>
      <c r="B1822" s="119">
        <v>7003008488</v>
      </c>
      <c r="C1822" s="119" t="s">
        <v>637</v>
      </c>
      <c r="D1822" s="119" t="s">
        <v>474</v>
      </c>
      <c r="E1822" s="119" t="s">
        <v>486</v>
      </c>
      <c r="F1822" s="119" t="s">
        <v>90</v>
      </c>
      <c r="G1822" s="77">
        <v>1</v>
      </c>
      <c r="H1822" s="77" t="s">
        <v>475</v>
      </c>
      <c r="I1822" s="77" t="s">
        <v>82</v>
      </c>
    </row>
    <row r="1823" spans="1:9" ht="13">
      <c r="A1823" s="118">
        <v>46188</v>
      </c>
      <c r="B1823" s="119">
        <v>7003000405</v>
      </c>
      <c r="C1823" s="119" t="s">
        <v>637</v>
      </c>
      <c r="D1823" s="119" t="s">
        <v>474</v>
      </c>
      <c r="E1823" s="119" t="s">
        <v>486</v>
      </c>
      <c r="F1823" s="119" t="s">
        <v>90</v>
      </c>
      <c r="G1823" s="77">
        <v>1</v>
      </c>
      <c r="H1823" s="77" t="s">
        <v>475</v>
      </c>
      <c r="I1823" s="77" t="s">
        <v>82</v>
      </c>
    </row>
    <row r="1824" spans="1:9" ht="13">
      <c r="A1824" s="118">
        <v>46188</v>
      </c>
      <c r="B1824" s="119">
        <v>7003001328</v>
      </c>
      <c r="C1824" s="119" t="s">
        <v>637</v>
      </c>
      <c r="D1824" s="119" t="s">
        <v>474</v>
      </c>
      <c r="E1824" s="119" t="s">
        <v>486</v>
      </c>
      <c r="F1824" s="119" t="s">
        <v>90</v>
      </c>
      <c r="G1824" s="77">
        <v>9</v>
      </c>
      <c r="H1824" s="77" t="s">
        <v>475</v>
      </c>
      <c r="I1824" s="77" t="s">
        <v>82</v>
      </c>
    </row>
    <row r="1825" spans="1:9" ht="13">
      <c r="A1825" s="118">
        <v>46188</v>
      </c>
      <c r="B1825" s="119">
        <v>7003005313</v>
      </c>
      <c r="C1825" s="119" t="s">
        <v>637</v>
      </c>
      <c r="D1825" s="119" t="s">
        <v>474</v>
      </c>
      <c r="E1825" s="119" t="s">
        <v>486</v>
      </c>
      <c r="F1825" s="119" t="s">
        <v>90</v>
      </c>
      <c r="G1825" s="77">
        <v>2</v>
      </c>
      <c r="H1825" s="77" t="s">
        <v>475</v>
      </c>
      <c r="I1825" s="77" t="s">
        <v>82</v>
      </c>
    </row>
    <row r="1826" spans="1:9" ht="13">
      <c r="A1826" s="118">
        <v>46188</v>
      </c>
      <c r="B1826" s="119">
        <v>7003000110</v>
      </c>
      <c r="C1826" s="119" t="s">
        <v>637</v>
      </c>
      <c r="D1826" s="119" t="s">
        <v>474</v>
      </c>
      <c r="E1826" s="119" t="s">
        <v>91</v>
      </c>
      <c r="F1826" s="119" t="s">
        <v>90</v>
      </c>
      <c r="G1826" s="77">
        <v>5</v>
      </c>
      <c r="H1826" s="77" t="s">
        <v>475</v>
      </c>
      <c r="I1826" s="77" t="s">
        <v>82</v>
      </c>
    </row>
    <row r="1827" spans="1:9" ht="13">
      <c r="A1827" s="118">
        <v>46188</v>
      </c>
      <c r="B1827" s="119">
        <v>7002999980</v>
      </c>
      <c r="C1827" s="119" t="s">
        <v>637</v>
      </c>
      <c r="D1827" s="119" t="s">
        <v>474</v>
      </c>
      <c r="E1827" s="119" t="s">
        <v>486</v>
      </c>
      <c r="F1827" s="119" t="s">
        <v>90</v>
      </c>
      <c r="G1827" s="77">
        <v>4</v>
      </c>
      <c r="H1827" s="77" t="s">
        <v>475</v>
      </c>
      <c r="I1827" s="77" t="s">
        <v>82</v>
      </c>
    </row>
    <row r="1828" spans="1:9" ht="13">
      <c r="A1828" s="118">
        <v>46188</v>
      </c>
      <c r="B1828" s="119">
        <v>7002996969</v>
      </c>
      <c r="C1828" s="119" t="s">
        <v>637</v>
      </c>
      <c r="D1828" s="119" t="s">
        <v>474</v>
      </c>
      <c r="E1828" s="119" t="s">
        <v>486</v>
      </c>
      <c r="F1828" s="119" t="s">
        <v>90</v>
      </c>
      <c r="G1828" s="77">
        <v>28</v>
      </c>
      <c r="H1828" s="77" t="s">
        <v>475</v>
      </c>
      <c r="I1828" s="77" t="s">
        <v>82</v>
      </c>
    </row>
    <row r="1829" spans="1:9" ht="13">
      <c r="A1829" s="118">
        <v>46188</v>
      </c>
      <c r="B1829" s="119">
        <v>7003012080</v>
      </c>
      <c r="C1829" s="119" t="s">
        <v>637</v>
      </c>
      <c r="D1829" s="119" t="s">
        <v>479</v>
      </c>
      <c r="E1829" s="119" t="s">
        <v>470</v>
      </c>
      <c r="F1829" s="119" t="s">
        <v>90</v>
      </c>
      <c r="G1829" s="77">
        <v>37</v>
      </c>
      <c r="H1829" s="77" t="s">
        <v>475</v>
      </c>
      <c r="I1829" s="77" t="s">
        <v>82</v>
      </c>
    </row>
    <row r="1830" spans="1:9" ht="13">
      <c r="A1830" s="118">
        <v>46188</v>
      </c>
      <c r="B1830" s="119">
        <v>7003019087</v>
      </c>
      <c r="C1830" s="119" t="s">
        <v>637</v>
      </c>
      <c r="D1830" s="119" t="s">
        <v>515</v>
      </c>
      <c r="E1830" s="119" t="s">
        <v>470</v>
      </c>
      <c r="F1830" s="119" t="s">
        <v>90</v>
      </c>
      <c r="G1830" s="77">
        <v>293</v>
      </c>
      <c r="H1830" s="77" t="s">
        <v>475</v>
      </c>
      <c r="I1830" s="77" t="s">
        <v>82</v>
      </c>
    </row>
    <row r="1831" spans="1:9" ht="13">
      <c r="A1831" s="118">
        <v>46188</v>
      </c>
      <c r="B1831" s="119">
        <v>7002991919</v>
      </c>
      <c r="C1831" s="119" t="s">
        <v>637</v>
      </c>
      <c r="D1831" s="119" t="s">
        <v>474</v>
      </c>
      <c r="E1831" s="119" t="s">
        <v>547</v>
      </c>
      <c r="F1831" s="119" t="s">
        <v>90</v>
      </c>
      <c r="G1831" s="77">
        <v>6</v>
      </c>
      <c r="H1831" s="77" t="s">
        <v>475</v>
      </c>
      <c r="I1831" s="77" t="s">
        <v>505</v>
      </c>
    </row>
    <row r="1832" spans="1:9" ht="13">
      <c r="A1832" s="118">
        <v>46188</v>
      </c>
      <c r="B1832" s="119">
        <v>7002994750</v>
      </c>
      <c r="C1832" s="119" t="s">
        <v>637</v>
      </c>
      <c r="D1832" s="119" t="s">
        <v>474</v>
      </c>
      <c r="E1832" s="119" t="s">
        <v>486</v>
      </c>
      <c r="F1832" s="119" t="s">
        <v>90</v>
      </c>
      <c r="G1832" s="77">
        <v>2</v>
      </c>
      <c r="H1832" s="77" t="s">
        <v>475</v>
      </c>
      <c r="I1832" s="77" t="s">
        <v>82</v>
      </c>
    </row>
    <row r="1833" spans="1:9" ht="13">
      <c r="A1833" s="118">
        <v>46188</v>
      </c>
      <c r="B1833" s="119">
        <v>7002999619</v>
      </c>
      <c r="C1833" s="119" t="s">
        <v>637</v>
      </c>
      <c r="D1833" s="119" t="s">
        <v>474</v>
      </c>
      <c r="E1833" s="119" t="s">
        <v>486</v>
      </c>
      <c r="F1833" s="119" t="s">
        <v>90</v>
      </c>
      <c r="G1833" s="77">
        <v>4</v>
      </c>
      <c r="H1833" s="77" t="s">
        <v>475</v>
      </c>
      <c r="I1833" s="77" t="s">
        <v>82</v>
      </c>
    </row>
    <row r="1834" spans="1:9" ht="13">
      <c r="A1834" s="118">
        <v>46188</v>
      </c>
      <c r="B1834" s="119">
        <v>7002995342</v>
      </c>
      <c r="C1834" s="119" t="s">
        <v>637</v>
      </c>
      <c r="D1834" s="119" t="s">
        <v>474</v>
      </c>
      <c r="E1834" s="119" t="s">
        <v>98</v>
      </c>
      <c r="F1834" s="119" t="s">
        <v>90</v>
      </c>
      <c r="G1834" s="77">
        <v>2</v>
      </c>
      <c r="H1834" s="77" t="s">
        <v>475</v>
      </c>
      <c r="I1834" s="77" t="s">
        <v>82</v>
      </c>
    </row>
    <row r="1835" spans="1:9" ht="13">
      <c r="A1835" s="118">
        <v>46188</v>
      </c>
      <c r="B1835" s="119">
        <v>7003013097</v>
      </c>
      <c r="C1835" s="119" t="s">
        <v>637</v>
      </c>
      <c r="D1835" s="119" t="s">
        <v>474</v>
      </c>
      <c r="E1835" s="119" t="s">
        <v>463</v>
      </c>
      <c r="F1835" s="119" t="s">
        <v>90</v>
      </c>
      <c r="G1835" s="77">
        <v>1</v>
      </c>
      <c r="H1835" s="77" t="s">
        <v>475</v>
      </c>
      <c r="I1835" s="77" t="s">
        <v>82</v>
      </c>
    </row>
    <row r="1836" spans="1:9" ht="13">
      <c r="A1836" s="118">
        <v>46188</v>
      </c>
      <c r="B1836" s="119">
        <v>7002993189</v>
      </c>
      <c r="C1836" s="119" t="s">
        <v>637</v>
      </c>
      <c r="D1836" s="119" t="s">
        <v>474</v>
      </c>
      <c r="E1836" s="119" t="s">
        <v>486</v>
      </c>
      <c r="F1836" s="119" t="s">
        <v>90</v>
      </c>
      <c r="G1836" s="77">
        <v>40</v>
      </c>
      <c r="H1836" s="77" t="s">
        <v>475</v>
      </c>
      <c r="I1836" s="77" t="s">
        <v>82</v>
      </c>
    </row>
    <row r="1837" spans="1:9" ht="13">
      <c r="A1837" s="118">
        <v>46188</v>
      </c>
      <c r="B1837" s="119">
        <v>7002990125</v>
      </c>
      <c r="C1837" s="119" t="s">
        <v>637</v>
      </c>
      <c r="D1837" s="119" t="s">
        <v>474</v>
      </c>
      <c r="E1837" s="119" t="s">
        <v>486</v>
      </c>
      <c r="F1837" s="119" t="s">
        <v>90</v>
      </c>
      <c r="G1837" s="77">
        <v>7</v>
      </c>
      <c r="H1837" s="77" t="s">
        <v>475</v>
      </c>
      <c r="I1837" s="77" t="s">
        <v>82</v>
      </c>
    </row>
    <row r="1838" spans="1:9" ht="13">
      <c r="A1838" s="118">
        <v>46188</v>
      </c>
      <c r="B1838" s="119">
        <v>7002998110</v>
      </c>
      <c r="C1838" s="119" t="s">
        <v>637</v>
      </c>
      <c r="D1838" s="119" t="s">
        <v>474</v>
      </c>
      <c r="E1838" s="119" t="s">
        <v>528</v>
      </c>
      <c r="F1838" s="119" t="s">
        <v>90</v>
      </c>
      <c r="G1838" s="77">
        <v>1</v>
      </c>
      <c r="H1838" s="77" t="s">
        <v>475</v>
      </c>
      <c r="I1838" s="77" t="s">
        <v>82</v>
      </c>
    </row>
    <row r="1839" spans="1:9" ht="13">
      <c r="A1839" s="118">
        <v>46188</v>
      </c>
      <c r="B1839" s="119">
        <v>7003011099</v>
      </c>
      <c r="C1839" s="119" t="s">
        <v>637</v>
      </c>
      <c r="D1839" s="119" t="s">
        <v>474</v>
      </c>
      <c r="E1839" s="119" t="s">
        <v>533</v>
      </c>
      <c r="F1839" s="119" t="s">
        <v>90</v>
      </c>
      <c r="G1839" s="77">
        <v>1</v>
      </c>
      <c r="H1839" s="77" t="s">
        <v>475</v>
      </c>
      <c r="I1839" s="77" t="s">
        <v>82</v>
      </c>
    </row>
    <row r="1840" spans="1:9" ht="13">
      <c r="A1840" s="118">
        <v>46188</v>
      </c>
      <c r="B1840" s="119">
        <v>7003009829</v>
      </c>
      <c r="C1840" s="119" t="s">
        <v>637</v>
      </c>
      <c r="D1840" s="119" t="s">
        <v>474</v>
      </c>
      <c r="E1840" s="119" t="s">
        <v>98</v>
      </c>
      <c r="F1840" s="119" t="s">
        <v>90</v>
      </c>
      <c r="G1840" s="77">
        <v>2</v>
      </c>
      <c r="H1840" s="77" t="s">
        <v>475</v>
      </c>
      <c r="I1840" s="77" t="s">
        <v>505</v>
      </c>
    </row>
    <row r="1841" spans="1:9" ht="13">
      <c r="A1841" s="118">
        <v>46188</v>
      </c>
      <c r="B1841" s="119">
        <v>7003002930</v>
      </c>
      <c r="C1841" s="119" t="s">
        <v>637</v>
      </c>
      <c r="D1841" s="119" t="s">
        <v>474</v>
      </c>
      <c r="E1841" s="119" t="s">
        <v>463</v>
      </c>
      <c r="F1841" s="119" t="s">
        <v>90</v>
      </c>
      <c r="G1841" s="77">
        <v>4</v>
      </c>
      <c r="H1841" s="77" t="s">
        <v>475</v>
      </c>
      <c r="I1841" s="77" t="s">
        <v>82</v>
      </c>
    </row>
    <row r="1842" spans="1:9" ht="13">
      <c r="A1842" s="118">
        <v>46188</v>
      </c>
      <c r="B1842" s="119">
        <v>7003014049</v>
      </c>
      <c r="C1842" s="119" t="s">
        <v>637</v>
      </c>
      <c r="D1842" s="119" t="s">
        <v>479</v>
      </c>
      <c r="E1842" s="119" t="s">
        <v>103</v>
      </c>
      <c r="F1842" s="119" t="s">
        <v>90</v>
      </c>
      <c r="G1842" s="77">
        <v>1</v>
      </c>
      <c r="H1842" s="77" t="s">
        <v>475</v>
      </c>
      <c r="I1842" s="77" t="s">
        <v>82</v>
      </c>
    </row>
    <row r="1843" spans="1:9" ht="13">
      <c r="A1843" s="118">
        <v>46188</v>
      </c>
      <c r="B1843" s="119">
        <v>7003019060</v>
      </c>
      <c r="C1843" s="119" t="s">
        <v>637</v>
      </c>
      <c r="D1843" s="119" t="s">
        <v>515</v>
      </c>
      <c r="E1843" s="119" t="s">
        <v>470</v>
      </c>
      <c r="F1843" s="119" t="s">
        <v>90</v>
      </c>
      <c r="G1843" s="77">
        <v>70</v>
      </c>
      <c r="H1843" s="77" t="s">
        <v>475</v>
      </c>
      <c r="I1843" s="77" t="s">
        <v>82</v>
      </c>
    </row>
    <row r="1844" spans="1:9" ht="13">
      <c r="A1844" s="118">
        <v>46188</v>
      </c>
      <c r="B1844" s="119">
        <v>7003014031</v>
      </c>
      <c r="C1844" s="119" t="s">
        <v>637</v>
      </c>
      <c r="D1844" s="119" t="s">
        <v>474</v>
      </c>
      <c r="E1844" s="119" t="s">
        <v>533</v>
      </c>
      <c r="F1844" s="119" t="s">
        <v>90</v>
      </c>
      <c r="G1844" s="77">
        <v>35</v>
      </c>
      <c r="H1844" s="77" t="s">
        <v>475</v>
      </c>
      <c r="I1844" s="77" t="s">
        <v>82</v>
      </c>
    </row>
    <row r="1845" spans="1:9" ht="13">
      <c r="A1845" s="118">
        <v>46188</v>
      </c>
      <c r="B1845" s="119">
        <v>7003016036</v>
      </c>
      <c r="C1845" s="119" t="s">
        <v>637</v>
      </c>
      <c r="D1845" s="119" t="s">
        <v>474</v>
      </c>
      <c r="E1845" s="119" t="s">
        <v>463</v>
      </c>
      <c r="F1845" s="119" t="s">
        <v>90</v>
      </c>
      <c r="G1845" s="77">
        <v>12</v>
      </c>
      <c r="H1845" s="77" t="s">
        <v>475</v>
      </c>
      <c r="I1845" s="77" t="s">
        <v>82</v>
      </c>
    </row>
    <row r="1846" spans="1:9" ht="13">
      <c r="A1846" s="118">
        <v>46188</v>
      </c>
      <c r="B1846" s="119">
        <v>7003017037</v>
      </c>
      <c r="C1846" s="119" t="s">
        <v>637</v>
      </c>
      <c r="D1846" s="119" t="s">
        <v>474</v>
      </c>
      <c r="E1846" s="119" t="s">
        <v>98</v>
      </c>
      <c r="F1846" s="119" t="s">
        <v>90</v>
      </c>
      <c r="G1846" s="77">
        <v>38</v>
      </c>
      <c r="H1846" s="77" t="s">
        <v>475</v>
      </c>
      <c r="I1846" s="77" t="s">
        <v>82</v>
      </c>
    </row>
    <row r="1847" spans="1:9" ht="13">
      <c r="A1847" s="118">
        <v>46188</v>
      </c>
      <c r="B1847" s="119">
        <v>7003017028</v>
      </c>
      <c r="C1847" s="119" t="s">
        <v>637</v>
      </c>
      <c r="D1847" s="119" t="s">
        <v>479</v>
      </c>
      <c r="E1847" s="119" t="s">
        <v>103</v>
      </c>
      <c r="F1847" s="119" t="s">
        <v>90</v>
      </c>
      <c r="G1847" s="77">
        <v>7</v>
      </c>
      <c r="H1847" s="77" t="s">
        <v>475</v>
      </c>
      <c r="I1847" s="77" t="s">
        <v>82</v>
      </c>
    </row>
    <row r="1848" spans="1:9" ht="13">
      <c r="A1848" s="118">
        <v>46188</v>
      </c>
      <c r="B1848" s="119">
        <v>7003012005</v>
      </c>
      <c r="C1848" s="119" t="s">
        <v>637</v>
      </c>
      <c r="D1848" s="119" t="s">
        <v>515</v>
      </c>
      <c r="E1848" s="119" t="s">
        <v>470</v>
      </c>
      <c r="F1848" s="119" t="s">
        <v>90</v>
      </c>
      <c r="G1848" s="77">
        <v>43</v>
      </c>
      <c r="H1848" s="77" t="s">
        <v>475</v>
      </c>
      <c r="I1848" s="77" t="s">
        <v>82</v>
      </c>
    </row>
    <row r="1849" spans="1:9" ht="13">
      <c r="A1849" s="118">
        <v>46188</v>
      </c>
      <c r="B1849" s="119">
        <v>7003010007</v>
      </c>
      <c r="C1849" s="119" t="s">
        <v>637</v>
      </c>
      <c r="D1849" s="119" t="s">
        <v>515</v>
      </c>
      <c r="E1849" s="119" t="s">
        <v>470</v>
      </c>
      <c r="F1849" s="119" t="s">
        <v>90</v>
      </c>
      <c r="G1849" s="77">
        <v>41</v>
      </c>
      <c r="H1849" s="77" t="s">
        <v>475</v>
      </c>
      <c r="I1849" s="77" t="s">
        <v>82</v>
      </c>
    </row>
    <row r="1850" spans="1:9" ht="13">
      <c r="A1850" s="118">
        <v>46188</v>
      </c>
      <c r="B1850" s="119">
        <v>7003017016</v>
      </c>
      <c r="C1850" s="119" t="s">
        <v>637</v>
      </c>
      <c r="D1850" s="119" t="s">
        <v>479</v>
      </c>
      <c r="E1850" s="119" t="s">
        <v>470</v>
      </c>
      <c r="F1850" s="119" t="s">
        <v>90</v>
      </c>
      <c r="G1850" s="77">
        <v>11</v>
      </c>
      <c r="H1850" s="77" t="s">
        <v>475</v>
      </c>
      <c r="I1850" s="77" t="s">
        <v>82</v>
      </c>
    </row>
    <row r="1851" spans="1:9" ht="13">
      <c r="A1851" s="118">
        <v>46188</v>
      </c>
      <c r="B1851" s="119">
        <v>7003011010</v>
      </c>
      <c r="C1851" s="119" t="s">
        <v>637</v>
      </c>
      <c r="D1851" s="119" t="s">
        <v>474</v>
      </c>
      <c r="E1851" s="119" t="s">
        <v>463</v>
      </c>
      <c r="F1851" s="119" t="s">
        <v>90</v>
      </c>
      <c r="G1851" s="77">
        <v>3</v>
      </c>
      <c r="H1851" s="77" t="s">
        <v>475</v>
      </c>
      <c r="I1851" s="77" t="s">
        <v>82</v>
      </c>
    </row>
    <row r="1852" spans="1:9" ht="13">
      <c r="A1852" s="118">
        <v>46188</v>
      </c>
      <c r="B1852" s="119">
        <v>7003011006</v>
      </c>
      <c r="C1852" s="119" t="s">
        <v>637</v>
      </c>
      <c r="D1852" s="119" t="s">
        <v>474</v>
      </c>
      <c r="E1852" s="119" t="s">
        <v>463</v>
      </c>
      <c r="F1852" s="119" t="s">
        <v>90</v>
      </c>
      <c r="G1852" s="77">
        <v>3</v>
      </c>
      <c r="H1852" s="77" t="s">
        <v>475</v>
      </c>
      <c r="I1852" s="77" t="s">
        <v>82</v>
      </c>
    </row>
    <row r="1853" spans="1:9" ht="13">
      <c r="A1853" s="118">
        <v>46188</v>
      </c>
      <c r="B1853" s="119">
        <v>7003013013</v>
      </c>
      <c r="C1853" s="119" t="s">
        <v>637</v>
      </c>
      <c r="D1853" s="119" t="s">
        <v>474</v>
      </c>
      <c r="E1853" s="119" t="s">
        <v>98</v>
      </c>
      <c r="F1853" s="119" t="s">
        <v>90</v>
      </c>
      <c r="G1853" s="77">
        <v>1</v>
      </c>
      <c r="H1853" s="77" t="s">
        <v>475</v>
      </c>
      <c r="I1853" s="77" t="s">
        <v>82</v>
      </c>
    </row>
    <row r="1854" spans="1:9" ht="13">
      <c r="A1854" s="118">
        <v>46188</v>
      </c>
      <c r="B1854" s="119">
        <v>7003001996</v>
      </c>
      <c r="C1854" s="119" t="s">
        <v>637</v>
      </c>
      <c r="D1854" s="119" t="s">
        <v>474</v>
      </c>
      <c r="E1854" s="119" t="s">
        <v>533</v>
      </c>
      <c r="F1854" s="119" t="s">
        <v>90</v>
      </c>
      <c r="G1854" s="77">
        <v>41</v>
      </c>
      <c r="H1854" s="77" t="s">
        <v>475</v>
      </c>
      <c r="I1854" s="77" t="s">
        <v>82</v>
      </c>
    </row>
    <row r="1855" spans="1:9" ht="13">
      <c r="A1855" s="118">
        <v>46188</v>
      </c>
      <c r="B1855" s="119">
        <v>7003018001</v>
      </c>
      <c r="C1855" s="119" t="s">
        <v>637</v>
      </c>
      <c r="D1855" s="119" t="s">
        <v>474</v>
      </c>
      <c r="E1855" s="119" t="s">
        <v>91</v>
      </c>
      <c r="F1855" s="119" t="s">
        <v>90</v>
      </c>
      <c r="G1855" s="77">
        <v>22</v>
      </c>
      <c r="H1855" s="77" t="s">
        <v>475</v>
      </c>
      <c r="I1855" s="77" t="s">
        <v>82</v>
      </c>
    </row>
    <row r="1856" spans="1:9" ht="13">
      <c r="A1856" s="118">
        <v>46188</v>
      </c>
      <c r="B1856" s="119">
        <v>7003017000</v>
      </c>
      <c r="C1856" s="119" t="s">
        <v>637</v>
      </c>
      <c r="D1856" s="119" t="s">
        <v>474</v>
      </c>
      <c r="E1856" s="119" t="s">
        <v>91</v>
      </c>
      <c r="F1856" s="119" t="s">
        <v>90</v>
      </c>
      <c r="G1856" s="77">
        <v>3</v>
      </c>
      <c r="H1856" s="77" t="s">
        <v>475</v>
      </c>
      <c r="I1856" s="77" t="s">
        <v>82</v>
      </c>
    </row>
    <row r="1857" spans="1:9" ht="13">
      <c r="A1857" s="118">
        <v>46188</v>
      </c>
      <c r="B1857" s="119">
        <v>7003002995</v>
      </c>
      <c r="C1857" s="119" t="s">
        <v>637</v>
      </c>
      <c r="D1857" s="119" t="s">
        <v>474</v>
      </c>
      <c r="E1857" s="119" t="s">
        <v>98</v>
      </c>
      <c r="F1857" s="119" t="s">
        <v>90</v>
      </c>
      <c r="G1857" s="77">
        <v>2</v>
      </c>
      <c r="H1857" s="77" t="s">
        <v>475</v>
      </c>
      <c r="I1857" s="77" t="s">
        <v>82</v>
      </c>
    </row>
    <row r="1858" spans="1:9" ht="13">
      <c r="A1858" s="118">
        <v>46188</v>
      </c>
      <c r="B1858" s="119">
        <v>7003001977</v>
      </c>
      <c r="C1858" s="119" t="s">
        <v>637</v>
      </c>
      <c r="D1858" s="119" t="s">
        <v>474</v>
      </c>
      <c r="E1858" s="119" t="s">
        <v>463</v>
      </c>
      <c r="F1858" s="119" t="s">
        <v>90</v>
      </c>
      <c r="G1858" s="77">
        <v>4</v>
      </c>
      <c r="H1858" s="77" t="s">
        <v>475</v>
      </c>
      <c r="I1858" s="77" t="s">
        <v>82</v>
      </c>
    </row>
    <row r="1859" spans="1:9" ht="13">
      <c r="A1859" s="118">
        <v>46188</v>
      </c>
      <c r="B1859" s="119">
        <v>7003008958</v>
      </c>
      <c r="C1859" s="119" t="s">
        <v>637</v>
      </c>
      <c r="D1859" s="119" t="s">
        <v>474</v>
      </c>
      <c r="E1859" s="119" t="s">
        <v>91</v>
      </c>
      <c r="F1859" s="119" t="s">
        <v>90</v>
      </c>
      <c r="G1859" s="77">
        <v>17</v>
      </c>
      <c r="H1859" s="77" t="s">
        <v>475</v>
      </c>
      <c r="I1859" s="77" t="s">
        <v>82</v>
      </c>
    </row>
    <row r="1860" spans="1:9" ht="13">
      <c r="A1860" s="118">
        <v>46188</v>
      </c>
      <c r="B1860" s="119">
        <v>7003001954</v>
      </c>
      <c r="C1860" s="119" t="s">
        <v>637</v>
      </c>
      <c r="D1860" s="119" t="s">
        <v>474</v>
      </c>
      <c r="E1860" s="119" t="s">
        <v>463</v>
      </c>
      <c r="F1860" s="119" t="s">
        <v>90</v>
      </c>
      <c r="G1860" s="77">
        <v>3</v>
      </c>
      <c r="H1860" s="77" t="s">
        <v>475</v>
      </c>
      <c r="I1860" s="77" t="s">
        <v>82</v>
      </c>
    </row>
    <row r="1861" spans="1:9" ht="13">
      <c r="A1861" s="118">
        <v>46188</v>
      </c>
      <c r="B1861" s="119">
        <v>7003001949</v>
      </c>
      <c r="C1861" s="119" t="s">
        <v>637</v>
      </c>
      <c r="D1861" s="119" t="s">
        <v>474</v>
      </c>
      <c r="E1861" s="119" t="s">
        <v>91</v>
      </c>
      <c r="F1861" s="119" t="s">
        <v>90</v>
      </c>
      <c r="G1861" s="77">
        <v>3</v>
      </c>
      <c r="H1861" s="77" t="s">
        <v>475</v>
      </c>
      <c r="I1861" s="77" t="s">
        <v>82</v>
      </c>
    </row>
    <row r="1862" spans="1:9" ht="13">
      <c r="A1862" s="118">
        <v>46188</v>
      </c>
      <c r="B1862" s="119">
        <v>7003019073</v>
      </c>
      <c r="C1862" s="119" t="s">
        <v>637</v>
      </c>
      <c r="D1862" s="119" t="s">
        <v>474</v>
      </c>
      <c r="E1862" s="119" t="s">
        <v>454</v>
      </c>
      <c r="F1862" s="119" t="s">
        <v>90</v>
      </c>
      <c r="G1862" s="77">
        <v>13</v>
      </c>
      <c r="H1862" s="77" t="s">
        <v>475</v>
      </c>
      <c r="I1862" s="77" t="s">
        <v>82</v>
      </c>
    </row>
    <row r="1863" spans="1:9" ht="13">
      <c r="A1863" s="118">
        <v>46188</v>
      </c>
      <c r="B1863" s="119">
        <v>7003003934</v>
      </c>
      <c r="C1863" s="119" t="s">
        <v>637</v>
      </c>
      <c r="D1863" s="119" t="s">
        <v>474</v>
      </c>
      <c r="E1863" s="119" t="s">
        <v>463</v>
      </c>
      <c r="F1863" s="119" t="s">
        <v>90</v>
      </c>
      <c r="G1863" s="77">
        <v>4</v>
      </c>
      <c r="H1863" s="77" t="s">
        <v>475</v>
      </c>
      <c r="I1863" s="77" t="s">
        <v>82</v>
      </c>
    </row>
    <row r="1864" spans="1:9" ht="13">
      <c r="A1864" s="118">
        <v>46188</v>
      </c>
      <c r="B1864" s="119">
        <v>7003017071</v>
      </c>
      <c r="C1864" s="119" t="s">
        <v>637</v>
      </c>
      <c r="D1864" s="119" t="s">
        <v>479</v>
      </c>
      <c r="E1864" s="119" t="s">
        <v>470</v>
      </c>
      <c r="F1864" s="119" t="s">
        <v>90</v>
      </c>
      <c r="G1864" s="77">
        <v>50</v>
      </c>
      <c r="H1864" s="77" t="s">
        <v>475</v>
      </c>
      <c r="I1864" s="77" t="s">
        <v>82</v>
      </c>
    </row>
    <row r="1865" spans="1:9" ht="13">
      <c r="A1865" s="118">
        <v>46188</v>
      </c>
      <c r="B1865" s="119">
        <v>7003019109</v>
      </c>
      <c r="C1865" s="119" t="s">
        <v>637</v>
      </c>
      <c r="D1865" s="119" t="s">
        <v>479</v>
      </c>
      <c r="E1865" s="119" t="s">
        <v>470</v>
      </c>
      <c r="F1865" s="119" t="s">
        <v>90</v>
      </c>
      <c r="G1865" s="77">
        <v>3</v>
      </c>
      <c r="H1865" s="77" t="s">
        <v>475</v>
      </c>
      <c r="I1865" s="77" t="s">
        <v>82</v>
      </c>
    </row>
    <row r="1866" spans="1:9" ht="13">
      <c r="A1866" s="118">
        <v>46188</v>
      </c>
      <c r="B1866" s="119">
        <v>7003015114</v>
      </c>
      <c r="C1866" s="119" t="s">
        <v>637</v>
      </c>
      <c r="D1866" s="119" t="s">
        <v>474</v>
      </c>
      <c r="E1866" s="119" t="s">
        <v>539</v>
      </c>
      <c r="F1866" s="119" t="s">
        <v>90</v>
      </c>
      <c r="G1866" s="77">
        <v>1</v>
      </c>
      <c r="H1866" s="77" t="s">
        <v>475</v>
      </c>
      <c r="I1866" s="77" t="s">
        <v>82</v>
      </c>
    </row>
    <row r="1867" spans="1:9" ht="13">
      <c r="A1867" s="118">
        <v>46188</v>
      </c>
      <c r="B1867" s="119">
        <v>7002996002</v>
      </c>
      <c r="C1867" s="119" t="s">
        <v>637</v>
      </c>
      <c r="D1867" s="119" t="s">
        <v>474</v>
      </c>
      <c r="E1867" s="119" t="s">
        <v>486</v>
      </c>
      <c r="F1867" s="119" t="s">
        <v>90</v>
      </c>
      <c r="G1867" s="77">
        <v>6</v>
      </c>
      <c r="H1867" s="77" t="s">
        <v>475</v>
      </c>
      <c r="I1867" s="77" t="s">
        <v>82</v>
      </c>
    </row>
    <row r="1868" spans="1:9" ht="13">
      <c r="A1868" s="118">
        <v>46188</v>
      </c>
      <c r="B1868" s="119">
        <v>7002987752</v>
      </c>
      <c r="C1868" s="119" t="s">
        <v>637</v>
      </c>
      <c r="D1868" s="119" t="s">
        <v>474</v>
      </c>
      <c r="E1868" s="119" t="s">
        <v>486</v>
      </c>
      <c r="F1868" s="119" t="s">
        <v>90</v>
      </c>
      <c r="G1868" s="77">
        <v>10</v>
      </c>
      <c r="H1868" s="77" t="s">
        <v>475</v>
      </c>
      <c r="I1868" s="77" t="s">
        <v>82</v>
      </c>
    </row>
    <row r="1869" spans="1:9" ht="13">
      <c r="A1869" s="118">
        <v>46188</v>
      </c>
      <c r="B1869" s="119">
        <v>7002980755</v>
      </c>
      <c r="C1869" s="119" t="s">
        <v>637</v>
      </c>
      <c r="D1869" s="119" t="s">
        <v>479</v>
      </c>
      <c r="E1869" s="119" t="s">
        <v>470</v>
      </c>
      <c r="F1869" s="119" t="s">
        <v>90</v>
      </c>
      <c r="G1869" s="77">
        <v>17</v>
      </c>
      <c r="H1869" s="77" t="s">
        <v>475</v>
      </c>
      <c r="I1869" s="77" t="s">
        <v>82</v>
      </c>
    </row>
    <row r="1870" spans="1:9" ht="13">
      <c r="A1870" s="118">
        <v>46188</v>
      </c>
      <c r="B1870" s="119">
        <v>7002983735</v>
      </c>
      <c r="C1870" s="119" t="s">
        <v>637</v>
      </c>
      <c r="D1870" s="119" t="s">
        <v>474</v>
      </c>
      <c r="E1870" s="119" t="s">
        <v>486</v>
      </c>
      <c r="F1870" s="119" t="s">
        <v>90</v>
      </c>
      <c r="G1870" s="77">
        <v>64</v>
      </c>
      <c r="H1870" s="77" t="s">
        <v>475</v>
      </c>
      <c r="I1870" s="77" t="s">
        <v>82</v>
      </c>
    </row>
    <row r="1871" spans="1:9" ht="13">
      <c r="A1871" s="118">
        <v>46188</v>
      </c>
      <c r="B1871" s="119">
        <v>7002982727</v>
      </c>
      <c r="C1871" s="119" t="s">
        <v>637</v>
      </c>
      <c r="D1871" s="119" t="s">
        <v>515</v>
      </c>
      <c r="E1871" s="119" t="s">
        <v>470</v>
      </c>
      <c r="F1871" s="119" t="s">
        <v>90</v>
      </c>
      <c r="G1871" s="77">
        <v>9</v>
      </c>
      <c r="H1871" s="77" t="s">
        <v>475</v>
      </c>
      <c r="I1871" s="77" t="s">
        <v>82</v>
      </c>
    </row>
    <row r="1872" spans="1:9" ht="13">
      <c r="A1872" s="118">
        <v>46188</v>
      </c>
      <c r="B1872" s="119">
        <v>7002981700</v>
      </c>
      <c r="C1872" s="119" t="s">
        <v>637</v>
      </c>
      <c r="D1872" s="119" t="s">
        <v>474</v>
      </c>
      <c r="E1872" s="119" t="s">
        <v>454</v>
      </c>
      <c r="F1872" s="119" t="s">
        <v>90</v>
      </c>
      <c r="G1872" s="77">
        <v>4</v>
      </c>
      <c r="H1872" s="77" t="s">
        <v>475</v>
      </c>
      <c r="I1872" s="77" t="s">
        <v>82</v>
      </c>
    </row>
    <row r="1873" spans="1:9" ht="13">
      <c r="A1873" s="118">
        <v>46188</v>
      </c>
      <c r="B1873" s="119">
        <v>7003016230</v>
      </c>
      <c r="C1873" s="119" t="s">
        <v>637</v>
      </c>
      <c r="D1873" s="119" t="s">
        <v>474</v>
      </c>
      <c r="E1873" s="119" t="s">
        <v>91</v>
      </c>
      <c r="F1873" s="119" t="s">
        <v>90</v>
      </c>
      <c r="G1873" s="77">
        <v>12</v>
      </c>
      <c r="H1873" s="77" t="s">
        <v>475</v>
      </c>
      <c r="I1873" s="77" t="s">
        <v>82</v>
      </c>
    </row>
    <row r="1874" spans="1:9" ht="13">
      <c r="A1874" s="118">
        <v>46188</v>
      </c>
      <c r="B1874" s="119">
        <v>7003013255</v>
      </c>
      <c r="C1874" s="119" t="s">
        <v>637</v>
      </c>
      <c r="D1874" s="119" t="s">
        <v>474</v>
      </c>
      <c r="E1874" s="119" t="s">
        <v>91</v>
      </c>
      <c r="F1874" s="119" t="s">
        <v>90</v>
      </c>
      <c r="G1874" s="77">
        <v>1</v>
      </c>
      <c r="H1874" s="77" t="s">
        <v>475</v>
      </c>
      <c r="I1874" s="77" t="s">
        <v>82</v>
      </c>
    </row>
    <row r="1875" spans="1:9" ht="13">
      <c r="A1875" s="118">
        <v>46188</v>
      </c>
      <c r="B1875" s="119">
        <v>7003015247</v>
      </c>
      <c r="C1875" s="119" t="s">
        <v>637</v>
      </c>
      <c r="D1875" s="119" t="s">
        <v>474</v>
      </c>
      <c r="E1875" s="119" t="s">
        <v>91</v>
      </c>
      <c r="F1875" s="119" t="s">
        <v>90</v>
      </c>
      <c r="G1875" s="77">
        <v>3</v>
      </c>
      <c r="H1875" s="77" t="s">
        <v>475</v>
      </c>
      <c r="I1875" s="77" t="s">
        <v>82</v>
      </c>
    </row>
    <row r="1876" spans="1:9" ht="13">
      <c r="A1876" s="118">
        <v>46188</v>
      </c>
      <c r="B1876" s="119">
        <v>7002984662</v>
      </c>
      <c r="C1876" s="119" t="s">
        <v>637</v>
      </c>
      <c r="D1876" s="119" t="s">
        <v>474</v>
      </c>
      <c r="E1876" s="119" t="s">
        <v>91</v>
      </c>
      <c r="F1876" s="119" t="s">
        <v>90</v>
      </c>
      <c r="G1876" s="77">
        <v>3</v>
      </c>
      <c r="H1876" s="77" t="s">
        <v>475</v>
      </c>
      <c r="I1876" s="77" t="s">
        <v>82</v>
      </c>
    </row>
    <row r="1877" spans="1:9" ht="13">
      <c r="A1877" s="118">
        <v>46188</v>
      </c>
      <c r="B1877" s="119">
        <v>7002982655</v>
      </c>
      <c r="C1877" s="119" t="s">
        <v>637</v>
      </c>
      <c r="D1877" s="119" t="s">
        <v>474</v>
      </c>
      <c r="E1877" s="119" t="s">
        <v>98</v>
      </c>
      <c r="F1877" s="119" t="s">
        <v>90</v>
      </c>
      <c r="G1877" s="77">
        <v>2</v>
      </c>
      <c r="H1877" s="77" t="s">
        <v>475</v>
      </c>
      <c r="I1877" s="77" t="s">
        <v>82</v>
      </c>
    </row>
    <row r="1878" spans="1:9" ht="13">
      <c r="A1878" s="118">
        <v>46188</v>
      </c>
      <c r="B1878" s="119">
        <v>7002981625</v>
      </c>
      <c r="C1878" s="119" t="s">
        <v>637</v>
      </c>
      <c r="D1878" s="119" t="s">
        <v>474</v>
      </c>
      <c r="E1878" s="119" t="s">
        <v>486</v>
      </c>
      <c r="F1878" s="119" t="s">
        <v>90</v>
      </c>
      <c r="G1878" s="77">
        <v>1</v>
      </c>
      <c r="H1878" s="77" t="s">
        <v>475</v>
      </c>
      <c r="I1878" s="77" t="s">
        <v>82</v>
      </c>
    </row>
    <row r="1879" spans="1:9" ht="13">
      <c r="A1879" s="118">
        <v>46188</v>
      </c>
      <c r="B1879" s="119">
        <v>7003019251</v>
      </c>
      <c r="C1879" s="119" t="s">
        <v>637</v>
      </c>
      <c r="D1879" s="119" t="s">
        <v>474</v>
      </c>
      <c r="E1879" s="119" t="s">
        <v>91</v>
      </c>
      <c r="F1879" s="119" t="s">
        <v>90</v>
      </c>
      <c r="G1879" s="77">
        <v>3</v>
      </c>
      <c r="H1879" s="77" t="s">
        <v>475</v>
      </c>
      <c r="I1879" s="77" t="s">
        <v>82</v>
      </c>
    </row>
    <row r="1880" spans="1:9" ht="13">
      <c r="A1880" s="118">
        <v>46188</v>
      </c>
      <c r="B1880" s="119">
        <v>7002982167</v>
      </c>
      <c r="C1880" s="119" t="s">
        <v>637</v>
      </c>
      <c r="D1880" s="119" t="s">
        <v>474</v>
      </c>
      <c r="E1880" s="119" t="s">
        <v>481</v>
      </c>
      <c r="F1880" s="119" t="s">
        <v>90</v>
      </c>
      <c r="G1880" s="77">
        <v>3</v>
      </c>
      <c r="H1880" s="77" t="s">
        <v>475</v>
      </c>
      <c r="I1880" s="77" t="s">
        <v>82</v>
      </c>
    </row>
    <row r="1881" spans="1:9" ht="13">
      <c r="A1881" s="118">
        <v>46188</v>
      </c>
      <c r="B1881" s="119">
        <v>7002983132</v>
      </c>
      <c r="C1881" s="119" t="s">
        <v>637</v>
      </c>
      <c r="D1881" s="119" t="s">
        <v>474</v>
      </c>
      <c r="E1881" s="119" t="s">
        <v>525</v>
      </c>
      <c r="F1881" s="119" t="s">
        <v>90</v>
      </c>
      <c r="G1881" s="77">
        <v>3</v>
      </c>
      <c r="H1881" s="77" t="s">
        <v>475</v>
      </c>
      <c r="I1881" s="77" t="s">
        <v>82</v>
      </c>
    </row>
    <row r="1882" spans="1:9" ht="13">
      <c r="A1882" s="118">
        <v>46188</v>
      </c>
      <c r="B1882" s="119">
        <v>7002980000</v>
      </c>
      <c r="C1882" s="119" t="s">
        <v>637</v>
      </c>
      <c r="D1882" s="119" t="s">
        <v>474</v>
      </c>
      <c r="E1882" s="119" t="s">
        <v>488</v>
      </c>
      <c r="F1882" s="119" t="s">
        <v>90</v>
      </c>
      <c r="G1882" s="77">
        <v>1</v>
      </c>
      <c r="H1882" s="77" t="s">
        <v>475</v>
      </c>
      <c r="I1882" s="77" t="s">
        <v>82</v>
      </c>
    </row>
    <row r="1883" spans="1:9" ht="13">
      <c r="A1883" s="118">
        <v>46188</v>
      </c>
      <c r="B1883" s="119">
        <v>7002975998</v>
      </c>
      <c r="C1883" s="119" t="s">
        <v>637</v>
      </c>
      <c r="D1883" s="119" t="s">
        <v>474</v>
      </c>
      <c r="E1883" s="119" t="s">
        <v>488</v>
      </c>
      <c r="F1883" s="119" t="s">
        <v>90</v>
      </c>
      <c r="G1883" s="77">
        <v>3</v>
      </c>
      <c r="H1883" s="77" t="s">
        <v>475</v>
      </c>
      <c r="I1883" s="77" t="s">
        <v>82</v>
      </c>
    </row>
    <row r="1884" spans="1:9" ht="13">
      <c r="A1884" s="118">
        <v>46188</v>
      </c>
      <c r="B1884" s="119">
        <v>7002975980</v>
      </c>
      <c r="C1884" s="119" t="s">
        <v>637</v>
      </c>
      <c r="D1884" s="119" t="s">
        <v>474</v>
      </c>
      <c r="E1884" s="119" t="s">
        <v>525</v>
      </c>
      <c r="F1884" s="119" t="s">
        <v>90</v>
      </c>
      <c r="G1884" s="77">
        <v>6</v>
      </c>
      <c r="H1884" s="77" t="s">
        <v>475</v>
      </c>
      <c r="I1884" s="77" t="s">
        <v>82</v>
      </c>
    </row>
    <row r="1885" spans="1:9" ht="13">
      <c r="A1885" s="118">
        <v>46188</v>
      </c>
      <c r="B1885" s="119">
        <v>7003031218</v>
      </c>
      <c r="C1885" s="119" t="s">
        <v>637</v>
      </c>
      <c r="D1885" s="119" t="s">
        <v>474</v>
      </c>
      <c r="E1885" s="119" t="s">
        <v>98</v>
      </c>
      <c r="F1885" s="119" t="s">
        <v>90</v>
      </c>
      <c r="G1885" s="77">
        <v>2</v>
      </c>
      <c r="H1885" s="77" t="s">
        <v>475</v>
      </c>
      <c r="I1885" s="77" t="s">
        <v>82</v>
      </c>
    </row>
    <row r="1886" spans="1:9" ht="13">
      <c r="A1886" s="118">
        <v>46188</v>
      </c>
      <c r="B1886" s="119">
        <v>7002979737</v>
      </c>
      <c r="C1886" s="119" t="s">
        <v>637</v>
      </c>
      <c r="D1886" s="119" t="s">
        <v>474</v>
      </c>
      <c r="E1886" s="119" t="s">
        <v>486</v>
      </c>
      <c r="F1886" s="119" t="s">
        <v>90</v>
      </c>
      <c r="G1886" s="77">
        <v>1</v>
      </c>
      <c r="H1886" s="77" t="s">
        <v>475</v>
      </c>
      <c r="I1886" s="77" t="s">
        <v>82</v>
      </c>
    </row>
    <row r="1887" spans="1:9" ht="13">
      <c r="A1887" s="118">
        <v>46188</v>
      </c>
      <c r="B1887" s="119">
        <v>7002974746</v>
      </c>
      <c r="C1887" s="119" t="s">
        <v>637</v>
      </c>
      <c r="D1887" s="119" t="s">
        <v>474</v>
      </c>
      <c r="E1887" s="119" t="s">
        <v>486</v>
      </c>
      <c r="F1887" s="119" t="s">
        <v>90</v>
      </c>
      <c r="G1887" s="77">
        <v>2</v>
      </c>
      <c r="H1887" s="77" t="s">
        <v>475</v>
      </c>
      <c r="I1887" s="77" t="s">
        <v>82</v>
      </c>
    </row>
    <row r="1888" spans="1:9" ht="13">
      <c r="A1888" s="118">
        <v>46188</v>
      </c>
      <c r="B1888" s="119">
        <v>7003016282</v>
      </c>
      <c r="C1888" s="119" t="s">
        <v>637</v>
      </c>
      <c r="D1888" s="119" t="s">
        <v>474</v>
      </c>
      <c r="E1888" s="119" t="s">
        <v>91</v>
      </c>
      <c r="F1888" s="119" t="s">
        <v>90</v>
      </c>
      <c r="G1888" s="77">
        <v>1</v>
      </c>
      <c r="H1888" s="77" t="s">
        <v>475</v>
      </c>
      <c r="I1888" s="77" t="s">
        <v>82</v>
      </c>
    </row>
    <row r="1889" spans="1:9" ht="13">
      <c r="A1889" s="118">
        <v>46188</v>
      </c>
      <c r="B1889" s="119">
        <v>7002977572</v>
      </c>
      <c r="C1889" s="119" t="s">
        <v>637</v>
      </c>
      <c r="D1889" s="119" t="s">
        <v>474</v>
      </c>
      <c r="E1889" s="119" t="s">
        <v>525</v>
      </c>
      <c r="F1889" s="119" t="s">
        <v>90</v>
      </c>
      <c r="G1889" s="77">
        <v>22</v>
      </c>
      <c r="H1889" s="77" t="s">
        <v>475</v>
      </c>
      <c r="I1889" s="77" t="s">
        <v>82</v>
      </c>
    </row>
    <row r="1890" spans="1:9" ht="13">
      <c r="A1890" s="118">
        <v>46188</v>
      </c>
      <c r="B1890" s="119">
        <v>7002988782</v>
      </c>
      <c r="C1890" s="119" t="s">
        <v>637</v>
      </c>
      <c r="D1890" s="119" t="s">
        <v>476</v>
      </c>
      <c r="E1890" s="119" t="s">
        <v>463</v>
      </c>
      <c r="F1890" s="119" t="s">
        <v>90</v>
      </c>
      <c r="G1890" s="77">
        <v>3</v>
      </c>
      <c r="H1890" s="77" t="s">
        <v>475</v>
      </c>
      <c r="I1890" s="77" t="s">
        <v>82</v>
      </c>
    </row>
    <row r="1891" spans="1:9" ht="13">
      <c r="A1891" s="118">
        <v>46188</v>
      </c>
      <c r="B1891" s="119">
        <v>7003010236</v>
      </c>
      <c r="C1891" s="119" t="s">
        <v>637</v>
      </c>
      <c r="D1891" s="119" t="s">
        <v>474</v>
      </c>
      <c r="E1891" s="119" t="s">
        <v>98</v>
      </c>
      <c r="F1891" s="119" t="s">
        <v>90</v>
      </c>
      <c r="G1891" s="77">
        <v>16</v>
      </c>
      <c r="H1891" s="77" t="s">
        <v>475</v>
      </c>
      <c r="I1891" s="77" t="s">
        <v>82</v>
      </c>
    </row>
    <row r="1892" spans="1:9" ht="13">
      <c r="A1892" s="118">
        <v>46188</v>
      </c>
      <c r="B1892" s="119">
        <v>7003017212</v>
      </c>
      <c r="C1892" s="119" t="s">
        <v>637</v>
      </c>
      <c r="D1892" s="119" t="s">
        <v>479</v>
      </c>
      <c r="E1892" s="119" t="s">
        <v>470</v>
      </c>
      <c r="F1892" s="119" t="s">
        <v>90</v>
      </c>
      <c r="G1892" s="77">
        <v>5</v>
      </c>
      <c r="H1892" s="77" t="s">
        <v>475</v>
      </c>
      <c r="I1892" s="77" t="s">
        <v>82</v>
      </c>
    </row>
    <row r="1893" spans="1:9" ht="13">
      <c r="A1893" s="118">
        <v>46188</v>
      </c>
      <c r="B1893" s="119">
        <v>7003013201</v>
      </c>
      <c r="C1893" s="119" t="s">
        <v>637</v>
      </c>
      <c r="D1893" s="119" t="s">
        <v>479</v>
      </c>
      <c r="E1893" s="119" t="s">
        <v>470</v>
      </c>
      <c r="F1893" s="119" t="s">
        <v>90</v>
      </c>
      <c r="G1893" s="77">
        <v>1</v>
      </c>
      <c r="H1893" s="77" t="s">
        <v>475</v>
      </c>
      <c r="I1893" s="77" t="s">
        <v>82</v>
      </c>
    </row>
    <row r="1894" spans="1:9" ht="13">
      <c r="A1894" s="118">
        <v>46188</v>
      </c>
      <c r="B1894" s="119">
        <v>7003016123</v>
      </c>
      <c r="C1894" s="119" t="s">
        <v>637</v>
      </c>
      <c r="D1894" s="119" t="s">
        <v>474</v>
      </c>
      <c r="E1894" s="119" t="s">
        <v>91</v>
      </c>
      <c r="F1894" s="119" t="s">
        <v>90</v>
      </c>
      <c r="G1894" s="77">
        <v>3</v>
      </c>
      <c r="H1894" s="77" t="s">
        <v>475</v>
      </c>
      <c r="I1894" s="77" t="s">
        <v>82</v>
      </c>
    </row>
    <row r="1895" spans="1:9" ht="13">
      <c r="A1895" s="118">
        <v>46188</v>
      </c>
      <c r="B1895" s="119">
        <v>7003013125</v>
      </c>
      <c r="C1895" s="119" t="s">
        <v>637</v>
      </c>
      <c r="D1895" s="119" t="s">
        <v>474</v>
      </c>
      <c r="E1895" s="119" t="s">
        <v>91</v>
      </c>
      <c r="F1895" s="119" t="s">
        <v>90</v>
      </c>
      <c r="G1895" s="77">
        <v>3</v>
      </c>
      <c r="H1895" s="77" t="s">
        <v>475</v>
      </c>
      <c r="I1895" s="77" t="s">
        <v>82</v>
      </c>
    </row>
    <row r="1896" spans="1:9" ht="13">
      <c r="A1896" s="118">
        <v>46188</v>
      </c>
      <c r="B1896" s="119">
        <v>7002984975</v>
      </c>
      <c r="C1896" s="119" t="s">
        <v>637</v>
      </c>
      <c r="D1896" s="119" t="s">
        <v>474</v>
      </c>
      <c r="E1896" s="119" t="s">
        <v>454</v>
      </c>
      <c r="F1896" s="119" t="s">
        <v>90</v>
      </c>
      <c r="G1896" s="77">
        <v>4</v>
      </c>
      <c r="H1896" s="77" t="s">
        <v>475</v>
      </c>
      <c r="I1896" s="77" t="s">
        <v>82</v>
      </c>
    </row>
    <row r="1897" spans="1:9" ht="13">
      <c r="A1897" s="118">
        <v>46188</v>
      </c>
      <c r="B1897" s="119">
        <v>7002982977</v>
      </c>
      <c r="C1897" s="119" t="s">
        <v>637</v>
      </c>
      <c r="D1897" s="119" t="s">
        <v>474</v>
      </c>
      <c r="E1897" s="119" t="s">
        <v>454</v>
      </c>
      <c r="F1897" s="119" t="s">
        <v>90</v>
      </c>
      <c r="G1897" s="77">
        <v>2</v>
      </c>
      <c r="H1897" s="77" t="s">
        <v>475</v>
      </c>
      <c r="I1897" s="77" t="s">
        <v>82</v>
      </c>
    </row>
    <row r="1898" spans="1:9" ht="13">
      <c r="A1898" s="118">
        <v>46188</v>
      </c>
      <c r="B1898" s="119">
        <v>7002984947</v>
      </c>
      <c r="C1898" s="119" t="s">
        <v>637</v>
      </c>
      <c r="D1898" s="119" t="s">
        <v>474</v>
      </c>
      <c r="E1898" s="119" t="s">
        <v>454</v>
      </c>
      <c r="F1898" s="119" t="s">
        <v>90</v>
      </c>
      <c r="G1898" s="77">
        <v>5</v>
      </c>
      <c r="H1898" s="77" t="s">
        <v>475</v>
      </c>
      <c r="I1898" s="77" t="s">
        <v>82</v>
      </c>
    </row>
    <row r="1899" spans="1:9" ht="13">
      <c r="A1899" s="118">
        <v>46188</v>
      </c>
      <c r="B1899" s="119">
        <v>7003012135</v>
      </c>
      <c r="C1899" s="119" t="s">
        <v>637</v>
      </c>
      <c r="D1899" s="119" t="s">
        <v>476</v>
      </c>
      <c r="E1899" s="119" t="s">
        <v>91</v>
      </c>
      <c r="F1899" s="119" t="s">
        <v>90</v>
      </c>
      <c r="G1899" s="77">
        <v>71</v>
      </c>
      <c r="H1899" s="77" t="s">
        <v>475</v>
      </c>
      <c r="I1899" s="77" t="s">
        <v>82</v>
      </c>
    </row>
    <row r="1900" spans="1:9" ht="13">
      <c r="A1900" s="118">
        <v>46188</v>
      </c>
      <c r="B1900" s="119">
        <v>7003014140</v>
      </c>
      <c r="C1900" s="119" t="s">
        <v>637</v>
      </c>
      <c r="D1900" s="119" t="s">
        <v>474</v>
      </c>
      <c r="E1900" s="119" t="s">
        <v>463</v>
      </c>
      <c r="F1900" s="119" t="s">
        <v>90</v>
      </c>
      <c r="G1900" s="77">
        <v>6</v>
      </c>
      <c r="H1900" s="77" t="s">
        <v>475</v>
      </c>
      <c r="I1900" s="77" t="s">
        <v>82</v>
      </c>
    </row>
    <row r="1901" spans="1:9" ht="13">
      <c r="A1901" s="118">
        <v>46188</v>
      </c>
      <c r="B1901" s="119">
        <v>7003010171</v>
      </c>
      <c r="C1901" s="119" t="s">
        <v>637</v>
      </c>
      <c r="D1901" s="119" t="s">
        <v>474</v>
      </c>
      <c r="E1901" s="119" t="s">
        <v>98</v>
      </c>
      <c r="F1901" s="119" t="s">
        <v>90</v>
      </c>
      <c r="G1901" s="77">
        <v>1</v>
      </c>
      <c r="H1901" s="77" t="s">
        <v>475</v>
      </c>
      <c r="I1901" s="77" t="s">
        <v>82</v>
      </c>
    </row>
    <row r="1902" spans="1:9" ht="13">
      <c r="A1902" s="118">
        <v>46188</v>
      </c>
      <c r="B1902" s="119">
        <v>7002986901</v>
      </c>
      <c r="C1902" s="119" t="s">
        <v>637</v>
      </c>
      <c r="D1902" s="119" t="s">
        <v>479</v>
      </c>
      <c r="E1902" s="119" t="s">
        <v>470</v>
      </c>
      <c r="F1902" s="119" t="s">
        <v>90</v>
      </c>
      <c r="G1902" s="77">
        <v>2</v>
      </c>
      <c r="H1902" s="77" t="s">
        <v>475</v>
      </c>
      <c r="I1902" s="77" t="s">
        <v>82</v>
      </c>
    </row>
    <row r="1903" spans="1:9" ht="13">
      <c r="A1903" s="118">
        <v>46188</v>
      </c>
      <c r="B1903" s="119">
        <v>7002983907</v>
      </c>
      <c r="C1903" s="119" t="s">
        <v>637</v>
      </c>
      <c r="D1903" s="119" t="s">
        <v>479</v>
      </c>
      <c r="E1903" s="119" t="s">
        <v>470</v>
      </c>
      <c r="F1903" s="119" t="s">
        <v>90</v>
      </c>
      <c r="G1903" s="77">
        <v>4</v>
      </c>
      <c r="H1903" s="77" t="s">
        <v>475</v>
      </c>
      <c r="I1903" s="77" t="s">
        <v>82</v>
      </c>
    </row>
    <row r="1904" spans="1:9" ht="13">
      <c r="A1904" s="118">
        <v>46188</v>
      </c>
      <c r="B1904" s="119">
        <v>7002979542</v>
      </c>
      <c r="C1904" s="119" t="s">
        <v>637</v>
      </c>
      <c r="D1904" s="119" t="s">
        <v>474</v>
      </c>
      <c r="E1904" s="119" t="s">
        <v>525</v>
      </c>
      <c r="F1904" s="119" t="s">
        <v>90</v>
      </c>
      <c r="G1904" s="77">
        <v>20</v>
      </c>
      <c r="H1904" s="77" t="s">
        <v>475</v>
      </c>
      <c r="I1904" s="77" t="s">
        <v>82</v>
      </c>
    </row>
    <row r="1905" spans="1:9" ht="13">
      <c r="A1905" s="118">
        <v>46188</v>
      </c>
      <c r="B1905" s="119">
        <v>7002989871</v>
      </c>
      <c r="C1905" s="119" t="s">
        <v>637</v>
      </c>
      <c r="D1905" s="119" t="s">
        <v>479</v>
      </c>
      <c r="E1905" s="119" t="s">
        <v>470</v>
      </c>
      <c r="F1905" s="119" t="s">
        <v>90</v>
      </c>
      <c r="G1905" s="77">
        <v>3</v>
      </c>
      <c r="H1905" s="77" t="s">
        <v>475</v>
      </c>
      <c r="I1905" s="77" t="s">
        <v>82</v>
      </c>
    </row>
    <row r="1906" spans="1:9" ht="13">
      <c r="A1906" s="118">
        <v>46188</v>
      </c>
      <c r="B1906" s="119">
        <v>7002985872</v>
      </c>
      <c r="C1906" s="119" t="s">
        <v>637</v>
      </c>
      <c r="D1906" s="119" t="s">
        <v>479</v>
      </c>
      <c r="E1906" s="119" t="s">
        <v>470</v>
      </c>
      <c r="F1906" s="119" t="s">
        <v>90</v>
      </c>
      <c r="G1906" s="77">
        <v>3</v>
      </c>
      <c r="H1906" s="77" t="s">
        <v>475</v>
      </c>
      <c r="I1906" s="77" t="s">
        <v>82</v>
      </c>
    </row>
    <row r="1907" spans="1:9" ht="13">
      <c r="A1907" s="118">
        <v>46188</v>
      </c>
      <c r="B1907" s="119">
        <v>7002989837</v>
      </c>
      <c r="C1907" s="119" t="s">
        <v>637</v>
      </c>
      <c r="D1907" s="119" t="s">
        <v>479</v>
      </c>
      <c r="E1907" s="119" t="s">
        <v>470</v>
      </c>
      <c r="F1907" s="119" t="s">
        <v>90</v>
      </c>
      <c r="G1907" s="77">
        <v>2</v>
      </c>
      <c r="H1907" s="77" t="s">
        <v>475</v>
      </c>
      <c r="I1907" s="77" t="s">
        <v>82</v>
      </c>
    </row>
    <row r="1908" spans="1:9" ht="13">
      <c r="A1908" s="118">
        <v>46188</v>
      </c>
      <c r="B1908" s="119">
        <v>7002982824</v>
      </c>
      <c r="C1908" s="119" t="s">
        <v>637</v>
      </c>
      <c r="D1908" s="119" t="s">
        <v>515</v>
      </c>
      <c r="E1908" s="119" t="s">
        <v>470</v>
      </c>
      <c r="F1908" s="119" t="s">
        <v>90</v>
      </c>
      <c r="G1908" s="77">
        <v>15</v>
      </c>
      <c r="H1908" s="77" t="s">
        <v>475</v>
      </c>
      <c r="I1908" s="77" t="s">
        <v>82</v>
      </c>
    </row>
    <row r="1909" spans="1:9" ht="13">
      <c r="A1909" s="118">
        <v>46188</v>
      </c>
      <c r="B1909" s="119">
        <v>7002982830</v>
      </c>
      <c r="C1909" s="119" t="s">
        <v>637</v>
      </c>
      <c r="D1909" s="119" t="s">
        <v>474</v>
      </c>
      <c r="E1909" s="119" t="s">
        <v>91</v>
      </c>
      <c r="F1909" s="119" t="s">
        <v>90</v>
      </c>
      <c r="G1909" s="77">
        <v>3</v>
      </c>
      <c r="H1909" s="77" t="s">
        <v>475</v>
      </c>
      <c r="I1909" s="77" t="s">
        <v>82</v>
      </c>
    </row>
    <row r="1910" spans="1:9" ht="13">
      <c r="A1910" s="118">
        <v>46188</v>
      </c>
      <c r="B1910" s="119">
        <v>7003012161</v>
      </c>
      <c r="C1910" s="119" t="s">
        <v>637</v>
      </c>
      <c r="D1910" s="119" t="s">
        <v>474</v>
      </c>
      <c r="E1910" s="119" t="s">
        <v>463</v>
      </c>
      <c r="F1910" s="119" t="s">
        <v>90</v>
      </c>
      <c r="G1910" s="77">
        <v>27</v>
      </c>
      <c r="H1910" s="77" t="s">
        <v>475</v>
      </c>
      <c r="I1910" s="77" t="s">
        <v>82</v>
      </c>
    </row>
    <row r="1911" spans="1:9" ht="13">
      <c r="A1911" s="118">
        <v>46188</v>
      </c>
      <c r="B1911" s="119">
        <v>7003015167</v>
      </c>
      <c r="C1911" s="119" t="s">
        <v>637</v>
      </c>
      <c r="D1911" s="119" t="s">
        <v>479</v>
      </c>
      <c r="E1911" s="119" t="s">
        <v>470</v>
      </c>
      <c r="F1911" s="119" t="s">
        <v>90</v>
      </c>
      <c r="G1911" s="77">
        <v>2</v>
      </c>
      <c r="H1911" s="77" t="s">
        <v>475</v>
      </c>
      <c r="I1911" s="77" t="s">
        <v>82</v>
      </c>
    </row>
    <row r="1912" spans="1:9" ht="13">
      <c r="A1912" s="118">
        <v>46188</v>
      </c>
      <c r="B1912" s="119">
        <v>7003017176</v>
      </c>
      <c r="C1912" s="119" t="s">
        <v>637</v>
      </c>
      <c r="D1912" s="119" t="s">
        <v>479</v>
      </c>
      <c r="E1912" s="119" t="s">
        <v>470</v>
      </c>
      <c r="F1912" s="119" t="s">
        <v>90</v>
      </c>
      <c r="G1912" s="77">
        <v>13</v>
      </c>
      <c r="H1912" s="77" t="s">
        <v>475</v>
      </c>
      <c r="I1912" s="77" t="s">
        <v>82</v>
      </c>
    </row>
    <row r="1913" spans="1:9" ht="13">
      <c r="A1913" s="118">
        <v>46188</v>
      </c>
      <c r="B1913" s="119">
        <v>7003015198</v>
      </c>
      <c r="C1913" s="119" t="s">
        <v>637</v>
      </c>
      <c r="D1913" s="119" t="s">
        <v>474</v>
      </c>
      <c r="E1913" s="119" t="s">
        <v>463</v>
      </c>
      <c r="F1913" s="119" t="s">
        <v>90</v>
      </c>
      <c r="G1913" s="77">
        <v>11</v>
      </c>
      <c r="H1913" s="77" t="s">
        <v>475</v>
      </c>
      <c r="I1913" s="77" t="s">
        <v>82</v>
      </c>
    </row>
    <row r="1914" spans="1:9" ht="13">
      <c r="A1914" s="118">
        <v>46188</v>
      </c>
      <c r="B1914" s="119">
        <v>7002986894</v>
      </c>
      <c r="C1914" s="119" t="s">
        <v>637</v>
      </c>
      <c r="D1914" s="119" t="s">
        <v>474</v>
      </c>
      <c r="E1914" s="119" t="s">
        <v>454</v>
      </c>
      <c r="F1914" s="119" t="s">
        <v>90</v>
      </c>
      <c r="G1914" s="77">
        <v>4</v>
      </c>
      <c r="H1914" s="77" t="s">
        <v>475</v>
      </c>
      <c r="I1914" s="77" t="s">
        <v>82</v>
      </c>
    </row>
    <row r="1915" spans="1:9" ht="13">
      <c r="A1915" s="118">
        <v>46188</v>
      </c>
      <c r="B1915" s="119">
        <v>7002908774</v>
      </c>
      <c r="C1915" s="119" t="s">
        <v>637</v>
      </c>
      <c r="D1915" s="119" t="s">
        <v>474</v>
      </c>
      <c r="E1915" s="119" t="s">
        <v>452</v>
      </c>
      <c r="F1915" s="119" t="s">
        <v>90</v>
      </c>
      <c r="G1915" s="77">
        <v>17</v>
      </c>
      <c r="H1915" s="77" t="s">
        <v>475</v>
      </c>
      <c r="I1915" s="77" t="s">
        <v>82</v>
      </c>
    </row>
    <row r="1916" spans="1:9" ht="13">
      <c r="A1916" s="118">
        <v>46188</v>
      </c>
      <c r="B1916" s="119">
        <v>7002902681</v>
      </c>
      <c r="C1916" s="119" t="s">
        <v>637</v>
      </c>
      <c r="D1916" s="119" t="s">
        <v>474</v>
      </c>
      <c r="E1916" s="119" t="s">
        <v>554</v>
      </c>
      <c r="F1916" s="119" t="s">
        <v>90</v>
      </c>
      <c r="G1916" s="77">
        <v>4</v>
      </c>
      <c r="H1916" s="77" t="s">
        <v>475</v>
      </c>
      <c r="I1916" s="77" t="s">
        <v>82</v>
      </c>
    </row>
    <row r="1917" spans="1:9" ht="13">
      <c r="A1917" s="118">
        <v>46188</v>
      </c>
      <c r="B1917" s="119">
        <v>7002903711</v>
      </c>
      <c r="C1917" s="119" t="s">
        <v>637</v>
      </c>
      <c r="D1917" s="119" t="s">
        <v>474</v>
      </c>
      <c r="E1917" s="119" t="s">
        <v>554</v>
      </c>
      <c r="F1917" s="119" t="s">
        <v>90</v>
      </c>
      <c r="G1917" s="77">
        <v>2</v>
      </c>
      <c r="H1917" s="77" t="s">
        <v>475</v>
      </c>
      <c r="I1917" s="77" t="s">
        <v>82</v>
      </c>
    </row>
    <row r="1918" spans="1:9" ht="13">
      <c r="A1918" s="118">
        <v>46188</v>
      </c>
      <c r="B1918" s="119">
        <v>7002869979</v>
      </c>
      <c r="C1918" s="119" t="s">
        <v>637</v>
      </c>
      <c r="D1918" s="119" t="s">
        <v>474</v>
      </c>
      <c r="E1918" s="119" t="s">
        <v>554</v>
      </c>
      <c r="F1918" s="119" t="s">
        <v>90</v>
      </c>
      <c r="G1918" s="77">
        <v>2</v>
      </c>
      <c r="H1918" s="77" t="s">
        <v>475</v>
      </c>
      <c r="I1918" s="77" t="s">
        <v>82</v>
      </c>
    </row>
    <row r="1919" spans="1:9" ht="13">
      <c r="A1919" s="118">
        <v>46188</v>
      </c>
      <c r="B1919" s="119">
        <v>7002905737</v>
      </c>
      <c r="C1919" s="119" t="s">
        <v>637</v>
      </c>
      <c r="D1919" s="119" t="s">
        <v>474</v>
      </c>
      <c r="E1919" s="119" t="s">
        <v>452</v>
      </c>
      <c r="F1919" s="119" t="s">
        <v>90</v>
      </c>
      <c r="G1919" s="77">
        <v>6</v>
      </c>
      <c r="H1919" s="77" t="s">
        <v>475</v>
      </c>
      <c r="I1919" s="77" t="s">
        <v>82</v>
      </c>
    </row>
    <row r="1920" spans="1:9" ht="13">
      <c r="A1920" s="118">
        <v>46188</v>
      </c>
      <c r="B1920" s="119">
        <v>7002858927</v>
      </c>
      <c r="C1920" s="119" t="s">
        <v>637</v>
      </c>
      <c r="D1920" s="119" t="s">
        <v>476</v>
      </c>
      <c r="E1920" s="119" t="s">
        <v>554</v>
      </c>
      <c r="F1920" s="119" t="s">
        <v>90</v>
      </c>
      <c r="G1920" s="77">
        <v>6</v>
      </c>
      <c r="H1920" s="77" t="s">
        <v>475</v>
      </c>
      <c r="I1920" s="77" t="s">
        <v>82</v>
      </c>
    </row>
    <row r="1921" spans="1:9" ht="13">
      <c r="A1921" s="118">
        <v>46188</v>
      </c>
      <c r="B1921" s="119">
        <v>7002857926</v>
      </c>
      <c r="C1921" s="119" t="s">
        <v>637</v>
      </c>
      <c r="D1921" s="119" t="s">
        <v>474</v>
      </c>
      <c r="E1921" s="119" t="s">
        <v>554</v>
      </c>
      <c r="F1921" s="119" t="s">
        <v>90</v>
      </c>
      <c r="G1921" s="77">
        <v>6</v>
      </c>
      <c r="H1921" s="77" t="s">
        <v>475</v>
      </c>
      <c r="I1921" s="77" t="s">
        <v>82</v>
      </c>
    </row>
    <row r="1922" spans="1:9" ht="13">
      <c r="A1922" s="118">
        <v>46188</v>
      </c>
      <c r="B1922" s="119">
        <v>7002870001</v>
      </c>
      <c r="C1922" s="119" t="s">
        <v>637</v>
      </c>
      <c r="D1922" s="119" t="s">
        <v>474</v>
      </c>
      <c r="E1922" s="119" t="s">
        <v>556</v>
      </c>
      <c r="F1922" s="119" t="s">
        <v>90</v>
      </c>
      <c r="G1922" s="77">
        <v>1</v>
      </c>
      <c r="H1922" s="77" t="s">
        <v>475</v>
      </c>
      <c r="I1922" s="77" t="s">
        <v>82</v>
      </c>
    </row>
    <row r="1923" spans="1:9" ht="13">
      <c r="A1923" s="118">
        <v>46188</v>
      </c>
      <c r="B1923" s="119">
        <v>7002854674</v>
      </c>
      <c r="C1923" s="119" t="s">
        <v>637</v>
      </c>
      <c r="D1923" s="119" t="s">
        <v>474</v>
      </c>
      <c r="E1923" s="119" t="s">
        <v>556</v>
      </c>
      <c r="F1923" s="119" t="s">
        <v>90</v>
      </c>
      <c r="G1923" s="77">
        <v>6</v>
      </c>
      <c r="H1923" s="77" t="s">
        <v>475</v>
      </c>
      <c r="I1923" s="77" t="s">
        <v>82</v>
      </c>
    </row>
    <row r="1924" spans="1:9" ht="13">
      <c r="A1924" s="118">
        <v>46188</v>
      </c>
      <c r="B1924" s="119">
        <v>7002853482</v>
      </c>
      <c r="C1924" s="119" t="s">
        <v>637</v>
      </c>
      <c r="D1924" s="119" t="s">
        <v>474</v>
      </c>
      <c r="E1924" s="119" t="s">
        <v>556</v>
      </c>
      <c r="F1924" s="119" t="s">
        <v>90</v>
      </c>
      <c r="G1924" s="77">
        <v>1</v>
      </c>
      <c r="H1924" s="77" t="s">
        <v>475</v>
      </c>
      <c r="I1924" s="77" t="s">
        <v>82</v>
      </c>
    </row>
    <row r="1925" spans="1:9" ht="13">
      <c r="A1925" s="118">
        <v>46188</v>
      </c>
      <c r="B1925" s="119">
        <v>7002851413</v>
      </c>
      <c r="C1925" s="119" t="s">
        <v>637</v>
      </c>
      <c r="D1925" s="119" t="s">
        <v>474</v>
      </c>
      <c r="E1925" s="119" t="s">
        <v>556</v>
      </c>
      <c r="F1925" s="119" t="s">
        <v>90</v>
      </c>
      <c r="G1925" s="77">
        <v>1</v>
      </c>
      <c r="H1925" s="77" t="s">
        <v>475</v>
      </c>
      <c r="I1925" s="77" t="s">
        <v>82</v>
      </c>
    </row>
    <row r="1926" spans="1:9" ht="13">
      <c r="A1926" s="118">
        <v>46188</v>
      </c>
      <c r="B1926" s="119">
        <v>7002855397</v>
      </c>
      <c r="C1926" s="119" t="s">
        <v>637</v>
      </c>
      <c r="D1926" s="119" t="s">
        <v>476</v>
      </c>
      <c r="E1926" s="119" t="s">
        <v>556</v>
      </c>
      <c r="F1926" s="119" t="s">
        <v>90</v>
      </c>
      <c r="G1926" s="77">
        <v>2</v>
      </c>
      <c r="H1926" s="77" t="s">
        <v>475</v>
      </c>
      <c r="I1926" s="77" t="s">
        <v>82</v>
      </c>
    </row>
    <row r="1927" spans="1:9" ht="13">
      <c r="A1927" s="118">
        <v>46188</v>
      </c>
      <c r="B1927" s="119">
        <v>7003033460</v>
      </c>
      <c r="C1927" s="119" t="s">
        <v>637</v>
      </c>
      <c r="D1927" s="119" t="s">
        <v>474</v>
      </c>
      <c r="E1927" s="119" t="s">
        <v>463</v>
      </c>
      <c r="F1927" s="119" t="s">
        <v>90</v>
      </c>
      <c r="G1927" s="77">
        <v>1</v>
      </c>
      <c r="H1927" s="77" t="s">
        <v>475</v>
      </c>
      <c r="I1927" s="77" t="s">
        <v>82</v>
      </c>
    </row>
    <row r="1928" spans="1:9" ht="13">
      <c r="A1928" s="118">
        <v>46188</v>
      </c>
      <c r="B1928" s="119">
        <v>7002852197</v>
      </c>
      <c r="C1928" s="119" t="s">
        <v>637</v>
      </c>
      <c r="D1928" s="119" t="s">
        <v>474</v>
      </c>
      <c r="E1928" s="119" t="s">
        <v>556</v>
      </c>
      <c r="F1928" s="119" t="s">
        <v>90</v>
      </c>
      <c r="G1928" s="77">
        <v>5</v>
      </c>
      <c r="H1928" s="77" t="s">
        <v>475</v>
      </c>
      <c r="I1928" s="77" t="s">
        <v>82</v>
      </c>
    </row>
    <row r="1929" spans="1:9" ht="13">
      <c r="A1929" s="118">
        <v>46188</v>
      </c>
      <c r="B1929" s="119">
        <v>7002859552</v>
      </c>
      <c r="C1929" s="119" t="s">
        <v>637</v>
      </c>
      <c r="D1929" s="119" t="s">
        <v>474</v>
      </c>
      <c r="E1929" s="119" t="s">
        <v>554</v>
      </c>
      <c r="F1929" s="119" t="s">
        <v>90</v>
      </c>
      <c r="G1929" s="77">
        <v>1</v>
      </c>
      <c r="H1929" s="77" t="s">
        <v>475</v>
      </c>
      <c r="I1929" s="77" t="s">
        <v>82</v>
      </c>
    </row>
    <row r="1930" spans="1:9" ht="13">
      <c r="A1930" s="118">
        <v>46188</v>
      </c>
      <c r="B1930" s="119">
        <v>7002876014</v>
      </c>
      <c r="C1930" s="119" t="s">
        <v>637</v>
      </c>
      <c r="D1930" s="119" t="s">
        <v>474</v>
      </c>
      <c r="E1930" s="119" t="s">
        <v>556</v>
      </c>
      <c r="F1930" s="119" t="s">
        <v>90</v>
      </c>
      <c r="G1930" s="77">
        <v>4</v>
      </c>
      <c r="H1930" s="77" t="s">
        <v>475</v>
      </c>
      <c r="I1930" s="77" t="s">
        <v>82</v>
      </c>
    </row>
    <row r="1931" spans="1:9" ht="13">
      <c r="A1931" s="118">
        <v>46188</v>
      </c>
      <c r="B1931" s="119">
        <v>7002875139</v>
      </c>
      <c r="C1931" s="119" t="s">
        <v>637</v>
      </c>
      <c r="D1931" s="119" t="s">
        <v>474</v>
      </c>
      <c r="E1931" s="119" t="s">
        <v>452</v>
      </c>
      <c r="F1931" s="119" t="s">
        <v>90</v>
      </c>
      <c r="G1931" s="77">
        <v>46</v>
      </c>
      <c r="H1931" s="77" t="s">
        <v>475</v>
      </c>
      <c r="I1931" s="77" t="s">
        <v>82</v>
      </c>
    </row>
    <row r="1932" spans="1:9" ht="13">
      <c r="A1932" s="118">
        <v>46188</v>
      </c>
      <c r="B1932" s="119">
        <v>7002878747</v>
      </c>
      <c r="C1932" s="119" t="s">
        <v>637</v>
      </c>
      <c r="D1932" s="119" t="s">
        <v>474</v>
      </c>
      <c r="E1932" s="119" t="s">
        <v>556</v>
      </c>
      <c r="F1932" s="119" t="s">
        <v>90</v>
      </c>
      <c r="G1932" s="77">
        <v>1</v>
      </c>
      <c r="H1932" s="77" t="s">
        <v>475</v>
      </c>
      <c r="I1932" s="77" t="s">
        <v>82</v>
      </c>
    </row>
    <row r="1933" spans="1:9" ht="13">
      <c r="A1933" s="118">
        <v>46188</v>
      </c>
      <c r="B1933" s="119">
        <v>7002885211</v>
      </c>
      <c r="C1933" s="119" t="s">
        <v>637</v>
      </c>
      <c r="D1933" s="119" t="s">
        <v>474</v>
      </c>
      <c r="E1933" s="119" t="s">
        <v>556</v>
      </c>
      <c r="F1933" s="119" t="s">
        <v>90</v>
      </c>
      <c r="G1933" s="77">
        <v>11</v>
      </c>
      <c r="H1933" s="77" t="s">
        <v>475</v>
      </c>
      <c r="I1933" s="77" t="s">
        <v>82</v>
      </c>
    </row>
    <row r="1934" spans="1:9" ht="13">
      <c r="A1934" s="118">
        <v>46188</v>
      </c>
      <c r="B1934" s="119">
        <v>7002880075</v>
      </c>
      <c r="C1934" s="119" t="s">
        <v>637</v>
      </c>
      <c r="D1934" s="119" t="s">
        <v>474</v>
      </c>
      <c r="E1934" s="119" t="s">
        <v>556</v>
      </c>
      <c r="F1934" s="119" t="s">
        <v>90</v>
      </c>
      <c r="G1934" s="77">
        <v>1</v>
      </c>
      <c r="H1934" s="77" t="s">
        <v>475</v>
      </c>
      <c r="I1934" s="77" t="s">
        <v>82</v>
      </c>
    </row>
    <row r="1935" spans="1:9" ht="13">
      <c r="A1935" s="118">
        <v>46188</v>
      </c>
      <c r="B1935" s="119">
        <v>7002885015</v>
      </c>
      <c r="C1935" s="119" t="s">
        <v>637</v>
      </c>
      <c r="D1935" s="119" t="s">
        <v>474</v>
      </c>
      <c r="E1935" s="119" t="s">
        <v>556</v>
      </c>
      <c r="F1935" s="119" t="s">
        <v>90</v>
      </c>
      <c r="G1935" s="77">
        <v>4</v>
      </c>
      <c r="H1935" s="77" t="s">
        <v>475</v>
      </c>
      <c r="I1935" s="77" t="s">
        <v>82</v>
      </c>
    </row>
    <row r="1936" spans="1:9" ht="13">
      <c r="A1936" s="118">
        <v>46188</v>
      </c>
      <c r="B1936" s="119">
        <v>7002876971</v>
      </c>
      <c r="C1936" s="119" t="s">
        <v>637</v>
      </c>
      <c r="D1936" s="119" t="s">
        <v>474</v>
      </c>
      <c r="E1936" s="119" t="s">
        <v>554</v>
      </c>
      <c r="F1936" s="119" t="s">
        <v>90</v>
      </c>
      <c r="G1936" s="77">
        <v>13</v>
      </c>
      <c r="H1936" s="77" t="s">
        <v>475</v>
      </c>
      <c r="I1936" s="77" t="s">
        <v>82</v>
      </c>
    </row>
    <row r="1937" spans="1:9" ht="13">
      <c r="A1937" s="118">
        <v>46188</v>
      </c>
      <c r="B1937" s="119">
        <v>7002870879</v>
      </c>
      <c r="C1937" s="119" t="s">
        <v>637</v>
      </c>
      <c r="D1937" s="119" t="s">
        <v>474</v>
      </c>
      <c r="E1937" s="119" t="s">
        <v>554</v>
      </c>
      <c r="F1937" s="119" t="s">
        <v>90</v>
      </c>
      <c r="G1937" s="77">
        <v>2</v>
      </c>
      <c r="H1937" s="77" t="s">
        <v>475</v>
      </c>
      <c r="I1937" s="77" t="s">
        <v>82</v>
      </c>
    </row>
    <row r="1938" spans="1:9" ht="13">
      <c r="A1938" s="118">
        <v>46188</v>
      </c>
      <c r="B1938" s="119">
        <v>7002873853</v>
      </c>
      <c r="C1938" s="119" t="s">
        <v>637</v>
      </c>
      <c r="D1938" s="119" t="s">
        <v>474</v>
      </c>
      <c r="E1938" s="119" t="s">
        <v>554</v>
      </c>
      <c r="F1938" s="119" t="s">
        <v>90</v>
      </c>
      <c r="G1938" s="77">
        <v>9</v>
      </c>
      <c r="H1938" s="77" t="s">
        <v>475</v>
      </c>
      <c r="I1938" s="77" t="s">
        <v>82</v>
      </c>
    </row>
    <row r="1939" spans="1:9" ht="13">
      <c r="A1939" s="118">
        <v>46188</v>
      </c>
      <c r="B1939" s="119">
        <v>7002875837</v>
      </c>
      <c r="C1939" s="119" t="s">
        <v>637</v>
      </c>
      <c r="D1939" s="119" t="s">
        <v>474</v>
      </c>
      <c r="E1939" s="119" t="s">
        <v>556</v>
      </c>
      <c r="F1939" s="119" t="s">
        <v>90</v>
      </c>
      <c r="G1939" s="77">
        <v>11</v>
      </c>
      <c r="H1939" s="77" t="s">
        <v>475</v>
      </c>
      <c r="I1939" s="77" t="s">
        <v>82</v>
      </c>
    </row>
    <row r="1940" spans="1:9" ht="13">
      <c r="A1940" s="118">
        <v>46188</v>
      </c>
      <c r="B1940" s="119">
        <v>7002875828</v>
      </c>
      <c r="C1940" s="119" t="s">
        <v>637</v>
      </c>
      <c r="D1940" s="119" t="s">
        <v>474</v>
      </c>
      <c r="E1940" s="119" t="s">
        <v>556</v>
      </c>
      <c r="F1940" s="119" t="s">
        <v>90</v>
      </c>
      <c r="G1940" s="77">
        <v>5</v>
      </c>
      <c r="H1940" s="77" t="s">
        <v>475</v>
      </c>
      <c r="I1940" s="77" t="s">
        <v>82</v>
      </c>
    </row>
    <row r="1941" spans="1:9" ht="13">
      <c r="A1941" s="118">
        <v>46188</v>
      </c>
      <c r="B1941" s="119">
        <v>7002879815</v>
      </c>
      <c r="C1941" s="119" t="s">
        <v>637</v>
      </c>
      <c r="D1941" s="119" t="s">
        <v>474</v>
      </c>
      <c r="E1941" s="119" t="s">
        <v>554</v>
      </c>
      <c r="F1941" s="119" t="s">
        <v>90</v>
      </c>
      <c r="G1941" s="77">
        <v>5</v>
      </c>
      <c r="H1941" s="77" t="s">
        <v>475</v>
      </c>
      <c r="I1941" s="77" t="s">
        <v>82</v>
      </c>
    </row>
    <row r="1942" spans="1:9" ht="13">
      <c r="A1942" s="118">
        <v>46188</v>
      </c>
      <c r="B1942" s="119">
        <v>7002877798</v>
      </c>
      <c r="C1942" s="119" t="s">
        <v>637</v>
      </c>
      <c r="D1942" s="119" t="s">
        <v>474</v>
      </c>
      <c r="E1942" s="119" t="s">
        <v>554</v>
      </c>
      <c r="F1942" s="119" t="s">
        <v>90</v>
      </c>
      <c r="G1942" s="77">
        <v>5</v>
      </c>
      <c r="H1942" s="77" t="s">
        <v>475</v>
      </c>
      <c r="I1942" s="77" t="s">
        <v>82</v>
      </c>
    </row>
    <row r="1943" spans="1:9" ht="13">
      <c r="A1943" s="118">
        <v>46188</v>
      </c>
      <c r="B1943" s="119">
        <v>7002878781</v>
      </c>
      <c r="C1943" s="119" t="s">
        <v>639</v>
      </c>
      <c r="D1943" s="119" t="s">
        <v>474</v>
      </c>
      <c r="E1943" s="119" t="s">
        <v>452</v>
      </c>
      <c r="F1943" s="119" t="s">
        <v>90</v>
      </c>
      <c r="G1943" s="77">
        <v>11</v>
      </c>
      <c r="H1943" s="77" t="s">
        <v>475</v>
      </c>
      <c r="I1943" s="77" t="s">
        <v>505</v>
      </c>
    </row>
    <row r="1944" spans="1:9" ht="13">
      <c r="A1944" s="118">
        <v>46188</v>
      </c>
      <c r="B1944" s="119">
        <v>7002871764</v>
      </c>
      <c r="C1944" s="119" t="s">
        <v>637</v>
      </c>
      <c r="D1944" s="119" t="s">
        <v>474</v>
      </c>
      <c r="E1944" s="119" t="s">
        <v>554</v>
      </c>
      <c r="F1944" s="119" t="s">
        <v>90</v>
      </c>
      <c r="G1944" s="77">
        <v>12</v>
      </c>
      <c r="H1944" s="77" t="s">
        <v>475</v>
      </c>
      <c r="I1944" s="77" t="s">
        <v>82</v>
      </c>
    </row>
    <row r="1945" spans="1:9" ht="13">
      <c r="A1945" s="118">
        <v>46188</v>
      </c>
      <c r="B1945" s="119">
        <v>7002857155</v>
      </c>
      <c r="C1945" s="119" t="s">
        <v>637</v>
      </c>
      <c r="D1945" s="119" t="s">
        <v>474</v>
      </c>
      <c r="E1945" s="119" t="s">
        <v>556</v>
      </c>
      <c r="F1945" s="119" t="s">
        <v>90</v>
      </c>
      <c r="G1945" s="77">
        <v>7</v>
      </c>
      <c r="H1945" s="77" t="s">
        <v>475</v>
      </c>
      <c r="I1945" s="77" t="s">
        <v>82</v>
      </c>
    </row>
    <row r="1946" spans="1:9" ht="13">
      <c r="A1946" s="118">
        <v>46188</v>
      </c>
      <c r="B1946" s="119">
        <v>7002849909</v>
      </c>
      <c r="C1946" s="119" t="s">
        <v>637</v>
      </c>
      <c r="D1946" s="119" t="s">
        <v>474</v>
      </c>
      <c r="E1946" s="119" t="s">
        <v>556</v>
      </c>
      <c r="F1946" s="119" t="s">
        <v>90</v>
      </c>
      <c r="G1946" s="77">
        <v>2</v>
      </c>
      <c r="H1946" s="77" t="s">
        <v>475</v>
      </c>
      <c r="I1946" s="77" t="s">
        <v>82</v>
      </c>
    </row>
    <row r="1947" spans="1:9" ht="13">
      <c r="A1947" s="118">
        <v>46188</v>
      </c>
      <c r="B1947" s="119">
        <v>7002845905</v>
      </c>
      <c r="C1947" s="119" t="s">
        <v>637</v>
      </c>
      <c r="D1947" s="119" t="s">
        <v>474</v>
      </c>
      <c r="E1947" s="119" t="s">
        <v>556</v>
      </c>
      <c r="F1947" s="119" t="s">
        <v>90</v>
      </c>
      <c r="G1947" s="77">
        <v>1</v>
      </c>
      <c r="H1947" s="77" t="s">
        <v>475</v>
      </c>
      <c r="I1947" s="77" t="s">
        <v>82</v>
      </c>
    </row>
    <row r="1948" spans="1:9" ht="13">
      <c r="A1948" s="118">
        <v>46188</v>
      </c>
      <c r="B1948" s="119">
        <v>7002731618</v>
      </c>
      <c r="C1948" s="119" t="s">
        <v>638</v>
      </c>
      <c r="D1948" s="119" t="s">
        <v>474</v>
      </c>
      <c r="E1948" s="119" t="s">
        <v>557</v>
      </c>
      <c r="F1948" s="119" t="s">
        <v>90</v>
      </c>
      <c r="G1948" s="77">
        <v>43</v>
      </c>
      <c r="H1948" s="77" t="s">
        <v>475</v>
      </c>
      <c r="I1948" s="77" t="s">
        <v>503</v>
      </c>
    </row>
    <row r="1949" spans="1:9" ht="13">
      <c r="A1949" s="118">
        <v>46188</v>
      </c>
      <c r="B1949" s="119">
        <v>7002842919</v>
      </c>
      <c r="C1949" s="119" t="s">
        <v>637</v>
      </c>
      <c r="D1949" s="119" t="s">
        <v>474</v>
      </c>
      <c r="E1949" s="119" t="s">
        <v>554</v>
      </c>
      <c r="F1949" s="119" t="s">
        <v>90</v>
      </c>
      <c r="G1949" s="77">
        <v>1</v>
      </c>
      <c r="H1949" s="77" t="s">
        <v>475</v>
      </c>
      <c r="I1949" s="77" t="s">
        <v>82</v>
      </c>
    </row>
    <row r="1950" spans="1:9" ht="13">
      <c r="A1950" s="118">
        <v>46188</v>
      </c>
      <c r="B1950" s="119">
        <v>7002847659</v>
      </c>
      <c r="C1950" s="119" t="s">
        <v>637</v>
      </c>
      <c r="D1950" s="119" t="s">
        <v>474</v>
      </c>
      <c r="E1950" s="119" t="s">
        <v>554</v>
      </c>
      <c r="F1950" s="119" t="s">
        <v>90</v>
      </c>
      <c r="G1950" s="77">
        <v>3</v>
      </c>
      <c r="H1950" s="77" t="s">
        <v>475</v>
      </c>
      <c r="I1950" s="77" t="s">
        <v>82</v>
      </c>
    </row>
    <row r="1951" spans="1:9" ht="13">
      <c r="A1951" s="118">
        <v>46188</v>
      </c>
      <c r="B1951" s="119">
        <v>7002846544</v>
      </c>
      <c r="C1951" s="119" t="s">
        <v>637</v>
      </c>
      <c r="D1951" s="119" t="s">
        <v>474</v>
      </c>
      <c r="E1951" s="119" t="s">
        <v>554</v>
      </c>
      <c r="F1951" s="119" t="s">
        <v>90</v>
      </c>
      <c r="G1951" s="77">
        <v>2</v>
      </c>
      <c r="H1951" s="77" t="s">
        <v>475</v>
      </c>
      <c r="I1951" s="77" t="s">
        <v>82</v>
      </c>
    </row>
    <row r="1952" spans="1:9" ht="13">
      <c r="A1952" s="118">
        <v>46188</v>
      </c>
      <c r="B1952" s="119">
        <v>7002840547</v>
      </c>
      <c r="C1952" s="119" t="s">
        <v>637</v>
      </c>
      <c r="D1952" s="119" t="s">
        <v>474</v>
      </c>
      <c r="E1952" s="119" t="s">
        <v>554</v>
      </c>
      <c r="F1952" s="119" t="s">
        <v>90</v>
      </c>
      <c r="G1952" s="77">
        <v>5</v>
      </c>
      <c r="H1952" s="77" t="s">
        <v>475</v>
      </c>
      <c r="I1952" s="77" t="s">
        <v>82</v>
      </c>
    </row>
    <row r="1953" spans="1:9" ht="13">
      <c r="A1953" s="118">
        <v>46188</v>
      </c>
      <c r="B1953" s="119">
        <v>7002845536</v>
      </c>
      <c r="C1953" s="119" t="s">
        <v>637</v>
      </c>
      <c r="D1953" s="119" t="s">
        <v>474</v>
      </c>
      <c r="E1953" s="119" t="s">
        <v>556</v>
      </c>
      <c r="F1953" s="119" t="s">
        <v>90</v>
      </c>
      <c r="G1953" s="77">
        <v>1</v>
      </c>
      <c r="H1953" s="77" t="s">
        <v>475</v>
      </c>
      <c r="I1953" s="77" t="s">
        <v>82</v>
      </c>
    </row>
    <row r="1954" spans="1:9" ht="13">
      <c r="A1954" s="118">
        <v>46188</v>
      </c>
      <c r="B1954" s="119">
        <v>7002843493</v>
      </c>
      <c r="C1954" s="119" t="s">
        <v>637</v>
      </c>
      <c r="D1954" s="119" t="s">
        <v>474</v>
      </c>
      <c r="E1954" s="119" t="s">
        <v>554</v>
      </c>
      <c r="F1954" s="119" t="s">
        <v>90</v>
      </c>
      <c r="G1954" s="77">
        <v>3</v>
      </c>
      <c r="H1954" s="77" t="s">
        <v>475</v>
      </c>
      <c r="I1954" s="77" t="s">
        <v>82</v>
      </c>
    </row>
    <row r="1955" spans="1:9" ht="13">
      <c r="A1955" s="118">
        <v>46188</v>
      </c>
      <c r="B1955" s="119">
        <v>7003032461</v>
      </c>
      <c r="C1955" s="119" t="s">
        <v>637</v>
      </c>
      <c r="D1955" s="119" t="s">
        <v>474</v>
      </c>
      <c r="E1955" s="119" t="s">
        <v>454</v>
      </c>
      <c r="F1955" s="119" t="s">
        <v>90</v>
      </c>
      <c r="G1955" s="77">
        <v>2</v>
      </c>
      <c r="H1955" s="77" t="s">
        <v>475</v>
      </c>
      <c r="I1955" s="77" t="s">
        <v>82</v>
      </c>
    </row>
    <row r="1956" spans="1:9" ht="13">
      <c r="A1956" s="118">
        <v>46188</v>
      </c>
      <c r="B1956" s="119">
        <v>7002849467</v>
      </c>
      <c r="C1956" s="119" t="s">
        <v>637</v>
      </c>
      <c r="D1956" s="119" t="s">
        <v>474</v>
      </c>
      <c r="E1956" s="119" t="s">
        <v>554</v>
      </c>
      <c r="F1956" s="119" t="s">
        <v>90</v>
      </c>
      <c r="G1956" s="77">
        <v>7</v>
      </c>
      <c r="H1956" s="77" t="s">
        <v>475</v>
      </c>
      <c r="I1956" s="77" t="s">
        <v>82</v>
      </c>
    </row>
    <row r="1957" spans="1:9" ht="13">
      <c r="A1957" s="118">
        <v>46188</v>
      </c>
      <c r="B1957" s="119">
        <v>7002848300</v>
      </c>
      <c r="C1957" s="119" t="s">
        <v>637</v>
      </c>
      <c r="D1957" s="119" t="s">
        <v>474</v>
      </c>
      <c r="E1957" s="119" t="s">
        <v>556</v>
      </c>
      <c r="F1957" s="119" t="s">
        <v>90</v>
      </c>
      <c r="G1957" s="77">
        <v>1</v>
      </c>
      <c r="H1957" s="77" t="s">
        <v>475</v>
      </c>
      <c r="I1957" s="77" t="s">
        <v>82</v>
      </c>
    </row>
    <row r="1958" spans="1:9" ht="13">
      <c r="A1958" s="118">
        <v>46188</v>
      </c>
      <c r="B1958" s="119">
        <v>7002846221</v>
      </c>
      <c r="C1958" s="119" t="s">
        <v>637</v>
      </c>
      <c r="D1958" s="119" t="s">
        <v>474</v>
      </c>
      <c r="E1958" s="119" t="s">
        <v>556</v>
      </c>
      <c r="F1958" s="119" t="s">
        <v>90</v>
      </c>
      <c r="G1958" s="77">
        <v>3</v>
      </c>
      <c r="H1958" s="77" t="s">
        <v>475</v>
      </c>
      <c r="I1958" s="77" t="s">
        <v>82</v>
      </c>
    </row>
    <row r="1959" spans="1:9" ht="13">
      <c r="A1959" s="118">
        <v>46188</v>
      </c>
      <c r="B1959" s="119">
        <v>7002846112</v>
      </c>
      <c r="C1959" s="119" t="s">
        <v>637</v>
      </c>
      <c r="D1959" s="119" t="s">
        <v>474</v>
      </c>
      <c r="E1959" s="119" t="s">
        <v>556</v>
      </c>
      <c r="F1959" s="119" t="s">
        <v>90</v>
      </c>
      <c r="G1959" s="77">
        <v>1</v>
      </c>
      <c r="H1959" s="77" t="s">
        <v>475</v>
      </c>
      <c r="I1959" s="77" t="s">
        <v>82</v>
      </c>
    </row>
    <row r="1960" spans="1:9" ht="13">
      <c r="A1960" s="118">
        <v>46188</v>
      </c>
      <c r="B1960" s="119">
        <v>7002849043</v>
      </c>
      <c r="C1960" s="119" t="s">
        <v>637</v>
      </c>
      <c r="D1960" s="119" t="s">
        <v>474</v>
      </c>
      <c r="E1960" s="119" t="s">
        <v>556</v>
      </c>
      <c r="F1960" s="119" t="s">
        <v>90</v>
      </c>
      <c r="G1960" s="77">
        <v>5</v>
      </c>
      <c r="H1960" s="77" t="s">
        <v>475</v>
      </c>
      <c r="I1960" s="77" t="s">
        <v>82</v>
      </c>
    </row>
    <row r="1961" spans="1:9" ht="13">
      <c r="A1961" s="118">
        <v>46188</v>
      </c>
      <c r="B1961" s="119">
        <v>7002832784</v>
      </c>
      <c r="C1961" s="119" t="s">
        <v>637</v>
      </c>
      <c r="D1961" s="119" t="s">
        <v>474</v>
      </c>
      <c r="E1961" s="119" t="s">
        <v>556</v>
      </c>
      <c r="F1961" s="119" t="s">
        <v>90</v>
      </c>
      <c r="G1961" s="77">
        <v>2</v>
      </c>
      <c r="H1961" s="77" t="s">
        <v>475</v>
      </c>
      <c r="I1961" s="77" t="s">
        <v>82</v>
      </c>
    </row>
    <row r="1962" spans="1:9" ht="13">
      <c r="A1962" s="118">
        <v>46188</v>
      </c>
      <c r="B1962" s="119">
        <v>7002859971</v>
      </c>
      <c r="C1962" s="119" t="s">
        <v>637</v>
      </c>
      <c r="D1962" s="119" t="s">
        <v>474</v>
      </c>
      <c r="E1962" s="119" t="s">
        <v>554</v>
      </c>
      <c r="F1962" s="119" t="s">
        <v>90</v>
      </c>
      <c r="G1962" s="77">
        <v>2</v>
      </c>
      <c r="H1962" s="77" t="s">
        <v>475</v>
      </c>
      <c r="I1962" s="77" t="s">
        <v>82</v>
      </c>
    </row>
    <row r="1963" spans="1:9" ht="13">
      <c r="A1963" s="118">
        <v>46188</v>
      </c>
      <c r="B1963" s="119">
        <v>7003013050</v>
      </c>
      <c r="C1963" s="119" t="s">
        <v>637</v>
      </c>
      <c r="D1963" s="119" t="s">
        <v>515</v>
      </c>
      <c r="E1963" s="119" t="s">
        <v>470</v>
      </c>
      <c r="F1963" s="119" t="s">
        <v>90</v>
      </c>
      <c r="G1963" s="77">
        <v>16</v>
      </c>
      <c r="H1963" s="77" t="s">
        <v>475</v>
      </c>
      <c r="I1963" s="77" t="s">
        <v>82</v>
      </c>
    </row>
    <row r="1964" spans="1:9" ht="13">
      <c r="A1964" s="118">
        <v>46188</v>
      </c>
      <c r="B1964" s="119">
        <v>7002880746</v>
      </c>
      <c r="C1964" s="119" t="s">
        <v>637</v>
      </c>
      <c r="D1964" s="119" t="s">
        <v>474</v>
      </c>
      <c r="E1964" s="119" t="s">
        <v>556</v>
      </c>
      <c r="F1964" s="119" t="s">
        <v>90</v>
      </c>
      <c r="G1964" s="77">
        <v>2</v>
      </c>
      <c r="H1964" s="77" t="s">
        <v>475</v>
      </c>
      <c r="I1964" s="77" t="s">
        <v>82</v>
      </c>
    </row>
    <row r="1965" spans="1:9" ht="13">
      <c r="A1965" s="118">
        <v>46188</v>
      </c>
      <c r="B1965" s="119">
        <v>7002881797</v>
      </c>
      <c r="C1965" s="119" t="s">
        <v>637</v>
      </c>
      <c r="D1965" s="119" t="s">
        <v>474</v>
      </c>
      <c r="E1965" s="119" t="s">
        <v>556</v>
      </c>
      <c r="F1965" s="119" t="s">
        <v>90</v>
      </c>
      <c r="G1965" s="77">
        <v>6</v>
      </c>
      <c r="H1965" s="77" t="s">
        <v>475</v>
      </c>
      <c r="I1965" s="77" t="s">
        <v>82</v>
      </c>
    </row>
    <row r="1966" spans="1:9" ht="13">
      <c r="A1966" s="118">
        <v>46188</v>
      </c>
      <c r="B1966" s="119">
        <v>7002884941</v>
      </c>
      <c r="C1966" s="119" t="s">
        <v>637</v>
      </c>
      <c r="D1966" s="119" t="s">
        <v>474</v>
      </c>
      <c r="E1966" s="119" t="s">
        <v>554</v>
      </c>
      <c r="F1966" s="119" t="s">
        <v>90</v>
      </c>
      <c r="G1966" s="77">
        <v>2</v>
      </c>
      <c r="H1966" s="77" t="s">
        <v>475</v>
      </c>
      <c r="I1966" s="77" t="s">
        <v>82</v>
      </c>
    </row>
    <row r="1967" spans="1:9" ht="13">
      <c r="A1967" s="118">
        <v>46188</v>
      </c>
      <c r="B1967" s="119">
        <v>7002905269</v>
      </c>
      <c r="C1967" s="119" t="s">
        <v>637</v>
      </c>
      <c r="D1967" s="119" t="s">
        <v>474</v>
      </c>
      <c r="E1967" s="119" t="s">
        <v>556</v>
      </c>
      <c r="F1967" s="119" t="s">
        <v>90</v>
      </c>
      <c r="G1967" s="77">
        <v>1</v>
      </c>
      <c r="H1967" s="77" t="s">
        <v>475</v>
      </c>
      <c r="I1967" s="77" t="s">
        <v>82</v>
      </c>
    </row>
    <row r="1968" spans="1:9" ht="13">
      <c r="A1968" s="118">
        <v>46188</v>
      </c>
      <c r="B1968" s="119">
        <v>7002887981</v>
      </c>
      <c r="C1968" s="119" t="s">
        <v>637</v>
      </c>
      <c r="D1968" s="119" t="s">
        <v>474</v>
      </c>
      <c r="E1968" s="119" t="s">
        <v>556</v>
      </c>
      <c r="F1968" s="119" t="s">
        <v>90</v>
      </c>
      <c r="G1968" s="77">
        <v>3</v>
      </c>
      <c r="H1968" s="77" t="s">
        <v>475</v>
      </c>
      <c r="I1968" s="77" t="s">
        <v>82</v>
      </c>
    </row>
    <row r="1969" spans="1:9" ht="13">
      <c r="A1969" s="118">
        <v>46188</v>
      </c>
      <c r="B1969" s="119">
        <v>7002883988</v>
      </c>
      <c r="C1969" s="119" t="s">
        <v>637</v>
      </c>
      <c r="D1969" s="119" t="s">
        <v>474</v>
      </c>
      <c r="E1969" s="119" t="s">
        <v>554</v>
      </c>
      <c r="F1969" s="119" t="s">
        <v>90</v>
      </c>
      <c r="G1969" s="77">
        <v>2</v>
      </c>
      <c r="H1969" s="77" t="s">
        <v>475</v>
      </c>
      <c r="I1969" s="77" t="s">
        <v>82</v>
      </c>
    </row>
    <row r="1970" spans="1:9" ht="13">
      <c r="A1970" s="118">
        <v>46188</v>
      </c>
      <c r="B1970" s="119">
        <v>7002893015</v>
      </c>
      <c r="C1970" s="119" t="s">
        <v>637</v>
      </c>
      <c r="D1970" s="119" t="s">
        <v>474</v>
      </c>
      <c r="E1970" s="119" t="s">
        <v>554</v>
      </c>
      <c r="F1970" s="119" t="s">
        <v>90</v>
      </c>
      <c r="G1970" s="77">
        <v>2</v>
      </c>
      <c r="H1970" s="77" t="s">
        <v>475</v>
      </c>
      <c r="I1970" s="77" t="s">
        <v>82</v>
      </c>
    </row>
    <row r="1971" spans="1:9" ht="13">
      <c r="A1971" s="118">
        <v>46188</v>
      </c>
      <c r="B1971" s="119">
        <v>7002899030</v>
      </c>
      <c r="C1971" s="119" t="s">
        <v>637</v>
      </c>
      <c r="D1971" s="119" t="s">
        <v>474</v>
      </c>
      <c r="E1971" s="119" t="s">
        <v>556</v>
      </c>
      <c r="F1971" s="119" t="s">
        <v>90</v>
      </c>
      <c r="G1971" s="77">
        <v>1</v>
      </c>
      <c r="H1971" s="77" t="s">
        <v>475</v>
      </c>
      <c r="I1971" s="77" t="s">
        <v>82</v>
      </c>
    </row>
    <row r="1972" spans="1:9" ht="13">
      <c r="A1972" s="118">
        <v>46188</v>
      </c>
      <c r="B1972" s="119">
        <v>7002896139</v>
      </c>
      <c r="C1972" s="119" t="s">
        <v>637</v>
      </c>
      <c r="D1972" s="119" t="s">
        <v>474</v>
      </c>
      <c r="E1972" s="119" t="s">
        <v>554</v>
      </c>
      <c r="F1972" s="119" t="s">
        <v>90</v>
      </c>
      <c r="G1972" s="77">
        <v>4</v>
      </c>
      <c r="H1972" s="77" t="s">
        <v>475</v>
      </c>
      <c r="I1972" s="77" t="s">
        <v>82</v>
      </c>
    </row>
    <row r="1973" spans="1:9" ht="13">
      <c r="A1973" s="118">
        <v>46188</v>
      </c>
      <c r="B1973" s="119">
        <v>7002894167</v>
      </c>
      <c r="C1973" s="119" t="s">
        <v>637</v>
      </c>
      <c r="D1973" s="119" t="s">
        <v>474</v>
      </c>
      <c r="E1973" s="119" t="s">
        <v>556</v>
      </c>
      <c r="F1973" s="119" t="s">
        <v>90</v>
      </c>
      <c r="G1973" s="77">
        <v>3</v>
      </c>
      <c r="H1973" s="77" t="s">
        <v>475</v>
      </c>
      <c r="I1973" s="77" t="s">
        <v>82</v>
      </c>
    </row>
    <row r="1974" spans="1:9" ht="13">
      <c r="A1974" s="118">
        <v>46188</v>
      </c>
      <c r="B1974" s="119">
        <v>7003034380</v>
      </c>
      <c r="C1974" s="119" t="s">
        <v>637</v>
      </c>
      <c r="D1974" s="119" t="s">
        <v>479</v>
      </c>
      <c r="E1974" s="119" t="s">
        <v>103</v>
      </c>
      <c r="F1974" s="119" t="s">
        <v>90</v>
      </c>
      <c r="G1974" s="77">
        <v>1</v>
      </c>
      <c r="H1974" s="77" t="s">
        <v>475</v>
      </c>
      <c r="I1974" s="77" t="s">
        <v>82</v>
      </c>
    </row>
    <row r="1975" spans="1:9" ht="13">
      <c r="A1975" s="118">
        <v>46188</v>
      </c>
      <c r="B1975" s="119">
        <v>7002893253</v>
      </c>
      <c r="C1975" s="119" t="s">
        <v>637</v>
      </c>
      <c r="D1975" s="119" t="s">
        <v>474</v>
      </c>
      <c r="E1975" s="119" t="s">
        <v>556</v>
      </c>
      <c r="F1975" s="119" t="s">
        <v>90</v>
      </c>
      <c r="G1975" s="77">
        <v>3</v>
      </c>
      <c r="H1975" s="77" t="s">
        <v>475</v>
      </c>
      <c r="I1975" s="77" t="s">
        <v>82</v>
      </c>
    </row>
    <row r="1976" spans="1:9" ht="13">
      <c r="A1976" s="118">
        <v>46188</v>
      </c>
      <c r="B1976" s="119">
        <v>7003037335</v>
      </c>
      <c r="C1976" s="119" t="s">
        <v>637</v>
      </c>
      <c r="D1976" s="119" t="s">
        <v>474</v>
      </c>
      <c r="E1976" s="119" t="s">
        <v>463</v>
      </c>
      <c r="F1976" s="119" t="s">
        <v>90</v>
      </c>
      <c r="G1976" s="77">
        <v>1</v>
      </c>
      <c r="H1976" s="77" t="s">
        <v>475</v>
      </c>
      <c r="I1976" s="77" t="s">
        <v>82</v>
      </c>
    </row>
    <row r="1977" spans="1:9" ht="13">
      <c r="A1977" s="118">
        <v>46188</v>
      </c>
      <c r="B1977" s="119">
        <v>7002899987</v>
      </c>
      <c r="C1977" s="119" t="s">
        <v>637</v>
      </c>
      <c r="D1977" s="119" t="s">
        <v>474</v>
      </c>
      <c r="E1977" s="119" t="s">
        <v>452</v>
      </c>
      <c r="F1977" s="119" t="s">
        <v>90</v>
      </c>
      <c r="G1977" s="77">
        <v>1</v>
      </c>
      <c r="H1977" s="77" t="s">
        <v>475</v>
      </c>
      <c r="I1977" s="77" t="s">
        <v>82</v>
      </c>
    </row>
    <row r="1978" spans="1:9" ht="13">
      <c r="A1978" s="118">
        <v>46188</v>
      </c>
      <c r="B1978" s="119">
        <v>7002906092</v>
      </c>
      <c r="C1978" s="119" t="s">
        <v>637</v>
      </c>
      <c r="D1978" s="119" t="s">
        <v>474</v>
      </c>
      <c r="E1978" s="119" t="s">
        <v>452</v>
      </c>
      <c r="F1978" s="119" t="s">
        <v>90</v>
      </c>
      <c r="G1978" s="77">
        <v>1</v>
      </c>
      <c r="H1978" s="77" t="s">
        <v>475</v>
      </c>
      <c r="I1978" s="77" t="s">
        <v>82</v>
      </c>
    </row>
    <row r="1979" spans="1:9" ht="13">
      <c r="A1979" s="118">
        <v>46188</v>
      </c>
      <c r="B1979" s="119">
        <v>7003032307</v>
      </c>
      <c r="C1979" s="119" t="s">
        <v>637</v>
      </c>
      <c r="D1979" s="119" t="s">
        <v>474</v>
      </c>
      <c r="E1979" s="119" t="s">
        <v>528</v>
      </c>
      <c r="F1979" s="119" t="s">
        <v>90</v>
      </c>
      <c r="G1979" s="77">
        <v>4</v>
      </c>
      <c r="H1979" s="77" t="s">
        <v>475</v>
      </c>
      <c r="I1979" s="77" t="s">
        <v>82</v>
      </c>
    </row>
    <row r="1980" spans="1:9" ht="13">
      <c r="A1980" s="118">
        <v>46188</v>
      </c>
      <c r="B1980" s="119">
        <v>7003039299</v>
      </c>
      <c r="C1980" s="119" t="s">
        <v>637</v>
      </c>
      <c r="D1980" s="119" t="s">
        <v>474</v>
      </c>
      <c r="E1980" s="119" t="s">
        <v>91</v>
      </c>
      <c r="F1980" s="119" t="s">
        <v>90</v>
      </c>
      <c r="G1980" s="77">
        <v>1</v>
      </c>
      <c r="H1980" s="77" t="s">
        <v>475</v>
      </c>
      <c r="I1980" s="77" t="s">
        <v>82</v>
      </c>
    </row>
    <row r="1981" spans="1:9" ht="13">
      <c r="A1981" s="118">
        <v>46188</v>
      </c>
      <c r="B1981" s="119">
        <v>7002893089</v>
      </c>
      <c r="C1981" s="119" t="s">
        <v>637</v>
      </c>
      <c r="D1981" s="119" t="s">
        <v>474</v>
      </c>
      <c r="E1981" s="119" t="s">
        <v>556</v>
      </c>
      <c r="F1981" s="119" t="s">
        <v>90</v>
      </c>
      <c r="G1981" s="77">
        <v>3</v>
      </c>
      <c r="H1981" s="77" t="s">
        <v>475</v>
      </c>
      <c r="I1981" s="77" t="s">
        <v>82</v>
      </c>
    </row>
    <row r="1982" spans="1:9" ht="13">
      <c r="A1982" s="118">
        <v>46188</v>
      </c>
      <c r="B1982" s="119">
        <v>7003032435</v>
      </c>
      <c r="C1982" s="119" t="s">
        <v>637</v>
      </c>
      <c r="D1982" s="119" t="s">
        <v>474</v>
      </c>
      <c r="E1982" s="119" t="s">
        <v>91</v>
      </c>
      <c r="F1982" s="119" t="s">
        <v>90</v>
      </c>
      <c r="G1982" s="77">
        <v>4</v>
      </c>
      <c r="H1982" s="77" t="s">
        <v>475</v>
      </c>
      <c r="I1982" s="77" t="s">
        <v>82</v>
      </c>
    </row>
    <row r="1983" spans="1:9" ht="13">
      <c r="A1983" s="118">
        <v>46188</v>
      </c>
      <c r="B1983" s="119">
        <v>7002886558</v>
      </c>
      <c r="C1983" s="119" t="s">
        <v>637</v>
      </c>
      <c r="D1983" s="119" t="s">
        <v>474</v>
      </c>
      <c r="E1983" s="119" t="s">
        <v>556</v>
      </c>
      <c r="F1983" s="119" t="s">
        <v>90</v>
      </c>
      <c r="G1983" s="77">
        <v>3</v>
      </c>
      <c r="H1983" s="77" t="s">
        <v>475</v>
      </c>
      <c r="I1983" s="77" t="s">
        <v>82</v>
      </c>
    </row>
    <row r="1984" spans="1:9" ht="13">
      <c r="A1984" s="118">
        <v>46188</v>
      </c>
      <c r="B1984" s="119">
        <v>7002884609</v>
      </c>
      <c r="C1984" s="119" t="s">
        <v>637</v>
      </c>
      <c r="D1984" s="119" t="s">
        <v>474</v>
      </c>
      <c r="E1984" s="119" t="s">
        <v>556</v>
      </c>
      <c r="F1984" s="119" t="s">
        <v>90</v>
      </c>
      <c r="G1984" s="77">
        <v>6</v>
      </c>
      <c r="H1984" s="77" t="s">
        <v>475</v>
      </c>
      <c r="I1984" s="77" t="s">
        <v>82</v>
      </c>
    </row>
    <row r="1985" spans="1:9" ht="13">
      <c r="A1985" s="118">
        <v>46188</v>
      </c>
      <c r="B1985" s="119">
        <v>7003036249</v>
      </c>
      <c r="C1985" s="119" t="s">
        <v>637</v>
      </c>
      <c r="D1985" s="119" t="s">
        <v>474</v>
      </c>
      <c r="E1985" s="119" t="s">
        <v>91</v>
      </c>
      <c r="F1985" s="119" t="s">
        <v>90</v>
      </c>
      <c r="G1985" s="77">
        <v>2</v>
      </c>
      <c r="H1985" s="77" t="s">
        <v>475</v>
      </c>
      <c r="I1985" s="77" t="s">
        <v>82</v>
      </c>
    </row>
    <row r="1986" spans="1:9" ht="13">
      <c r="A1986" s="118">
        <v>46188</v>
      </c>
      <c r="B1986" s="119">
        <v>7002887585</v>
      </c>
      <c r="C1986" s="119" t="s">
        <v>637</v>
      </c>
      <c r="D1986" s="119" t="s">
        <v>474</v>
      </c>
      <c r="E1986" s="119" t="s">
        <v>556</v>
      </c>
      <c r="F1986" s="119" t="s">
        <v>90</v>
      </c>
      <c r="G1986" s="77">
        <v>3</v>
      </c>
      <c r="H1986" s="77" t="s">
        <v>475</v>
      </c>
      <c r="I1986" s="77" t="s">
        <v>82</v>
      </c>
    </row>
    <row r="1987" spans="1:9" ht="13">
      <c r="A1987" s="118">
        <v>46188</v>
      </c>
      <c r="B1987" s="119">
        <v>7003013045</v>
      </c>
      <c r="C1987" s="119" t="s">
        <v>637</v>
      </c>
      <c r="D1987" s="119" t="s">
        <v>479</v>
      </c>
      <c r="E1987" s="119" t="s">
        <v>470</v>
      </c>
      <c r="F1987" s="119" t="s">
        <v>90</v>
      </c>
      <c r="G1987" s="77">
        <v>6</v>
      </c>
      <c r="H1987" s="77" t="s">
        <v>475</v>
      </c>
      <c r="I1987" s="77" t="s">
        <v>82</v>
      </c>
    </row>
    <row r="1988" spans="1:9" ht="13">
      <c r="A1988" s="118">
        <v>46188</v>
      </c>
      <c r="B1988" s="119">
        <v>7002884554</v>
      </c>
      <c r="C1988" s="119" t="s">
        <v>637</v>
      </c>
      <c r="D1988" s="119" t="s">
        <v>474</v>
      </c>
      <c r="E1988" s="119" t="s">
        <v>556</v>
      </c>
      <c r="F1988" s="119" t="s">
        <v>90</v>
      </c>
      <c r="G1988" s="77">
        <v>3</v>
      </c>
      <c r="H1988" s="77" t="s">
        <v>475</v>
      </c>
      <c r="I1988" s="77" t="s">
        <v>82</v>
      </c>
    </row>
    <row r="1989" spans="1:9" ht="13">
      <c r="A1989" s="118">
        <v>46188</v>
      </c>
      <c r="B1989" s="119">
        <v>7002889541</v>
      </c>
      <c r="C1989" s="119" t="s">
        <v>637</v>
      </c>
      <c r="D1989" s="119" t="s">
        <v>474</v>
      </c>
      <c r="E1989" s="119" t="s">
        <v>556</v>
      </c>
      <c r="F1989" s="119" t="s">
        <v>90</v>
      </c>
      <c r="G1989" s="77">
        <v>4</v>
      </c>
      <c r="H1989" s="77" t="s">
        <v>475</v>
      </c>
      <c r="I1989" s="77" t="s">
        <v>82</v>
      </c>
    </row>
    <row r="1990" spans="1:9" ht="13">
      <c r="A1990" s="118">
        <v>46188</v>
      </c>
      <c r="B1990" s="119">
        <v>7002881458</v>
      </c>
      <c r="C1990" s="119" t="s">
        <v>637</v>
      </c>
      <c r="D1990" s="119" t="s">
        <v>474</v>
      </c>
      <c r="E1990" s="119" t="s">
        <v>556</v>
      </c>
      <c r="F1990" s="119" t="s">
        <v>90</v>
      </c>
      <c r="G1990" s="77">
        <v>16</v>
      </c>
      <c r="H1990" s="77" t="s">
        <v>475</v>
      </c>
      <c r="I1990" s="77" t="s">
        <v>82</v>
      </c>
    </row>
    <row r="1991" spans="1:9" ht="13">
      <c r="A1991" s="118">
        <v>46188</v>
      </c>
      <c r="B1991" s="119">
        <v>7002882442</v>
      </c>
      <c r="C1991" s="119" t="s">
        <v>637</v>
      </c>
      <c r="D1991" s="119" t="s">
        <v>474</v>
      </c>
      <c r="E1991" s="119" t="s">
        <v>556</v>
      </c>
      <c r="F1991" s="119" t="s">
        <v>90</v>
      </c>
      <c r="G1991" s="77">
        <v>5</v>
      </c>
      <c r="H1991" s="77" t="s">
        <v>475</v>
      </c>
      <c r="I1991" s="77" t="s">
        <v>82</v>
      </c>
    </row>
    <row r="1992" spans="1:9" ht="13">
      <c r="A1992" s="118">
        <v>46188</v>
      </c>
      <c r="B1992" s="119">
        <v>7002886360</v>
      </c>
      <c r="C1992" s="119" t="s">
        <v>637</v>
      </c>
      <c r="D1992" s="119" t="s">
        <v>474</v>
      </c>
      <c r="E1992" s="119" t="s">
        <v>556</v>
      </c>
      <c r="F1992" s="119" t="s">
        <v>90</v>
      </c>
      <c r="G1992" s="77">
        <v>5</v>
      </c>
      <c r="H1992" s="77" t="s">
        <v>475</v>
      </c>
      <c r="I1992" s="77" t="s">
        <v>82</v>
      </c>
    </row>
    <row r="1993" spans="1:9" ht="13">
      <c r="A1993" s="118">
        <v>46188</v>
      </c>
      <c r="B1993" s="119">
        <v>7002903698</v>
      </c>
      <c r="C1993" s="119" t="s">
        <v>637</v>
      </c>
      <c r="D1993" s="119" t="s">
        <v>474</v>
      </c>
      <c r="E1993" s="119" t="s">
        <v>554</v>
      </c>
      <c r="F1993" s="119" t="s">
        <v>90</v>
      </c>
      <c r="G1993" s="77">
        <v>2</v>
      </c>
      <c r="H1993" s="77" t="s">
        <v>475</v>
      </c>
      <c r="I1993" s="77" t="s">
        <v>82</v>
      </c>
    </row>
    <row r="1994" spans="1:9" ht="13">
      <c r="A1994" s="118">
        <v>46188</v>
      </c>
      <c r="B1994" s="119">
        <v>7003034243</v>
      </c>
      <c r="C1994" s="119" t="s">
        <v>637</v>
      </c>
      <c r="D1994" s="119" t="s">
        <v>474</v>
      </c>
      <c r="E1994" s="119" t="s">
        <v>528</v>
      </c>
      <c r="F1994" s="119" t="s">
        <v>90</v>
      </c>
      <c r="G1994" s="77">
        <v>16</v>
      </c>
      <c r="H1994" s="77" t="s">
        <v>475</v>
      </c>
      <c r="I1994" s="77" t="s">
        <v>82</v>
      </c>
    </row>
    <row r="1995" spans="1:9" ht="13">
      <c r="A1995" s="118">
        <v>46188</v>
      </c>
      <c r="B1995" s="119">
        <v>7002886254</v>
      </c>
      <c r="C1995" s="119" t="s">
        <v>637</v>
      </c>
      <c r="D1995" s="119" t="s">
        <v>474</v>
      </c>
      <c r="E1995" s="119" t="s">
        <v>556</v>
      </c>
      <c r="F1995" s="119" t="s">
        <v>90</v>
      </c>
      <c r="G1995" s="77">
        <v>2</v>
      </c>
      <c r="H1995" s="77" t="s">
        <v>475</v>
      </c>
      <c r="I1995" s="77" t="s">
        <v>82</v>
      </c>
    </row>
    <row r="1996" spans="1:9" ht="13">
      <c r="A1996" s="118">
        <v>46188</v>
      </c>
      <c r="B1996" s="119">
        <v>7002883622</v>
      </c>
      <c r="C1996" s="119" t="s">
        <v>637</v>
      </c>
      <c r="D1996" s="119" t="s">
        <v>474</v>
      </c>
      <c r="E1996" s="119" t="s">
        <v>554</v>
      </c>
      <c r="F1996" s="119" t="s">
        <v>90</v>
      </c>
      <c r="G1996" s="77">
        <v>1</v>
      </c>
      <c r="H1996" s="77" t="s">
        <v>475</v>
      </c>
      <c r="I1996" s="77" t="s">
        <v>82</v>
      </c>
    </row>
    <row r="1997" spans="1:9" ht="13">
      <c r="A1997" s="118">
        <v>46188</v>
      </c>
      <c r="B1997" s="119">
        <v>7002904596</v>
      </c>
      <c r="C1997" s="119" t="s">
        <v>637</v>
      </c>
      <c r="D1997" s="119" t="s">
        <v>474</v>
      </c>
      <c r="E1997" s="119" t="s">
        <v>556</v>
      </c>
      <c r="F1997" s="119" t="s">
        <v>90</v>
      </c>
      <c r="G1997" s="77">
        <v>6</v>
      </c>
      <c r="H1997" s="77" t="s">
        <v>475</v>
      </c>
      <c r="I1997" s="77" t="s">
        <v>82</v>
      </c>
    </row>
    <row r="1998" spans="1:9" ht="13">
      <c r="A1998" s="118">
        <v>46188</v>
      </c>
      <c r="B1998" s="119">
        <v>7003030274</v>
      </c>
      <c r="C1998" s="119" t="s">
        <v>637</v>
      </c>
      <c r="D1998" s="119" t="s">
        <v>474</v>
      </c>
      <c r="E1998" s="119" t="s">
        <v>528</v>
      </c>
      <c r="F1998" s="119" t="s">
        <v>90</v>
      </c>
      <c r="G1998" s="77">
        <v>3</v>
      </c>
      <c r="H1998" s="77" t="s">
        <v>475</v>
      </c>
      <c r="I1998" s="77" t="s">
        <v>82</v>
      </c>
    </row>
    <row r="1999" spans="1:9" ht="13">
      <c r="A1999" s="118">
        <v>46188</v>
      </c>
      <c r="B1999" s="119">
        <v>7002903521</v>
      </c>
      <c r="C1999" s="119" t="s">
        <v>637</v>
      </c>
      <c r="D1999" s="119" t="s">
        <v>474</v>
      </c>
      <c r="E1999" s="119" t="s">
        <v>452</v>
      </c>
      <c r="F1999" s="119" t="s">
        <v>90</v>
      </c>
      <c r="G1999" s="77">
        <v>1</v>
      </c>
      <c r="H1999" s="77" t="s">
        <v>475</v>
      </c>
      <c r="I1999" s="77" t="s">
        <v>82</v>
      </c>
    </row>
    <row r="2000" spans="1:9" ht="13">
      <c r="A2000" s="109"/>
      <c r="B2000" s="110"/>
      <c r="C2000" s="110"/>
      <c r="D2000" s="110"/>
      <c r="E2000" s="110"/>
      <c r="F2000" s="110"/>
      <c r="G2000" s="110"/>
      <c r="H2000" s="110"/>
      <c r="I2000" s="110"/>
    </row>
    <row r="2001" spans="1:9" ht="13">
      <c r="A2001" s="109"/>
      <c r="B2001" s="110"/>
      <c r="C2001" s="110"/>
      <c r="D2001" s="110"/>
      <c r="E2001" s="110"/>
      <c r="F2001" s="110"/>
      <c r="G2001" s="110"/>
      <c r="H2001" s="110"/>
      <c r="I2001" s="110"/>
    </row>
    <row r="2002" spans="1:9" ht="13">
      <c r="A2002" s="109"/>
      <c r="B2002" s="110"/>
      <c r="C2002" s="110"/>
      <c r="D2002" s="110"/>
      <c r="E2002" s="110"/>
      <c r="F2002" s="110"/>
      <c r="G2002" s="110"/>
      <c r="H2002" s="110"/>
      <c r="I2002" s="110"/>
    </row>
    <row r="2003" spans="1:9" ht="13">
      <c r="A2003" s="109"/>
      <c r="B2003" s="110"/>
      <c r="C2003" s="110"/>
      <c r="D2003" s="110"/>
      <c r="E2003" s="110"/>
      <c r="F2003" s="110"/>
      <c r="G2003" s="110"/>
      <c r="H2003" s="110"/>
      <c r="I2003" s="110"/>
    </row>
    <row r="2004" spans="1:9" ht="13">
      <c r="A2004" s="109"/>
      <c r="B2004" s="110"/>
      <c r="C2004" s="110"/>
      <c r="D2004" s="110"/>
      <c r="E2004" s="110"/>
      <c r="F2004" s="110"/>
      <c r="G2004" s="110"/>
      <c r="H2004" s="110"/>
      <c r="I2004" s="110"/>
    </row>
    <row r="2005" spans="1:9" ht="13">
      <c r="A2005" s="109"/>
      <c r="B2005" s="110"/>
      <c r="C2005" s="110"/>
      <c r="D2005" s="110"/>
      <c r="E2005" s="110"/>
      <c r="F2005" s="110"/>
      <c r="G2005" s="110"/>
      <c r="H2005" s="110"/>
      <c r="I2005" s="110"/>
    </row>
    <row r="2006" spans="1:9" ht="13">
      <c r="A2006" s="109"/>
      <c r="B2006" s="110"/>
      <c r="C2006" s="110"/>
      <c r="D2006" s="110"/>
      <c r="E2006" s="110"/>
      <c r="F2006" s="110"/>
      <c r="G2006" s="110"/>
      <c r="H2006" s="110"/>
      <c r="I2006" s="110"/>
    </row>
    <row r="2007" spans="1:9" ht="13">
      <c r="A2007" s="109"/>
      <c r="B2007" s="110"/>
      <c r="C2007" s="110"/>
      <c r="D2007" s="110"/>
      <c r="E2007" s="110"/>
      <c r="F2007" s="110"/>
      <c r="G2007" s="110"/>
      <c r="H2007" s="110"/>
      <c r="I2007" s="110"/>
    </row>
    <row r="2008" spans="1:9" ht="13">
      <c r="A2008" s="109"/>
      <c r="B2008" s="110"/>
      <c r="C2008" s="110"/>
      <c r="D2008" s="110"/>
      <c r="E2008" s="110"/>
      <c r="F2008" s="110"/>
      <c r="G2008" s="110"/>
      <c r="H2008" s="110"/>
      <c r="I2008" s="110"/>
    </row>
    <row r="2009" spans="1:9" ht="13">
      <c r="A2009" s="109"/>
      <c r="B2009" s="110"/>
      <c r="C2009" s="110"/>
      <c r="D2009" s="110"/>
      <c r="E2009" s="110"/>
      <c r="F2009" s="110"/>
      <c r="G2009" s="110"/>
      <c r="H2009" s="110"/>
      <c r="I2009" s="110"/>
    </row>
    <row r="2010" spans="1:9" ht="13">
      <c r="A2010" s="109"/>
      <c r="B2010" s="110"/>
      <c r="C2010" s="110"/>
      <c r="D2010" s="110"/>
      <c r="E2010" s="110"/>
      <c r="F2010" s="110"/>
      <c r="G2010" s="110"/>
      <c r="H2010" s="110"/>
      <c r="I2010" s="110"/>
    </row>
    <row r="2011" spans="1:9" ht="13">
      <c r="A2011" s="109"/>
      <c r="B2011" s="110"/>
      <c r="C2011" s="110"/>
      <c r="D2011" s="110"/>
      <c r="E2011" s="110"/>
      <c r="F2011" s="110"/>
      <c r="G2011" s="110"/>
      <c r="H2011" s="110"/>
      <c r="I2011" s="110"/>
    </row>
    <row r="2012" spans="1:9" ht="13">
      <c r="A2012" s="109"/>
      <c r="B2012" s="110"/>
      <c r="C2012" s="110"/>
      <c r="D2012" s="110"/>
      <c r="E2012" s="110"/>
      <c r="F2012" s="110"/>
      <c r="G2012" s="110"/>
      <c r="H2012" s="110"/>
      <c r="I2012" s="110"/>
    </row>
    <row r="2013" spans="1:9" ht="13">
      <c r="A2013" s="109"/>
      <c r="B2013" s="110"/>
      <c r="C2013" s="110"/>
      <c r="D2013" s="110"/>
      <c r="E2013" s="110"/>
      <c r="F2013" s="110"/>
      <c r="G2013" s="110"/>
      <c r="H2013" s="110"/>
      <c r="I2013" s="110"/>
    </row>
    <row r="2014" spans="1:9" ht="13">
      <c r="A2014" s="109"/>
      <c r="B2014" s="110"/>
      <c r="C2014" s="110"/>
      <c r="D2014" s="110"/>
      <c r="E2014" s="110"/>
      <c r="F2014" s="110"/>
      <c r="G2014" s="110"/>
      <c r="H2014" s="110"/>
      <c r="I2014" s="110"/>
    </row>
    <row r="2015" spans="1:9" ht="13">
      <c r="A2015" s="109"/>
      <c r="B2015" s="110"/>
      <c r="C2015" s="110"/>
      <c r="D2015" s="110"/>
      <c r="E2015" s="110"/>
      <c r="F2015" s="110"/>
      <c r="G2015" s="110"/>
      <c r="H2015" s="110"/>
      <c r="I2015" s="110"/>
    </row>
    <row r="2016" spans="1:9" ht="13">
      <c r="A2016" s="109"/>
      <c r="B2016" s="110"/>
      <c r="C2016" s="110"/>
      <c r="D2016" s="110"/>
      <c r="E2016" s="110"/>
      <c r="F2016" s="110"/>
      <c r="G2016" s="110"/>
      <c r="H2016" s="110"/>
      <c r="I2016" s="110"/>
    </row>
    <row r="2017" spans="1:9" ht="13">
      <c r="A2017" s="109"/>
      <c r="B2017" s="110"/>
      <c r="C2017" s="110"/>
      <c r="D2017" s="110"/>
      <c r="E2017" s="110"/>
      <c r="F2017" s="110"/>
      <c r="G2017" s="110"/>
      <c r="H2017" s="110"/>
      <c r="I2017" s="110"/>
    </row>
    <row r="2018" spans="1:9" ht="13">
      <c r="A2018" s="109"/>
      <c r="B2018" s="110"/>
      <c r="C2018" s="110"/>
      <c r="D2018" s="110"/>
      <c r="E2018" s="110"/>
      <c r="F2018" s="110"/>
      <c r="G2018" s="110"/>
      <c r="H2018" s="110"/>
      <c r="I2018" s="110"/>
    </row>
    <row r="2019" spans="1:9" ht="13">
      <c r="A2019" s="109"/>
      <c r="B2019" s="110"/>
      <c r="C2019" s="110"/>
      <c r="D2019" s="110"/>
      <c r="E2019" s="110"/>
      <c r="F2019" s="110"/>
      <c r="G2019" s="110"/>
      <c r="H2019" s="110"/>
      <c r="I2019" s="110"/>
    </row>
    <row r="2020" spans="1:9" ht="13">
      <c r="A2020" s="109"/>
      <c r="B2020" s="110"/>
      <c r="C2020" s="110"/>
      <c r="D2020" s="110"/>
      <c r="E2020" s="110"/>
      <c r="F2020" s="110"/>
      <c r="G2020" s="110"/>
      <c r="H2020" s="110"/>
      <c r="I2020" s="110"/>
    </row>
    <row r="2021" spans="1:9" ht="13">
      <c r="A2021" s="109"/>
      <c r="B2021" s="110"/>
      <c r="C2021" s="110"/>
      <c r="D2021" s="110"/>
      <c r="E2021" s="110"/>
      <c r="F2021" s="110"/>
      <c r="G2021" s="110"/>
      <c r="H2021" s="110"/>
      <c r="I2021" s="110"/>
    </row>
    <row r="2022" spans="1:9" ht="13">
      <c r="A2022" s="109"/>
      <c r="B2022" s="110"/>
      <c r="C2022" s="110"/>
      <c r="D2022" s="110"/>
      <c r="E2022" s="110"/>
      <c r="F2022" s="110"/>
      <c r="G2022" s="110"/>
      <c r="H2022" s="110"/>
      <c r="I2022" s="110"/>
    </row>
    <row r="2023" spans="1:9" ht="13">
      <c r="A2023" s="109"/>
      <c r="B2023" s="110"/>
      <c r="C2023" s="110"/>
      <c r="D2023" s="110"/>
      <c r="E2023" s="110"/>
      <c r="F2023" s="110"/>
      <c r="G2023" s="110"/>
      <c r="H2023" s="110"/>
      <c r="I2023" s="110"/>
    </row>
    <row r="2024" spans="1:9" ht="13">
      <c r="A2024" s="109"/>
      <c r="B2024" s="110"/>
      <c r="C2024" s="110"/>
      <c r="D2024" s="110"/>
      <c r="E2024" s="110"/>
      <c r="F2024" s="110"/>
      <c r="G2024" s="110"/>
      <c r="H2024" s="110"/>
      <c r="I2024" s="110"/>
    </row>
    <row r="2025" spans="1:9" ht="13">
      <c r="A2025" s="109"/>
      <c r="B2025" s="110"/>
      <c r="C2025" s="110"/>
      <c r="D2025" s="110"/>
      <c r="E2025" s="110"/>
      <c r="F2025" s="110"/>
      <c r="G2025" s="110"/>
      <c r="H2025" s="110"/>
      <c r="I2025" s="110"/>
    </row>
    <row r="2026" spans="1:9" ht="13">
      <c r="A2026" s="109"/>
      <c r="B2026" s="110"/>
      <c r="C2026" s="110"/>
      <c r="D2026" s="110"/>
      <c r="E2026" s="110"/>
      <c r="F2026" s="110"/>
      <c r="G2026" s="110"/>
      <c r="H2026" s="110"/>
      <c r="I2026" s="110"/>
    </row>
    <row r="2027" spans="1:9" ht="13">
      <c r="A2027" s="109"/>
      <c r="B2027" s="110"/>
      <c r="C2027" s="110"/>
      <c r="D2027" s="110"/>
      <c r="E2027" s="110"/>
      <c r="F2027" s="110"/>
      <c r="G2027" s="110"/>
      <c r="H2027" s="110"/>
      <c r="I2027" s="110"/>
    </row>
    <row r="2028" spans="1:9" ht="13">
      <c r="A2028" s="109"/>
      <c r="B2028" s="110"/>
      <c r="C2028" s="110"/>
      <c r="D2028" s="110"/>
      <c r="E2028" s="110"/>
      <c r="F2028" s="110"/>
      <c r="G2028" s="110"/>
      <c r="H2028" s="110"/>
      <c r="I2028" s="110"/>
    </row>
    <row r="2029" spans="1:9" ht="13">
      <c r="A2029" s="109"/>
      <c r="B2029" s="110"/>
      <c r="C2029" s="110"/>
      <c r="D2029" s="110"/>
      <c r="E2029" s="110"/>
      <c r="F2029" s="110"/>
      <c r="G2029" s="110"/>
      <c r="H2029" s="110"/>
      <c r="I2029" s="110"/>
    </row>
    <row r="2030" spans="1:9" ht="13">
      <c r="A2030" s="109"/>
      <c r="B2030" s="110"/>
      <c r="C2030" s="110"/>
      <c r="D2030" s="110"/>
      <c r="E2030" s="110"/>
      <c r="F2030" s="110"/>
      <c r="G2030" s="110"/>
      <c r="H2030" s="110"/>
      <c r="I2030" s="110"/>
    </row>
    <row r="2031" spans="1:9" ht="13">
      <c r="A2031" s="109"/>
      <c r="B2031" s="110"/>
      <c r="C2031" s="110"/>
      <c r="D2031" s="110"/>
      <c r="E2031" s="110"/>
      <c r="F2031" s="110"/>
      <c r="G2031" s="110"/>
      <c r="H2031" s="110"/>
      <c r="I2031" s="110"/>
    </row>
    <row r="2032" spans="1:9" ht="13">
      <c r="A2032" s="109"/>
      <c r="B2032" s="110"/>
      <c r="C2032" s="110"/>
      <c r="D2032" s="110"/>
      <c r="E2032" s="110"/>
      <c r="F2032" s="110"/>
      <c r="G2032" s="110"/>
      <c r="H2032" s="110"/>
      <c r="I2032" s="110"/>
    </row>
    <row r="2033" spans="1:9" ht="13">
      <c r="A2033" s="109"/>
      <c r="B2033" s="110"/>
      <c r="C2033" s="110"/>
      <c r="D2033" s="110"/>
      <c r="E2033" s="110"/>
      <c r="F2033" s="110"/>
      <c r="G2033" s="110"/>
      <c r="H2033" s="110"/>
      <c r="I2033" s="110"/>
    </row>
    <row r="2034" spans="1:9" ht="13">
      <c r="A2034" s="109"/>
      <c r="B2034" s="110"/>
      <c r="C2034" s="110"/>
      <c r="D2034" s="110"/>
      <c r="E2034" s="110"/>
      <c r="F2034" s="110"/>
      <c r="G2034" s="110"/>
      <c r="H2034" s="110"/>
      <c r="I2034" s="110"/>
    </row>
    <row r="2035" spans="1:9" ht="13">
      <c r="A2035" s="109"/>
      <c r="B2035" s="110"/>
      <c r="C2035" s="110"/>
      <c r="D2035" s="110"/>
      <c r="E2035" s="110"/>
      <c r="F2035" s="110"/>
      <c r="G2035" s="110"/>
      <c r="H2035" s="110"/>
      <c r="I2035" s="110"/>
    </row>
    <row r="2036" spans="1:9" ht="13">
      <c r="A2036" s="109"/>
      <c r="B2036" s="110"/>
      <c r="C2036" s="110"/>
      <c r="D2036" s="110"/>
      <c r="E2036" s="110"/>
      <c r="F2036" s="110"/>
      <c r="G2036" s="110"/>
      <c r="H2036" s="110"/>
      <c r="I2036" s="110"/>
    </row>
    <row r="2037" spans="1:9" ht="13">
      <c r="A2037" s="109"/>
      <c r="B2037" s="110"/>
      <c r="C2037" s="110"/>
      <c r="D2037" s="110"/>
      <c r="E2037" s="110"/>
      <c r="F2037" s="110"/>
      <c r="G2037" s="110"/>
      <c r="H2037" s="110"/>
      <c r="I2037" s="110"/>
    </row>
    <row r="2038" spans="1:9" ht="13">
      <c r="A2038" s="109"/>
      <c r="B2038" s="110"/>
      <c r="C2038" s="110"/>
      <c r="D2038" s="110"/>
      <c r="E2038" s="110"/>
      <c r="F2038" s="110"/>
      <c r="G2038" s="110"/>
      <c r="H2038" s="110"/>
      <c r="I2038" s="110"/>
    </row>
    <row r="2039" spans="1:9" ht="13">
      <c r="A2039" s="109"/>
      <c r="B2039" s="110"/>
      <c r="C2039" s="110"/>
      <c r="D2039" s="110"/>
      <c r="E2039" s="110"/>
      <c r="F2039" s="110"/>
      <c r="G2039" s="110"/>
      <c r="H2039" s="110"/>
      <c r="I2039" s="110"/>
    </row>
    <row r="2040" spans="1:9" ht="13">
      <c r="A2040" s="109"/>
      <c r="B2040" s="110"/>
      <c r="C2040" s="110"/>
      <c r="D2040" s="110"/>
      <c r="E2040" s="110"/>
      <c r="F2040" s="110"/>
      <c r="G2040" s="110"/>
      <c r="H2040" s="110"/>
      <c r="I2040" s="110"/>
    </row>
    <row r="2041" spans="1:9" ht="13">
      <c r="A2041" s="109"/>
      <c r="B2041" s="110"/>
      <c r="C2041" s="110"/>
      <c r="D2041" s="110"/>
      <c r="E2041" s="110"/>
      <c r="F2041" s="110"/>
      <c r="G2041" s="110"/>
      <c r="H2041" s="110"/>
      <c r="I2041" s="110"/>
    </row>
    <row r="2042" spans="1:9" ht="13">
      <c r="A2042" s="109"/>
      <c r="B2042" s="110"/>
      <c r="C2042" s="110"/>
      <c r="D2042" s="110"/>
      <c r="E2042" s="110"/>
      <c r="F2042" s="110"/>
      <c r="G2042" s="110"/>
      <c r="H2042" s="110"/>
      <c r="I2042" s="110"/>
    </row>
    <row r="2043" spans="1:9" ht="13">
      <c r="A2043" s="109"/>
      <c r="B2043" s="110"/>
      <c r="C2043" s="110"/>
      <c r="D2043" s="110"/>
      <c r="E2043" s="110"/>
      <c r="F2043" s="110"/>
      <c r="G2043" s="110"/>
      <c r="H2043" s="110"/>
      <c r="I2043" s="110"/>
    </row>
    <row r="2044" spans="1:9" ht="13">
      <c r="A2044" s="109"/>
      <c r="B2044" s="110"/>
      <c r="C2044" s="110"/>
      <c r="D2044" s="110"/>
      <c r="E2044" s="110"/>
      <c r="F2044" s="110"/>
      <c r="G2044" s="110"/>
      <c r="H2044" s="110"/>
      <c r="I2044" s="110"/>
    </row>
    <row r="2045" spans="1:9" ht="13">
      <c r="A2045" s="109"/>
      <c r="B2045" s="110"/>
      <c r="C2045" s="110"/>
      <c r="D2045" s="110"/>
      <c r="E2045" s="110"/>
      <c r="F2045" s="110"/>
      <c r="G2045" s="110"/>
      <c r="H2045" s="110"/>
      <c r="I2045" s="110"/>
    </row>
    <row r="2046" spans="1:9" ht="13">
      <c r="A2046" s="109"/>
      <c r="B2046" s="110"/>
      <c r="C2046" s="110"/>
      <c r="D2046" s="110"/>
      <c r="E2046" s="110"/>
      <c r="F2046" s="110"/>
      <c r="G2046" s="110"/>
      <c r="H2046" s="110"/>
      <c r="I2046" s="110"/>
    </row>
    <row r="2047" spans="1:9" ht="13">
      <c r="A2047" s="109"/>
      <c r="B2047" s="110"/>
      <c r="C2047" s="110"/>
      <c r="D2047" s="110"/>
      <c r="E2047" s="110"/>
      <c r="F2047" s="110"/>
      <c r="G2047" s="110"/>
      <c r="H2047" s="110"/>
      <c r="I2047" s="110"/>
    </row>
    <row r="2048" spans="1:9" ht="13">
      <c r="A2048" s="109"/>
      <c r="B2048" s="110"/>
      <c r="C2048" s="110"/>
      <c r="D2048" s="110"/>
      <c r="E2048" s="110"/>
      <c r="F2048" s="110"/>
      <c r="G2048" s="110"/>
      <c r="H2048" s="110"/>
      <c r="I2048" s="110"/>
    </row>
    <row r="2049" spans="1:9" ht="13">
      <c r="A2049" s="109"/>
      <c r="B2049" s="110"/>
      <c r="C2049" s="110"/>
      <c r="D2049" s="110"/>
      <c r="E2049" s="110"/>
      <c r="F2049" s="110"/>
      <c r="G2049" s="110"/>
      <c r="H2049" s="110"/>
      <c r="I2049" s="110"/>
    </row>
    <row r="2050" spans="1:9" ht="13">
      <c r="A2050" s="109"/>
      <c r="B2050" s="110"/>
      <c r="C2050" s="110"/>
      <c r="D2050" s="110"/>
      <c r="E2050" s="110"/>
      <c r="F2050" s="110"/>
      <c r="G2050" s="110"/>
      <c r="H2050" s="110"/>
      <c r="I2050" s="110"/>
    </row>
    <row r="2051" spans="1:9" ht="13">
      <c r="A2051" s="109"/>
      <c r="B2051" s="110"/>
      <c r="C2051" s="110"/>
      <c r="D2051" s="110"/>
      <c r="E2051" s="110"/>
      <c r="F2051" s="110"/>
      <c r="G2051" s="110"/>
      <c r="H2051" s="110"/>
      <c r="I2051" s="110"/>
    </row>
    <row r="2052" spans="1:9" ht="13">
      <c r="A2052" s="109"/>
      <c r="B2052" s="110"/>
      <c r="C2052" s="110"/>
      <c r="D2052" s="110"/>
      <c r="E2052" s="110"/>
      <c r="F2052" s="110"/>
      <c r="G2052" s="110"/>
      <c r="H2052" s="110"/>
      <c r="I2052" s="110"/>
    </row>
    <row r="2053" spans="1:9" ht="13">
      <c r="A2053" s="109"/>
      <c r="B2053" s="110"/>
      <c r="C2053" s="110"/>
      <c r="D2053" s="110"/>
      <c r="E2053" s="110"/>
      <c r="F2053" s="110"/>
      <c r="G2053" s="110"/>
      <c r="H2053" s="110"/>
      <c r="I2053" s="110"/>
    </row>
    <row r="2054" spans="1:9" ht="13">
      <c r="A2054" s="109"/>
      <c r="B2054" s="110"/>
      <c r="C2054" s="110"/>
      <c r="D2054" s="110"/>
      <c r="E2054" s="110"/>
      <c r="F2054" s="110"/>
      <c r="G2054" s="110"/>
      <c r="H2054" s="110"/>
      <c r="I2054" s="110"/>
    </row>
    <row r="2055" spans="1:9" ht="13">
      <c r="A2055" s="109"/>
      <c r="B2055" s="110"/>
      <c r="C2055" s="110"/>
      <c r="D2055" s="110"/>
      <c r="E2055" s="110"/>
      <c r="F2055" s="110"/>
      <c r="G2055" s="110"/>
      <c r="H2055" s="110"/>
      <c r="I2055" s="110"/>
    </row>
    <row r="2056" spans="1:9" ht="13">
      <c r="A2056" s="109"/>
      <c r="B2056" s="110"/>
      <c r="C2056" s="110"/>
      <c r="D2056" s="110"/>
      <c r="E2056" s="110"/>
      <c r="F2056" s="110"/>
      <c r="G2056" s="110"/>
      <c r="H2056" s="110"/>
      <c r="I2056" s="110"/>
    </row>
    <row r="2057" spans="1:9" ht="13">
      <c r="A2057" s="109"/>
      <c r="B2057" s="110"/>
      <c r="C2057" s="110"/>
      <c r="D2057" s="110"/>
      <c r="E2057" s="110"/>
      <c r="F2057" s="110"/>
      <c r="G2057" s="110"/>
      <c r="H2057" s="110"/>
      <c r="I2057" s="110"/>
    </row>
    <row r="2058" spans="1:9" ht="13">
      <c r="A2058" s="109"/>
      <c r="B2058" s="110"/>
      <c r="C2058" s="110"/>
      <c r="D2058" s="110"/>
      <c r="E2058" s="110"/>
      <c r="F2058" s="110"/>
      <c r="G2058" s="110"/>
      <c r="H2058" s="110"/>
      <c r="I2058" s="110"/>
    </row>
    <row r="2059" spans="1:9" ht="13">
      <c r="A2059" s="109"/>
      <c r="B2059" s="110"/>
      <c r="C2059" s="110"/>
      <c r="D2059" s="110"/>
      <c r="E2059" s="110"/>
      <c r="F2059" s="110"/>
      <c r="G2059" s="110"/>
      <c r="H2059" s="110"/>
      <c r="I2059" s="110"/>
    </row>
    <row r="2060" spans="1:9" ht="13">
      <c r="A2060" s="109"/>
      <c r="B2060" s="110"/>
      <c r="C2060" s="110"/>
      <c r="D2060" s="110"/>
      <c r="E2060" s="110"/>
      <c r="F2060" s="110"/>
      <c r="G2060" s="110"/>
      <c r="H2060" s="110"/>
      <c r="I2060" s="110"/>
    </row>
    <row r="2061" spans="1:9" ht="13">
      <c r="A2061" s="109"/>
      <c r="B2061" s="110"/>
      <c r="C2061" s="110"/>
      <c r="D2061" s="110"/>
      <c r="E2061" s="110"/>
      <c r="F2061" s="110"/>
      <c r="G2061" s="110"/>
      <c r="H2061" s="110"/>
      <c r="I2061" s="110"/>
    </row>
    <row r="2062" spans="1:9" ht="13">
      <c r="A2062" s="109"/>
      <c r="B2062" s="110"/>
      <c r="C2062" s="110"/>
      <c r="D2062" s="110"/>
      <c r="E2062" s="110"/>
      <c r="F2062" s="110"/>
      <c r="G2062" s="110"/>
      <c r="H2062" s="110"/>
      <c r="I2062" s="110"/>
    </row>
    <row r="2063" spans="1:9" ht="13">
      <c r="A2063" s="109"/>
      <c r="B2063" s="110"/>
      <c r="C2063" s="110"/>
      <c r="D2063" s="110"/>
      <c r="E2063" s="110"/>
      <c r="F2063" s="110"/>
      <c r="G2063" s="110"/>
      <c r="H2063" s="110"/>
      <c r="I2063" s="110"/>
    </row>
    <row r="2064" spans="1:9" ht="13">
      <c r="A2064" s="109"/>
      <c r="B2064" s="110"/>
      <c r="C2064" s="110"/>
      <c r="D2064" s="110"/>
      <c r="E2064" s="110"/>
      <c r="F2064" s="110"/>
      <c r="G2064" s="110"/>
      <c r="H2064" s="110"/>
      <c r="I2064" s="110"/>
    </row>
    <row r="2065" spans="1:9" ht="13">
      <c r="A2065" s="109"/>
      <c r="B2065" s="110"/>
      <c r="C2065" s="110"/>
      <c r="D2065" s="110"/>
      <c r="E2065" s="110"/>
      <c r="F2065" s="110"/>
      <c r="G2065" s="110"/>
      <c r="H2065" s="110"/>
      <c r="I2065" s="110"/>
    </row>
    <row r="2066" spans="1:9" ht="13">
      <c r="A2066" s="109"/>
      <c r="B2066" s="110"/>
      <c r="C2066" s="110"/>
      <c r="D2066" s="110"/>
      <c r="E2066" s="110"/>
      <c r="F2066" s="110"/>
      <c r="G2066" s="110"/>
      <c r="H2066" s="110"/>
      <c r="I2066" s="110"/>
    </row>
    <row r="2067" spans="1:9" ht="13">
      <c r="A2067" s="109"/>
      <c r="B2067" s="110"/>
      <c r="C2067" s="110"/>
      <c r="D2067" s="110"/>
      <c r="E2067" s="110"/>
      <c r="F2067" s="110"/>
      <c r="G2067" s="110"/>
      <c r="H2067" s="110"/>
      <c r="I2067" s="110"/>
    </row>
    <row r="2068" spans="1:9" ht="13">
      <c r="A2068" s="109"/>
      <c r="B2068" s="110"/>
      <c r="C2068" s="110"/>
      <c r="D2068" s="110"/>
      <c r="E2068" s="110"/>
      <c r="F2068" s="110"/>
      <c r="G2068" s="110"/>
      <c r="H2068" s="110"/>
      <c r="I2068" s="110"/>
    </row>
    <row r="2069" spans="1:9" ht="13">
      <c r="A2069" s="109"/>
      <c r="B2069" s="110"/>
      <c r="C2069" s="110"/>
      <c r="D2069" s="110"/>
      <c r="E2069" s="110"/>
      <c r="F2069" s="110"/>
      <c r="G2069" s="110"/>
      <c r="H2069" s="110"/>
      <c r="I2069" s="110"/>
    </row>
    <row r="2070" spans="1:9" ht="13">
      <c r="A2070" s="109"/>
      <c r="B2070" s="110"/>
      <c r="C2070" s="110"/>
      <c r="D2070" s="110"/>
      <c r="E2070" s="110"/>
      <c r="F2070" s="110"/>
      <c r="G2070" s="110"/>
      <c r="H2070" s="110"/>
      <c r="I2070" s="110"/>
    </row>
    <row r="2071" spans="1:9" ht="13">
      <c r="A2071" s="109"/>
      <c r="B2071" s="110"/>
      <c r="C2071" s="110"/>
      <c r="D2071" s="110"/>
      <c r="E2071" s="110"/>
      <c r="F2071" s="110"/>
      <c r="G2071" s="110"/>
      <c r="H2071" s="110"/>
      <c r="I2071" s="110"/>
    </row>
    <row r="2072" spans="1:9" ht="13">
      <c r="A2072" s="109"/>
      <c r="B2072" s="110"/>
      <c r="C2072" s="110"/>
      <c r="D2072" s="110"/>
      <c r="E2072" s="110"/>
      <c r="F2072" s="110"/>
      <c r="G2072" s="110"/>
      <c r="H2072" s="110"/>
      <c r="I2072" s="110"/>
    </row>
    <row r="2073" spans="1:9" ht="13">
      <c r="A2073" s="109"/>
      <c r="B2073" s="110"/>
      <c r="C2073" s="110"/>
      <c r="D2073" s="110"/>
      <c r="E2073" s="110"/>
      <c r="F2073" s="110"/>
      <c r="G2073" s="110"/>
      <c r="H2073" s="110"/>
      <c r="I2073" s="110"/>
    </row>
    <row r="2074" spans="1:9" ht="13">
      <c r="A2074" s="109"/>
      <c r="B2074" s="110"/>
      <c r="C2074" s="110"/>
      <c r="D2074" s="110"/>
      <c r="E2074" s="110"/>
      <c r="F2074" s="110"/>
      <c r="G2074" s="110"/>
      <c r="H2074" s="110"/>
      <c r="I2074" s="110"/>
    </row>
    <row r="2075" spans="1:9" ht="13">
      <c r="A2075" s="109"/>
      <c r="B2075" s="110"/>
      <c r="C2075" s="110"/>
      <c r="D2075" s="110"/>
      <c r="E2075" s="110"/>
      <c r="F2075" s="110"/>
      <c r="G2075" s="110"/>
      <c r="H2075" s="110"/>
      <c r="I2075" s="110"/>
    </row>
    <row r="2076" spans="1:9" ht="13">
      <c r="A2076" s="109"/>
      <c r="B2076" s="110"/>
      <c r="C2076" s="110"/>
      <c r="D2076" s="110"/>
      <c r="E2076" s="110"/>
      <c r="F2076" s="110"/>
      <c r="G2076" s="110"/>
      <c r="H2076" s="110"/>
      <c r="I2076" s="110"/>
    </row>
    <row r="2077" spans="1:9" ht="13">
      <c r="A2077" s="109"/>
      <c r="B2077" s="110"/>
      <c r="C2077" s="110"/>
      <c r="D2077" s="110"/>
      <c r="E2077" s="110"/>
      <c r="F2077" s="110"/>
      <c r="G2077" s="110"/>
      <c r="H2077" s="110"/>
      <c r="I2077" s="110"/>
    </row>
    <row r="2078" spans="1:9" ht="13">
      <c r="A2078" s="109"/>
      <c r="B2078" s="110"/>
      <c r="C2078" s="110"/>
      <c r="D2078" s="110"/>
      <c r="E2078" s="110"/>
      <c r="F2078" s="110"/>
      <c r="G2078" s="110"/>
      <c r="H2078" s="110"/>
      <c r="I2078" s="110"/>
    </row>
    <row r="2079" spans="1:9" ht="13">
      <c r="A2079" s="109"/>
      <c r="B2079" s="110"/>
      <c r="C2079" s="110"/>
      <c r="D2079" s="110"/>
      <c r="E2079" s="110"/>
      <c r="F2079" s="110"/>
      <c r="G2079" s="110"/>
      <c r="H2079" s="110"/>
      <c r="I2079" s="110"/>
    </row>
  </sheetData>
  <mergeCells count="28">
    <mergeCell ref="K1731:O1731"/>
    <mergeCell ref="K294:N295"/>
    <mergeCell ref="K548:N548"/>
    <mergeCell ref="K746:N746"/>
    <mergeCell ref="K963:O963"/>
    <mergeCell ref="K1081:O1081"/>
    <mergeCell ref="K1151:O1151"/>
    <mergeCell ref="K1199:O1199"/>
    <mergeCell ref="K1280:O1280"/>
    <mergeCell ref="K1407:O1407"/>
    <mergeCell ref="K1442:N1442"/>
    <mergeCell ref="K1572:O1572"/>
    <mergeCell ref="K1650:O1650"/>
    <mergeCell ref="K209:N209"/>
    <mergeCell ref="K220:N220"/>
    <mergeCell ref="K254:O254"/>
    <mergeCell ref="K281:O281"/>
    <mergeCell ref="K1220:O1220"/>
    <mergeCell ref="L137:O137"/>
    <mergeCell ref="K163:O163"/>
    <mergeCell ref="K178:O178"/>
    <mergeCell ref="K189:N189"/>
    <mergeCell ref="K199:N199"/>
    <mergeCell ref="L19:M19"/>
    <mergeCell ref="L32:M32"/>
    <mergeCell ref="L52:M52"/>
    <mergeCell ref="L67:M67"/>
    <mergeCell ref="L109:N109"/>
  </mergeCells>
  <dataValidations count="3">
    <dataValidation type="custom" allowBlank="1" showDropDown="1" sqref="G2:G15" xr:uid="{00000000-0002-0000-0400-000000000000}">
      <formula1>OR(NOT(ISERROR(DATEVALUE(G2))), AND(ISNUMBER(G2), LEFT(CELL("format", G2))="D"))</formula1>
    </dataValidation>
    <dataValidation type="custom" allowBlank="1" showDropDown="1" sqref="A2:A15 E2:E15" xr:uid="{00000000-0002-0000-0400-000001000000}">
      <formula1>AND(ISNUMBER(A2),(NOT(OR(NOT(ISERROR(DATEVALUE(A2))), AND(ISNUMBER(A2), LEFT(CELL("format", A2))="D")))))</formula1>
    </dataValidation>
    <dataValidation type="list" allowBlank="1" sqref="C1724:C1726" xr:uid="{00000000-0002-0000-0400-000002000000}">
      <formula1>"Vehicle Placement Issue,Spillover,Document not received from Pickup,Document not received from source,EWB Expired,Short box received from pickup,Short box received from source,Box not found,Tech Issue,Misrouted to another location,LR Not Received,Damage B"&amp;"ox Received,Ops Miss,Hold By PL,Damage Received From Source,Received post cut-off,Need to cancel,Manual Connection,Docket not picked,Connected,Vehicle having DG lock issue,Wrong data,E-way bill addition issue,New docket generated,E waybill Not received,Tr"&amp;"ansition issue,GSTIN Issue,Hold By Destination Team,Connect As Per Cut Off,FC Rejected,Partial found (RTO),Box not received after delivery fail,RTO initiated,Loss,Box Handover to PL,&lt;12 Hrs. Will Connect Today,Vehicle Hold for utilization,Box Not Received"&amp;" from MLL,LR Received,Less load (&lt;15 box)"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AF1010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/>
  <cols>
    <col min="1" max="1" width="18.90625" customWidth="1"/>
    <col min="2" max="2" width="6.36328125" hidden="1" customWidth="1"/>
    <col min="3" max="7" width="12.6328125" hidden="1"/>
  </cols>
  <sheetData>
    <row r="1" spans="1:32">
      <c r="A1" s="83" t="s">
        <v>641</v>
      </c>
      <c r="B1" s="132">
        <f t="shared" ref="B1:D1" si="0">SUM(B4:B28)</f>
        <v>7174</v>
      </c>
      <c r="C1" s="132">
        <f t="shared" si="0"/>
        <v>9852</v>
      </c>
      <c r="D1" s="132">
        <f t="shared" si="0"/>
        <v>7708</v>
      </c>
      <c r="E1" s="132">
        <f>SUM(E4:E33)</f>
        <v>7146</v>
      </c>
      <c r="F1" s="132">
        <f t="shared" ref="F1:H1" si="1">SUM(F4:F28)</f>
        <v>8286</v>
      </c>
      <c r="G1" s="132">
        <f t="shared" si="1"/>
        <v>9248</v>
      </c>
      <c r="H1" s="132">
        <f t="shared" si="1"/>
        <v>8621</v>
      </c>
      <c r="I1" s="132">
        <f t="shared" ref="I1:J1" si="2">SUM(I4:I33)</f>
        <v>8213</v>
      </c>
      <c r="J1" s="132">
        <f t="shared" si="2"/>
        <v>9499</v>
      </c>
      <c r="K1" s="132">
        <f t="shared" ref="K1:AC1" si="3">SUM(K4:K28)</f>
        <v>8309</v>
      </c>
      <c r="L1" s="132">
        <f t="shared" si="3"/>
        <v>5760</v>
      </c>
      <c r="M1" s="132">
        <f t="shared" si="3"/>
        <v>10363</v>
      </c>
      <c r="N1" s="132">
        <f t="shared" si="3"/>
        <v>0</v>
      </c>
      <c r="O1" s="132">
        <f t="shared" si="3"/>
        <v>4439</v>
      </c>
      <c r="P1" s="132">
        <f t="shared" si="3"/>
        <v>0</v>
      </c>
      <c r="Q1" s="132">
        <f t="shared" si="3"/>
        <v>0</v>
      </c>
      <c r="R1" s="132">
        <f t="shared" si="3"/>
        <v>0</v>
      </c>
      <c r="S1" s="132">
        <f t="shared" si="3"/>
        <v>0</v>
      </c>
      <c r="T1" s="132">
        <f t="shared" si="3"/>
        <v>0</v>
      </c>
      <c r="U1" s="132">
        <f t="shared" si="3"/>
        <v>0</v>
      </c>
      <c r="V1" s="132">
        <f t="shared" si="3"/>
        <v>0</v>
      </c>
      <c r="W1" s="132">
        <f t="shared" si="3"/>
        <v>0</v>
      </c>
      <c r="X1" s="132">
        <f t="shared" si="3"/>
        <v>0</v>
      </c>
      <c r="Y1" s="132">
        <f t="shared" si="3"/>
        <v>0</v>
      </c>
      <c r="Z1" s="132">
        <f t="shared" si="3"/>
        <v>0</v>
      </c>
      <c r="AA1" s="132">
        <f t="shared" si="3"/>
        <v>0</v>
      </c>
      <c r="AB1" s="132">
        <f t="shared" si="3"/>
        <v>0</v>
      </c>
      <c r="AC1" s="132">
        <f t="shared" si="3"/>
        <v>0</v>
      </c>
      <c r="AD1" s="132">
        <f>SUM(AD4:AD33)</f>
        <v>0</v>
      </c>
      <c r="AE1" s="132">
        <f>SUM(AE4:AE28)</f>
        <v>0</v>
      </c>
      <c r="AF1" s="133" t="s">
        <v>84</v>
      </c>
    </row>
    <row r="2" spans="1:32">
      <c r="A2" s="83" t="s">
        <v>70</v>
      </c>
      <c r="B2" s="134">
        <v>46174</v>
      </c>
      <c r="C2" s="134">
        <v>46175</v>
      </c>
      <c r="D2" s="134">
        <v>46176</v>
      </c>
      <c r="E2" s="134">
        <v>46177</v>
      </c>
      <c r="F2" s="134">
        <v>46178</v>
      </c>
      <c r="G2" s="134">
        <v>46179</v>
      </c>
      <c r="H2" s="134">
        <v>46180</v>
      </c>
      <c r="I2" s="134">
        <v>46181</v>
      </c>
      <c r="J2" s="134">
        <v>46182</v>
      </c>
      <c r="K2" s="134">
        <v>46183</v>
      </c>
      <c r="L2" s="134">
        <v>46184</v>
      </c>
      <c r="M2" s="134">
        <v>46185</v>
      </c>
      <c r="N2" s="134">
        <v>46186</v>
      </c>
      <c r="O2" s="134">
        <v>46187</v>
      </c>
      <c r="P2" s="134">
        <v>46188</v>
      </c>
      <c r="Q2" s="134">
        <v>46189</v>
      </c>
      <c r="R2" s="134">
        <v>46190</v>
      </c>
      <c r="S2" s="134">
        <v>46191</v>
      </c>
      <c r="T2" s="134">
        <v>46192</v>
      </c>
      <c r="U2" s="134">
        <v>46193</v>
      </c>
      <c r="V2" s="134">
        <v>46194</v>
      </c>
      <c r="W2" s="134">
        <v>46195</v>
      </c>
      <c r="X2" s="134">
        <v>46196</v>
      </c>
      <c r="Y2" s="134">
        <v>46197</v>
      </c>
      <c r="Z2" s="134">
        <v>46198</v>
      </c>
      <c r="AA2" s="134">
        <v>46199</v>
      </c>
      <c r="AB2" s="134">
        <v>46200</v>
      </c>
      <c r="AC2" s="134">
        <v>46201</v>
      </c>
      <c r="AD2" s="134">
        <v>46202</v>
      </c>
      <c r="AE2" s="134">
        <v>46203</v>
      </c>
      <c r="AF2" s="133" t="s">
        <v>5</v>
      </c>
    </row>
    <row r="3" spans="1:32">
      <c r="A3" s="83" t="s">
        <v>642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9"/>
    </row>
    <row r="4" spans="1:32" ht="15.75" customHeight="1">
      <c r="A4" s="9" t="s">
        <v>533</v>
      </c>
      <c r="B4" s="9">
        <v>303</v>
      </c>
      <c r="C4" s="9">
        <v>467</v>
      </c>
      <c r="D4" s="9">
        <v>162</v>
      </c>
      <c r="E4" s="9">
        <v>232</v>
      </c>
      <c r="F4" s="9" t="s">
        <v>0</v>
      </c>
      <c r="G4" s="9">
        <v>599</v>
      </c>
      <c r="H4" s="9">
        <v>220</v>
      </c>
      <c r="I4" s="9">
        <v>130</v>
      </c>
      <c r="J4" s="119">
        <v>222</v>
      </c>
      <c r="K4" s="64">
        <v>498</v>
      </c>
      <c r="L4" s="103">
        <v>556</v>
      </c>
      <c r="M4" s="9">
        <v>854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>
        <f t="shared" ref="AF4:AF28" si="4">SUM(B4:AE4)</f>
        <v>4243</v>
      </c>
    </row>
    <row r="5" spans="1:32" ht="15.75" customHeight="1">
      <c r="A5" s="9" t="s">
        <v>525</v>
      </c>
      <c r="B5" s="9"/>
      <c r="C5" s="9"/>
      <c r="D5" s="9"/>
      <c r="E5" s="9"/>
      <c r="F5" s="9" t="s">
        <v>0</v>
      </c>
      <c r="G5" s="9" t="s">
        <v>0</v>
      </c>
      <c r="H5" s="9"/>
      <c r="I5" s="9" t="s">
        <v>0</v>
      </c>
      <c r="J5" s="119" t="s">
        <v>0</v>
      </c>
      <c r="K5" s="64" t="s">
        <v>0</v>
      </c>
      <c r="L5" s="103"/>
      <c r="M5" s="9">
        <v>171</v>
      </c>
      <c r="N5" s="9"/>
      <c r="O5" s="9">
        <v>86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f t="shared" si="4"/>
        <v>257</v>
      </c>
    </row>
    <row r="6" spans="1:32" ht="15.75" customHeight="1">
      <c r="A6" s="9" t="s">
        <v>539</v>
      </c>
      <c r="B6" s="16">
        <v>112</v>
      </c>
      <c r="C6" s="9">
        <v>51</v>
      </c>
      <c r="E6" s="16">
        <v>94</v>
      </c>
      <c r="F6" s="9">
        <v>36</v>
      </c>
      <c r="G6" s="9" t="s">
        <v>0</v>
      </c>
      <c r="H6" s="9">
        <v>108</v>
      </c>
      <c r="I6" s="9">
        <v>7</v>
      </c>
      <c r="J6" s="103">
        <v>100</v>
      </c>
      <c r="K6" s="103">
        <v>72</v>
      </c>
      <c r="L6" s="103">
        <v>53</v>
      </c>
      <c r="M6" s="9">
        <v>105</v>
      </c>
      <c r="N6" s="16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>
        <f t="shared" si="4"/>
        <v>738</v>
      </c>
    </row>
    <row r="7" spans="1:32" ht="15.75" customHeight="1">
      <c r="A7" s="9" t="s">
        <v>103</v>
      </c>
      <c r="B7" s="16">
        <v>993</v>
      </c>
      <c r="C7" s="9">
        <v>227</v>
      </c>
      <c r="D7" s="9">
        <v>443</v>
      </c>
      <c r="E7" s="16">
        <v>641</v>
      </c>
      <c r="F7" s="9">
        <v>1070</v>
      </c>
      <c r="G7" s="9">
        <v>1405</v>
      </c>
      <c r="H7" s="9">
        <v>373</v>
      </c>
      <c r="I7" s="9">
        <v>178</v>
      </c>
      <c r="J7" s="103">
        <v>1071</v>
      </c>
      <c r="K7" s="119">
        <v>405</v>
      </c>
      <c r="L7" s="103">
        <v>469</v>
      </c>
      <c r="M7" s="9">
        <v>89</v>
      </c>
      <c r="N7" s="16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>
        <f t="shared" si="4"/>
        <v>7364</v>
      </c>
    </row>
    <row r="8" spans="1:32" ht="15.75" customHeight="1">
      <c r="A8" s="9" t="s">
        <v>98</v>
      </c>
      <c r="B8" s="16">
        <v>159</v>
      </c>
      <c r="C8" s="9">
        <v>744</v>
      </c>
      <c r="D8" s="9">
        <v>621</v>
      </c>
      <c r="E8" s="16">
        <v>773</v>
      </c>
      <c r="F8" s="9">
        <v>604</v>
      </c>
      <c r="G8" s="9">
        <v>987</v>
      </c>
      <c r="H8" s="9">
        <v>1122</v>
      </c>
      <c r="I8" s="9">
        <v>305</v>
      </c>
      <c r="J8" s="103">
        <v>1387</v>
      </c>
      <c r="K8" s="103">
        <v>684</v>
      </c>
      <c r="L8" s="103">
        <v>832</v>
      </c>
      <c r="M8" s="9">
        <v>692</v>
      </c>
      <c r="N8" s="16"/>
      <c r="O8" s="9">
        <v>1248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>
        <f t="shared" si="4"/>
        <v>10158</v>
      </c>
    </row>
    <row r="9" spans="1:32" ht="15.75" customHeight="1">
      <c r="A9" s="9" t="s">
        <v>91</v>
      </c>
      <c r="B9" s="16">
        <v>389</v>
      </c>
      <c r="C9" s="9">
        <v>1509</v>
      </c>
      <c r="D9" s="9">
        <v>939</v>
      </c>
      <c r="E9" s="16">
        <v>527</v>
      </c>
      <c r="F9" s="9">
        <v>1352</v>
      </c>
      <c r="G9" s="9">
        <v>847</v>
      </c>
      <c r="H9" s="9">
        <v>2147</v>
      </c>
      <c r="I9" s="9">
        <v>1658</v>
      </c>
      <c r="J9" s="103">
        <v>1599</v>
      </c>
      <c r="K9" s="103">
        <v>988</v>
      </c>
      <c r="L9" s="103">
        <v>934</v>
      </c>
      <c r="M9" s="9">
        <v>987</v>
      </c>
      <c r="N9" s="16"/>
      <c r="O9" s="9">
        <v>632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>
        <f t="shared" si="4"/>
        <v>14508</v>
      </c>
    </row>
    <row r="10" spans="1:32" ht="15.75" customHeight="1">
      <c r="A10" s="9" t="s">
        <v>538</v>
      </c>
      <c r="B10" s="16">
        <v>13</v>
      </c>
      <c r="C10" s="9">
        <v>19</v>
      </c>
      <c r="D10" s="9">
        <v>65</v>
      </c>
      <c r="E10" s="16">
        <v>16</v>
      </c>
      <c r="F10" s="9" t="s">
        <v>0</v>
      </c>
      <c r="G10" s="9">
        <v>36</v>
      </c>
      <c r="H10" s="9" t="s">
        <v>0</v>
      </c>
      <c r="I10" s="9">
        <v>69</v>
      </c>
      <c r="J10" s="103">
        <v>8</v>
      </c>
      <c r="K10" s="119">
        <v>32</v>
      </c>
      <c r="L10" s="103">
        <v>35</v>
      </c>
      <c r="M10" s="64" t="s">
        <v>0</v>
      </c>
      <c r="N10" s="16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>
        <f t="shared" si="4"/>
        <v>293</v>
      </c>
    </row>
    <row r="11" spans="1:32" ht="15.75" customHeight="1">
      <c r="A11" s="9" t="s">
        <v>463</v>
      </c>
      <c r="B11" s="16">
        <v>844</v>
      </c>
      <c r="C11" s="9">
        <v>1677</v>
      </c>
      <c r="D11" s="9">
        <v>807</v>
      </c>
      <c r="E11" s="16">
        <v>980</v>
      </c>
      <c r="F11" s="9">
        <v>674</v>
      </c>
      <c r="G11" s="9">
        <v>270</v>
      </c>
      <c r="H11" s="9">
        <v>1363</v>
      </c>
      <c r="I11" s="9">
        <v>939</v>
      </c>
      <c r="J11" s="103">
        <v>364</v>
      </c>
      <c r="K11" s="103">
        <v>1036</v>
      </c>
      <c r="L11" s="119">
        <v>766</v>
      </c>
      <c r="M11" s="9">
        <v>552</v>
      </c>
      <c r="N11" s="16"/>
      <c r="O11" s="9">
        <v>183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>
        <f t="shared" si="4"/>
        <v>10455</v>
      </c>
    </row>
    <row r="12" spans="1:32" ht="15.75" customHeight="1">
      <c r="A12" s="9" t="s">
        <v>547</v>
      </c>
      <c r="B12" s="16">
        <v>20</v>
      </c>
      <c r="C12" s="9">
        <v>15</v>
      </c>
      <c r="D12" s="9">
        <v>7</v>
      </c>
      <c r="E12" s="16">
        <v>22</v>
      </c>
      <c r="F12" s="9">
        <v>35</v>
      </c>
      <c r="G12" s="9">
        <v>63</v>
      </c>
      <c r="H12" s="9">
        <v>39</v>
      </c>
      <c r="I12" s="9">
        <v>66</v>
      </c>
      <c r="J12" s="103">
        <v>1</v>
      </c>
      <c r="K12" s="103">
        <v>67</v>
      </c>
      <c r="L12" s="119">
        <v>5</v>
      </c>
      <c r="M12" s="64" t="s">
        <v>0</v>
      </c>
      <c r="N12" s="16"/>
      <c r="O12" s="9">
        <v>57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>
        <f t="shared" si="4"/>
        <v>397</v>
      </c>
    </row>
    <row r="13" spans="1:32" ht="15.75" customHeight="1">
      <c r="A13" s="9" t="s">
        <v>454</v>
      </c>
      <c r="B13" s="16">
        <v>292</v>
      </c>
      <c r="C13" s="9">
        <v>318</v>
      </c>
      <c r="D13" s="9">
        <v>512</v>
      </c>
      <c r="E13" s="16">
        <v>477</v>
      </c>
      <c r="F13" s="9">
        <v>1140</v>
      </c>
      <c r="G13" s="9">
        <v>436</v>
      </c>
      <c r="H13" s="9">
        <v>541</v>
      </c>
      <c r="I13" s="9">
        <v>502</v>
      </c>
      <c r="J13" s="103">
        <v>204</v>
      </c>
      <c r="K13" s="103">
        <v>562</v>
      </c>
      <c r="L13" s="119">
        <v>206</v>
      </c>
      <c r="M13" s="9">
        <v>2035</v>
      </c>
      <c r="N13" s="16"/>
      <c r="O13" s="9">
        <v>462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>
        <f t="shared" si="4"/>
        <v>7687</v>
      </c>
    </row>
    <row r="14" spans="1:32" ht="15.75" customHeight="1">
      <c r="A14" s="9" t="s">
        <v>528</v>
      </c>
      <c r="B14" s="9"/>
      <c r="C14" s="9">
        <v>230</v>
      </c>
      <c r="D14" s="9">
        <v>564</v>
      </c>
      <c r="E14" s="16">
        <v>143</v>
      </c>
      <c r="F14" s="9" t="s">
        <v>0</v>
      </c>
      <c r="G14" s="9">
        <v>432</v>
      </c>
      <c r="H14" s="9"/>
      <c r="I14" s="9">
        <v>201</v>
      </c>
      <c r="J14" s="119"/>
      <c r="K14" s="103">
        <v>516</v>
      </c>
      <c r="L14" s="103">
        <v>102</v>
      </c>
      <c r="M14" s="64" t="s">
        <v>0</v>
      </c>
      <c r="N14" s="16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>
        <f t="shared" si="4"/>
        <v>2188</v>
      </c>
    </row>
    <row r="15" spans="1:32" ht="15.75" customHeight="1">
      <c r="A15" s="9" t="s">
        <v>90</v>
      </c>
      <c r="B15" s="9"/>
      <c r="C15" s="9"/>
      <c r="D15" s="9"/>
      <c r="E15" s="9"/>
      <c r="F15" s="9">
        <v>5</v>
      </c>
      <c r="G15" s="9">
        <v>50</v>
      </c>
      <c r="H15" s="9"/>
      <c r="I15" s="9"/>
      <c r="J15" s="119">
        <v>3</v>
      </c>
      <c r="K15" s="9">
        <v>43</v>
      </c>
      <c r="L15" s="103">
        <v>2</v>
      </c>
      <c r="M15" s="64" t="s"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>
        <f t="shared" si="4"/>
        <v>103</v>
      </c>
    </row>
    <row r="16" spans="1:32" ht="15.75" customHeight="1">
      <c r="A16" s="9" t="s">
        <v>488</v>
      </c>
      <c r="B16" s="9">
        <v>650</v>
      </c>
      <c r="C16" s="9">
        <v>780</v>
      </c>
      <c r="D16" s="9">
        <v>2</v>
      </c>
      <c r="E16" s="9">
        <v>38</v>
      </c>
      <c r="F16" s="9">
        <v>970</v>
      </c>
      <c r="G16" s="9">
        <v>703</v>
      </c>
      <c r="H16" s="9">
        <v>476</v>
      </c>
      <c r="I16" s="9">
        <v>4</v>
      </c>
      <c r="J16" s="119">
        <v>583</v>
      </c>
      <c r="K16" s="16"/>
      <c r="L16" s="103">
        <v>506</v>
      </c>
      <c r="M16" s="9" t="s">
        <v>0</v>
      </c>
      <c r="N16" s="9"/>
      <c r="O16" s="9"/>
      <c r="P16" s="9"/>
      <c r="Q16" s="9"/>
      <c r="R16" s="9"/>
      <c r="S16" s="9"/>
      <c r="T16" s="16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>
        <f t="shared" si="4"/>
        <v>4712</v>
      </c>
    </row>
    <row r="17" spans="1:32" ht="15.75" customHeight="1">
      <c r="A17" s="9" t="s">
        <v>557</v>
      </c>
      <c r="B17" s="9"/>
      <c r="C17" s="9"/>
      <c r="D17" s="9"/>
      <c r="E17" s="9"/>
      <c r="F17" s="9" t="s">
        <v>0</v>
      </c>
      <c r="G17" s="9" t="s">
        <v>0</v>
      </c>
      <c r="H17" s="9"/>
      <c r="I17" s="9">
        <v>1392</v>
      </c>
      <c r="J17" s="119"/>
      <c r="K17" s="16"/>
      <c r="L17" s="103"/>
      <c r="M17" s="9" t="s">
        <v>0</v>
      </c>
      <c r="N17" s="9"/>
      <c r="O17" s="9">
        <v>398</v>
      </c>
      <c r="P17" s="9"/>
      <c r="Q17" s="9"/>
      <c r="R17" s="9"/>
      <c r="S17" s="9"/>
      <c r="T17" s="16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>
        <f t="shared" si="4"/>
        <v>1790</v>
      </c>
    </row>
    <row r="18" spans="1:32" ht="15.75" customHeight="1">
      <c r="A18" s="9" t="s">
        <v>643</v>
      </c>
      <c r="B18" s="9">
        <v>3253</v>
      </c>
      <c r="C18" s="9">
        <v>3149</v>
      </c>
      <c r="D18" s="9">
        <v>2213</v>
      </c>
      <c r="E18" s="9">
        <v>1415</v>
      </c>
      <c r="F18" s="9">
        <v>2056</v>
      </c>
      <c r="G18" s="9">
        <v>2041</v>
      </c>
      <c r="H18" s="9">
        <v>1070</v>
      </c>
      <c r="I18" s="9">
        <v>1803</v>
      </c>
      <c r="J18" s="119">
        <v>2645</v>
      </c>
      <c r="K18" s="87">
        <v>1965</v>
      </c>
      <c r="L18" s="103">
        <v>757</v>
      </c>
      <c r="M18" s="9">
        <v>3708</v>
      </c>
      <c r="N18" s="9"/>
      <c r="O18" s="9">
        <v>975</v>
      </c>
      <c r="P18" s="9"/>
      <c r="Q18" s="9"/>
      <c r="R18" s="9"/>
      <c r="S18" s="9"/>
      <c r="T18" s="16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>
        <f t="shared" si="4"/>
        <v>27050</v>
      </c>
    </row>
    <row r="19" spans="1:32" ht="14.5">
      <c r="A19" s="9" t="s">
        <v>644</v>
      </c>
      <c r="B19" s="9"/>
      <c r="C19" s="9"/>
      <c r="D19" s="9"/>
      <c r="E19" s="9"/>
      <c r="F19" s="9" t="s">
        <v>0</v>
      </c>
      <c r="G19" s="9" t="s">
        <v>0</v>
      </c>
      <c r="H19" s="9"/>
      <c r="I19" s="9"/>
      <c r="J19" s="119">
        <v>3</v>
      </c>
      <c r="K19" s="9"/>
      <c r="L19" s="103"/>
      <c r="M19" s="9" t="s"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>
        <f t="shared" si="4"/>
        <v>3</v>
      </c>
    </row>
    <row r="20" spans="1:32" ht="14.5">
      <c r="A20" s="9" t="s">
        <v>450</v>
      </c>
      <c r="B20" s="9"/>
      <c r="C20" s="9">
        <v>28</v>
      </c>
      <c r="D20" s="9">
        <v>55</v>
      </c>
      <c r="E20" s="9">
        <v>33</v>
      </c>
      <c r="F20" s="9">
        <v>34</v>
      </c>
      <c r="G20" s="9" t="s">
        <v>0</v>
      </c>
      <c r="H20" s="9"/>
      <c r="I20" s="9"/>
      <c r="J20" s="119">
        <v>51</v>
      </c>
      <c r="K20" s="9"/>
      <c r="L20" s="103"/>
      <c r="M20" s="9" t="s">
        <v>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>
        <f t="shared" si="4"/>
        <v>201</v>
      </c>
    </row>
    <row r="21" spans="1:32" ht="13">
      <c r="A21" s="9" t="s">
        <v>509</v>
      </c>
      <c r="B21" s="9"/>
      <c r="C21" s="9"/>
      <c r="D21" s="9"/>
      <c r="E21" s="9"/>
      <c r="F21" s="9" t="s">
        <v>0</v>
      </c>
      <c r="G21" s="9" t="s">
        <v>0</v>
      </c>
      <c r="H21" s="9"/>
      <c r="I21" s="9"/>
      <c r="J21" s="119">
        <v>4</v>
      </c>
      <c r="K21" s="9"/>
      <c r="L21" s="119"/>
      <c r="M21" s="9" t="s"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>
        <f t="shared" si="4"/>
        <v>4</v>
      </c>
    </row>
    <row r="22" spans="1:32" ht="14.5">
      <c r="A22" s="9" t="s">
        <v>486</v>
      </c>
      <c r="B22" s="9">
        <v>146</v>
      </c>
      <c r="C22" s="9">
        <v>256</v>
      </c>
      <c r="D22" s="9">
        <v>339</v>
      </c>
      <c r="E22" s="9"/>
      <c r="F22" s="9">
        <v>308</v>
      </c>
      <c r="G22" s="9">
        <v>432</v>
      </c>
      <c r="H22" s="9"/>
      <c r="I22" s="9">
        <v>450</v>
      </c>
      <c r="J22" s="119">
        <v>345</v>
      </c>
      <c r="K22" s="103">
        <v>408</v>
      </c>
      <c r="L22" s="103"/>
      <c r="M22" s="9">
        <v>629</v>
      </c>
      <c r="N22" s="9"/>
      <c r="O22" s="9">
        <v>342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>
        <f t="shared" si="4"/>
        <v>3655</v>
      </c>
    </row>
    <row r="23" spans="1:32" ht="14.5">
      <c r="A23" s="9" t="s">
        <v>85</v>
      </c>
      <c r="B23" s="9"/>
      <c r="C23" s="9">
        <v>21</v>
      </c>
      <c r="D23" s="9">
        <v>9</v>
      </c>
      <c r="E23" s="9">
        <v>12</v>
      </c>
      <c r="F23" s="9">
        <v>2</v>
      </c>
      <c r="G23" s="9">
        <v>29</v>
      </c>
      <c r="H23" s="9">
        <v>34</v>
      </c>
      <c r="I23" s="9"/>
      <c r="J23" s="119">
        <v>13</v>
      </c>
      <c r="K23" s="103">
        <v>39</v>
      </c>
      <c r="L23" s="103">
        <v>32</v>
      </c>
      <c r="M23" s="9">
        <v>31</v>
      </c>
      <c r="N23" s="9"/>
      <c r="O23" s="9">
        <v>56</v>
      </c>
      <c r="P23" s="9"/>
      <c r="Q23" s="9"/>
      <c r="R23" s="9"/>
      <c r="S23" s="9"/>
      <c r="T23" s="16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>
        <f t="shared" si="4"/>
        <v>278</v>
      </c>
    </row>
    <row r="24" spans="1:32" ht="14.5">
      <c r="A24" s="9" t="s">
        <v>461</v>
      </c>
      <c r="B24" s="9"/>
      <c r="C24" s="9"/>
      <c r="D24" s="9">
        <v>431</v>
      </c>
      <c r="E24" s="9">
        <v>1032</v>
      </c>
      <c r="F24" s="64" t="s">
        <v>0</v>
      </c>
      <c r="G24" s="9">
        <v>711</v>
      </c>
      <c r="H24" s="9">
        <v>1128</v>
      </c>
      <c r="I24" s="9"/>
      <c r="J24" s="119">
        <v>481</v>
      </c>
      <c r="K24" s="103">
        <v>994</v>
      </c>
      <c r="L24" s="103">
        <v>439</v>
      </c>
      <c r="M24" s="9">
        <v>510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>
        <f t="shared" si="4"/>
        <v>5726</v>
      </c>
    </row>
    <row r="25" spans="1:32" ht="14.5">
      <c r="A25" s="9" t="s">
        <v>507</v>
      </c>
      <c r="B25" s="9"/>
      <c r="C25" s="9"/>
      <c r="D25" s="9"/>
      <c r="E25" s="9"/>
      <c r="F25" s="64" t="s">
        <v>0</v>
      </c>
      <c r="G25" s="9" t="s">
        <v>0</v>
      </c>
      <c r="H25" s="9"/>
      <c r="I25" s="9"/>
      <c r="J25" s="119">
        <v>4</v>
      </c>
      <c r="K25" s="9"/>
      <c r="L25" s="103"/>
      <c r="M25" s="9" t="s"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>
        <f t="shared" si="4"/>
        <v>4</v>
      </c>
    </row>
    <row r="26" spans="1:32" ht="14.5">
      <c r="A26" s="9" t="s">
        <v>510</v>
      </c>
      <c r="B26" s="9"/>
      <c r="C26" s="9"/>
      <c r="D26" s="9"/>
      <c r="E26" s="9">
        <v>183</v>
      </c>
      <c r="F26" s="9" t="s">
        <v>0</v>
      </c>
      <c r="G26" s="9" t="s">
        <v>0</v>
      </c>
      <c r="H26" s="9"/>
      <c r="I26" s="9"/>
      <c r="J26" s="119">
        <v>376</v>
      </c>
      <c r="K26" s="9"/>
      <c r="L26" s="103"/>
      <c r="M26" s="9" t="s">
        <v>0</v>
      </c>
      <c r="N26" s="16"/>
      <c r="O26" s="9"/>
      <c r="P26" s="9"/>
      <c r="Q26" s="9"/>
      <c r="R26" s="9"/>
      <c r="S26" s="9"/>
      <c r="T26" s="16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>
        <f t="shared" si="4"/>
        <v>559</v>
      </c>
    </row>
    <row r="27" spans="1:32" ht="14.5">
      <c r="A27" s="9" t="s">
        <v>452</v>
      </c>
      <c r="B27" s="9"/>
      <c r="C27" s="9">
        <v>361</v>
      </c>
      <c r="D27" s="9"/>
      <c r="E27" s="9">
        <v>45</v>
      </c>
      <c r="F27" s="9" t="s">
        <v>0</v>
      </c>
      <c r="G27" s="9">
        <v>207</v>
      </c>
      <c r="H27" s="9"/>
      <c r="I27" s="9">
        <v>500</v>
      </c>
      <c r="J27" s="119">
        <v>32</v>
      </c>
      <c r="K27" s="16"/>
      <c r="L27" s="103">
        <v>66</v>
      </c>
      <c r="M27" s="9" t="s">
        <v>0</v>
      </c>
      <c r="N27" s="16"/>
      <c r="O27" s="9"/>
      <c r="P27" s="9"/>
      <c r="Q27" s="9"/>
      <c r="R27" s="9"/>
      <c r="S27" s="9"/>
      <c r="T27" s="16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>
        <f t="shared" si="4"/>
        <v>1211</v>
      </c>
    </row>
    <row r="28" spans="1:32" ht="14">
      <c r="A28" s="9" t="s">
        <v>485</v>
      </c>
      <c r="B28" s="9"/>
      <c r="C28" s="9"/>
      <c r="D28" s="9">
        <v>539</v>
      </c>
      <c r="E28" s="9"/>
      <c r="F28" s="9" t="s">
        <v>0</v>
      </c>
      <c r="G28" s="9" t="s">
        <v>0</v>
      </c>
      <c r="H28" s="9"/>
      <c r="I28" s="9"/>
      <c r="J28" s="119"/>
      <c r="K28" s="9"/>
      <c r="L28" s="9"/>
      <c r="M28" s="64" t="s"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>
        <f t="shared" si="4"/>
        <v>539</v>
      </c>
    </row>
    <row r="29" spans="1:32" ht="14">
      <c r="A29" s="9" t="s">
        <v>554</v>
      </c>
      <c r="B29" s="9"/>
      <c r="C29" s="9"/>
      <c r="D29" s="9"/>
      <c r="E29" s="9">
        <v>155</v>
      </c>
      <c r="F29" s="9" t="s">
        <v>0</v>
      </c>
      <c r="G29" s="9" t="s">
        <v>0</v>
      </c>
      <c r="H29" s="9"/>
      <c r="I29" s="9"/>
      <c r="J29" s="119"/>
      <c r="K29" s="9"/>
      <c r="L29" s="9"/>
      <c r="M29" s="64" t="s"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ht="14">
      <c r="A30" s="9" t="s">
        <v>556</v>
      </c>
      <c r="B30" s="9"/>
      <c r="C30" s="9"/>
      <c r="D30" s="9"/>
      <c r="E30" s="9">
        <v>229</v>
      </c>
      <c r="F30" s="9" t="s">
        <v>0</v>
      </c>
      <c r="G30" s="9" t="s">
        <v>0</v>
      </c>
      <c r="H30" s="9"/>
      <c r="I30" s="9">
        <v>4</v>
      </c>
      <c r="J30" s="119"/>
      <c r="K30" s="9"/>
      <c r="L30" s="9"/>
      <c r="M30" s="64" t="s"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ht="14">
      <c r="A31" s="9" t="s">
        <v>591</v>
      </c>
      <c r="B31" s="9"/>
      <c r="C31" s="9"/>
      <c r="D31" s="9"/>
      <c r="E31" s="9">
        <v>4</v>
      </c>
      <c r="F31" s="9" t="s">
        <v>0</v>
      </c>
      <c r="G31" s="9" t="s">
        <v>0</v>
      </c>
      <c r="H31" s="9"/>
      <c r="I31" s="9"/>
      <c r="J31" s="119"/>
      <c r="K31" s="9"/>
      <c r="L31" s="9"/>
      <c r="M31" s="64" t="s"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ht="14">
      <c r="A32" s="9" t="s">
        <v>481</v>
      </c>
      <c r="B32" s="9"/>
      <c r="C32" s="9"/>
      <c r="D32" s="9"/>
      <c r="E32" s="9">
        <v>95</v>
      </c>
      <c r="F32" s="9" t="s">
        <v>0</v>
      </c>
      <c r="G32" s="9" t="s">
        <v>0</v>
      </c>
      <c r="H32" s="9"/>
      <c r="I32" s="9">
        <v>5</v>
      </c>
      <c r="J32" s="119"/>
      <c r="K32" s="9"/>
      <c r="L32" s="9"/>
      <c r="M32" s="64" t="s"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ht="13">
      <c r="A33" s="9" t="s">
        <v>645</v>
      </c>
      <c r="B33" s="9"/>
      <c r="C33" s="9"/>
      <c r="D33" s="9"/>
      <c r="E33" s="9"/>
      <c r="F33" s="9" t="s">
        <v>0</v>
      </c>
      <c r="G33" s="9" t="s">
        <v>0</v>
      </c>
      <c r="H33" s="9"/>
      <c r="I33" s="9"/>
      <c r="J33" s="119">
        <v>3</v>
      </c>
      <c r="K33" s="9"/>
      <c r="L33" s="9"/>
      <c r="M33" s="9" t="s"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>
        <f>SUM(B33:AE33)</f>
        <v>3</v>
      </c>
    </row>
    <row r="34" spans="1:32" ht="12.5">
      <c r="T34" s="136"/>
    </row>
    <row r="35" spans="1:32" ht="12.5">
      <c r="T35" s="136"/>
    </row>
    <row r="36" spans="1:32" ht="12.5">
      <c r="T36" s="136"/>
    </row>
    <row r="37" spans="1:32" ht="13">
      <c r="A37" s="83" t="s">
        <v>646</v>
      </c>
      <c r="B37" s="137">
        <f t="shared" ref="B37:I37" si="5">SUM(B39:B67)</f>
        <v>5225</v>
      </c>
      <c r="C37" s="137">
        <f t="shared" si="5"/>
        <v>8410</v>
      </c>
      <c r="D37" s="137">
        <f t="shared" si="5"/>
        <v>9575</v>
      </c>
      <c r="E37" s="137">
        <f t="shared" si="5"/>
        <v>6942</v>
      </c>
      <c r="F37" s="137">
        <f t="shared" si="5"/>
        <v>8542</v>
      </c>
      <c r="G37" s="137">
        <f t="shared" si="5"/>
        <v>8901</v>
      </c>
      <c r="H37" s="137">
        <f t="shared" si="5"/>
        <v>7904</v>
      </c>
      <c r="I37" s="137">
        <f t="shared" si="5"/>
        <v>8313</v>
      </c>
      <c r="J37" s="137">
        <f t="shared" ref="J37:Z37" si="6">SUM(J39:J70)</f>
        <v>8956</v>
      </c>
      <c r="K37" s="137">
        <f t="shared" si="6"/>
        <v>7041</v>
      </c>
      <c r="L37" s="137">
        <f t="shared" si="6"/>
        <v>8966</v>
      </c>
      <c r="M37" s="137">
        <f t="shared" si="6"/>
        <v>8091</v>
      </c>
      <c r="N37" s="137">
        <f t="shared" si="6"/>
        <v>0</v>
      </c>
      <c r="O37" s="137">
        <f t="shared" si="6"/>
        <v>0</v>
      </c>
      <c r="P37" s="137">
        <f t="shared" si="6"/>
        <v>0</v>
      </c>
      <c r="Q37" s="137">
        <f t="shared" si="6"/>
        <v>0</v>
      </c>
      <c r="R37" s="137">
        <f t="shared" si="6"/>
        <v>0</v>
      </c>
      <c r="S37" s="137">
        <f t="shared" si="6"/>
        <v>0</v>
      </c>
      <c r="T37" s="137">
        <f t="shared" si="6"/>
        <v>0</v>
      </c>
      <c r="U37" s="137">
        <f t="shared" si="6"/>
        <v>0</v>
      </c>
      <c r="V37" s="137">
        <f t="shared" si="6"/>
        <v>0</v>
      </c>
      <c r="W37" s="137">
        <f t="shared" si="6"/>
        <v>0</v>
      </c>
      <c r="X37" s="137">
        <f t="shared" si="6"/>
        <v>0</v>
      </c>
      <c r="Y37" s="137">
        <f t="shared" si="6"/>
        <v>0</v>
      </c>
      <c r="Z37" s="137">
        <f t="shared" si="6"/>
        <v>0</v>
      </c>
      <c r="AA37" s="137">
        <f>SUM(AA39:AA71)</f>
        <v>0</v>
      </c>
      <c r="AB37" s="137">
        <f>SUM(AB39:AB73)</f>
        <v>0</v>
      </c>
      <c r="AC37" s="137">
        <f t="shared" ref="AC37:AE37" si="7">SUM(AC39:AC70)</f>
        <v>0</v>
      </c>
      <c r="AD37" s="137">
        <f t="shared" si="7"/>
        <v>0</v>
      </c>
      <c r="AE37" s="137">
        <f t="shared" si="7"/>
        <v>0</v>
      </c>
      <c r="AF37" s="225" t="s">
        <v>84</v>
      </c>
    </row>
    <row r="38" spans="1:32" ht="13">
      <c r="A38" s="83" t="s">
        <v>70</v>
      </c>
      <c r="B38" s="134">
        <v>46174</v>
      </c>
      <c r="C38" s="134">
        <v>46175</v>
      </c>
      <c r="D38" s="134">
        <v>46176</v>
      </c>
      <c r="E38" s="134">
        <v>46177</v>
      </c>
      <c r="F38" s="134">
        <v>46178</v>
      </c>
      <c r="G38" s="134">
        <v>46179</v>
      </c>
      <c r="H38" s="134">
        <v>46180</v>
      </c>
      <c r="I38" s="134">
        <v>46181</v>
      </c>
      <c r="J38" s="134">
        <v>46182</v>
      </c>
      <c r="K38" s="134">
        <v>46183</v>
      </c>
      <c r="L38" s="134">
        <v>46184</v>
      </c>
      <c r="M38" s="134">
        <v>46185</v>
      </c>
      <c r="N38" s="134">
        <v>46186</v>
      </c>
      <c r="O38" s="134">
        <v>46187</v>
      </c>
      <c r="P38" s="134">
        <v>46188</v>
      </c>
      <c r="Q38" s="134">
        <v>46189</v>
      </c>
      <c r="R38" s="134">
        <v>46190</v>
      </c>
      <c r="S38" s="134">
        <v>46191</v>
      </c>
      <c r="T38" s="134">
        <v>46192</v>
      </c>
      <c r="U38" s="134">
        <v>46193</v>
      </c>
      <c r="V38" s="134">
        <v>46194</v>
      </c>
      <c r="W38" s="134">
        <v>46195</v>
      </c>
      <c r="X38" s="134">
        <v>46196</v>
      </c>
      <c r="Y38" s="134">
        <v>46197</v>
      </c>
      <c r="Z38" s="134">
        <v>46198</v>
      </c>
      <c r="AA38" s="134">
        <v>46199</v>
      </c>
      <c r="AB38" s="134">
        <v>46200</v>
      </c>
      <c r="AC38" s="134">
        <v>46201</v>
      </c>
      <c r="AD38" s="134">
        <v>46202</v>
      </c>
      <c r="AE38" s="134">
        <v>46203</v>
      </c>
      <c r="AF38" s="199"/>
    </row>
    <row r="39" spans="1:32" ht="14.5">
      <c r="A39" s="83" t="s">
        <v>108</v>
      </c>
      <c r="B39" s="9">
        <v>1040</v>
      </c>
      <c r="C39" s="9">
        <v>1355</v>
      </c>
      <c r="D39" s="9">
        <v>1342</v>
      </c>
      <c r="E39" s="9">
        <v>2200</v>
      </c>
      <c r="F39" s="9">
        <v>2164</v>
      </c>
      <c r="G39" s="9">
        <v>2065</v>
      </c>
      <c r="H39" s="9">
        <v>2445</v>
      </c>
      <c r="I39" s="103">
        <v>1530</v>
      </c>
      <c r="J39" s="103">
        <v>1801</v>
      </c>
      <c r="K39" s="64">
        <v>1849</v>
      </c>
      <c r="L39" s="64">
        <v>2231</v>
      </c>
      <c r="M39" s="9">
        <v>2914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>
        <f t="shared" ref="AF39:AF68" si="8">SUM(B39:AE39)</f>
        <v>22936</v>
      </c>
    </row>
    <row r="40" spans="1:32" ht="14.5">
      <c r="A40" s="83" t="s">
        <v>90</v>
      </c>
      <c r="B40" s="9">
        <v>2099</v>
      </c>
      <c r="C40" s="9">
        <v>2321</v>
      </c>
      <c r="D40" s="9">
        <v>2901</v>
      </c>
      <c r="E40" s="9">
        <v>930</v>
      </c>
      <c r="F40" s="9">
        <v>1404</v>
      </c>
      <c r="G40" s="9">
        <v>2069</v>
      </c>
      <c r="H40" s="9">
        <v>2297</v>
      </c>
      <c r="I40" s="103">
        <v>3335</v>
      </c>
      <c r="J40" s="103">
        <v>1281</v>
      </c>
      <c r="K40" s="64">
        <v>2104</v>
      </c>
      <c r="L40" s="64">
        <v>2803</v>
      </c>
      <c r="M40" s="9">
        <v>1211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>
        <f t="shared" si="8"/>
        <v>24755</v>
      </c>
    </row>
    <row r="41" spans="1:32" ht="14.5">
      <c r="A41" s="83" t="s">
        <v>462</v>
      </c>
      <c r="B41" s="9">
        <v>777</v>
      </c>
      <c r="C41" s="9">
        <v>686</v>
      </c>
      <c r="D41" s="9">
        <v>1883</v>
      </c>
      <c r="E41" s="9">
        <v>587</v>
      </c>
      <c r="F41" s="9">
        <v>1063</v>
      </c>
      <c r="G41" s="9">
        <v>1485</v>
      </c>
      <c r="H41" s="9">
        <v>442</v>
      </c>
      <c r="I41" s="103">
        <v>220</v>
      </c>
      <c r="J41" s="103">
        <v>1645</v>
      </c>
      <c r="K41" s="64">
        <v>671</v>
      </c>
      <c r="L41" s="64">
        <v>1191</v>
      </c>
      <c r="M41" s="9">
        <v>839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>
        <f t="shared" si="8"/>
        <v>11489</v>
      </c>
    </row>
    <row r="42" spans="1:32" ht="14.5">
      <c r="A42" s="83" t="s">
        <v>96</v>
      </c>
      <c r="B42" s="9">
        <v>1027</v>
      </c>
      <c r="C42" s="9">
        <v>3664</v>
      </c>
      <c r="D42" s="9">
        <v>1912</v>
      </c>
      <c r="E42" s="9">
        <v>1932</v>
      </c>
      <c r="F42" s="9">
        <v>2168</v>
      </c>
      <c r="G42" s="9">
        <v>2230</v>
      </c>
      <c r="H42" s="9">
        <v>1929</v>
      </c>
      <c r="I42" s="103">
        <v>2610</v>
      </c>
      <c r="J42" s="103">
        <v>2987</v>
      </c>
      <c r="K42" s="64">
        <v>1348</v>
      </c>
      <c r="L42" s="64">
        <v>1732</v>
      </c>
      <c r="M42" s="9">
        <v>2756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>
        <f t="shared" si="8"/>
        <v>26295</v>
      </c>
    </row>
    <row r="43" spans="1:32" ht="14.5">
      <c r="A43" s="83" t="s">
        <v>102</v>
      </c>
      <c r="B43" s="9">
        <v>80</v>
      </c>
      <c r="C43" s="9"/>
      <c r="D43" s="9">
        <v>1064</v>
      </c>
      <c r="E43" s="9">
        <v>589</v>
      </c>
      <c r="F43" s="9">
        <v>640</v>
      </c>
      <c r="G43" s="9">
        <v>384</v>
      </c>
      <c r="H43" s="9">
        <v>415</v>
      </c>
      <c r="I43" s="103">
        <v>232</v>
      </c>
      <c r="J43" s="103">
        <v>599</v>
      </c>
      <c r="K43" s="9">
        <v>385</v>
      </c>
      <c r="L43" s="64">
        <v>628</v>
      </c>
      <c r="M43" s="9">
        <v>180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>
        <f t="shared" si="8"/>
        <v>5196</v>
      </c>
    </row>
    <row r="44" spans="1:32" ht="14.5">
      <c r="A44" s="83" t="s">
        <v>459</v>
      </c>
      <c r="B44" s="9">
        <v>48</v>
      </c>
      <c r="C44" s="9">
        <v>225</v>
      </c>
      <c r="D44" s="9">
        <v>100</v>
      </c>
      <c r="E44" s="9">
        <v>100</v>
      </c>
      <c r="F44" s="9">
        <v>443</v>
      </c>
      <c r="G44" s="9">
        <v>190</v>
      </c>
      <c r="H44" s="9">
        <v>134</v>
      </c>
      <c r="I44" s="103">
        <v>97</v>
      </c>
      <c r="J44" s="103">
        <v>116</v>
      </c>
      <c r="K44" s="9">
        <v>409</v>
      </c>
      <c r="L44" s="64">
        <v>113</v>
      </c>
      <c r="M44" s="9">
        <v>48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>
        <f t="shared" si="8"/>
        <v>2023</v>
      </c>
    </row>
    <row r="45" spans="1:32" ht="14.5">
      <c r="A45" s="83" t="s">
        <v>121</v>
      </c>
      <c r="B45" s="9">
        <v>10</v>
      </c>
      <c r="C45" s="9">
        <v>27</v>
      </c>
      <c r="D45" s="9">
        <v>6</v>
      </c>
      <c r="E45" s="9">
        <v>176</v>
      </c>
      <c r="F45" s="9">
        <v>140</v>
      </c>
      <c r="G45" s="9">
        <v>159</v>
      </c>
      <c r="H45" s="9">
        <v>54</v>
      </c>
      <c r="I45" s="103">
        <v>122</v>
      </c>
      <c r="J45" s="103">
        <v>66</v>
      </c>
      <c r="K45" s="9">
        <v>140</v>
      </c>
      <c r="L45" s="64">
        <v>17</v>
      </c>
      <c r="M45" s="9">
        <v>66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>
        <f t="shared" si="8"/>
        <v>983</v>
      </c>
    </row>
    <row r="46" spans="1:32" ht="14.5">
      <c r="A46" s="83" t="s">
        <v>647</v>
      </c>
      <c r="B46" s="9">
        <v>32</v>
      </c>
      <c r="C46" s="9">
        <v>55</v>
      </c>
      <c r="D46" s="9">
        <v>156</v>
      </c>
      <c r="E46" s="9">
        <v>161</v>
      </c>
      <c r="F46" s="9">
        <v>273</v>
      </c>
      <c r="G46" s="9">
        <v>242</v>
      </c>
      <c r="H46" s="9">
        <v>45</v>
      </c>
      <c r="I46" s="103" t="s">
        <v>0</v>
      </c>
      <c r="J46" s="103">
        <v>217</v>
      </c>
      <c r="K46" s="9" t="s">
        <v>0</v>
      </c>
      <c r="L46" s="9">
        <v>27</v>
      </c>
      <c r="M46" s="9">
        <v>28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>
        <f t="shared" si="8"/>
        <v>1236</v>
      </c>
    </row>
    <row r="47" spans="1:32" ht="14.5">
      <c r="A47" s="83" t="s">
        <v>648</v>
      </c>
      <c r="B47" s="9">
        <v>81</v>
      </c>
      <c r="C47" s="9">
        <v>31</v>
      </c>
      <c r="D47" s="9">
        <v>95</v>
      </c>
      <c r="E47" s="9">
        <v>99</v>
      </c>
      <c r="F47" s="9">
        <v>108</v>
      </c>
      <c r="G47" s="9">
        <v>44</v>
      </c>
      <c r="H47" s="9">
        <v>105</v>
      </c>
      <c r="I47" s="103">
        <v>48</v>
      </c>
      <c r="J47" s="103">
        <v>107</v>
      </c>
      <c r="K47" s="64">
        <v>94</v>
      </c>
      <c r="L47" s="64">
        <v>130</v>
      </c>
      <c r="M47" s="9">
        <v>31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>
        <f t="shared" si="8"/>
        <v>973</v>
      </c>
    </row>
    <row r="48" spans="1:32" ht="14.5">
      <c r="A48" s="83" t="s">
        <v>115</v>
      </c>
      <c r="B48" s="9"/>
      <c r="C48" s="9">
        <v>18</v>
      </c>
      <c r="D48" s="9">
        <v>69</v>
      </c>
      <c r="E48" s="9">
        <v>94</v>
      </c>
      <c r="F48" s="9">
        <v>48</v>
      </c>
      <c r="G48" s="9">
        <v>15</v>
      </c>
      <c r="H48" s="9">
        <v>12</v>
      </c>
      <c r="I48" s="103">
        <v>55</v>
      </c>
      <c r="J48" s="103">
        <v>14</v>
      </c>
      <c r="K48" s="64">
        <v>5</v>
      </c>
      <c r="L48" s="64">
        <v>54</v>
      </c>
      <c r="M48" s="9">
        <v>4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>
        <f t="shared" si="8"/>
        <v>388</v>
      </c>
    </row>
    <row r="49" spans="1:32" ht="14.5">
      <c r="A49" s="83" t="s">
        <v>112</v>
      </c>
      <c r="B49" s="9">
        <v>31</v>
      </c>
      <c r="C49" s="9">
        <v>20</v>
      </c>
      <c r="D49" s="9">
        <v>31</v>
      </c>
      <c r="E49" s="9">
        <v>51</v>
      </c>
      <c r="F49" s="9">
        <v>24</v>
      </c>
      <c r="G49" s="9">
        <v>7</v>
      </c>
      <c r="H49" s="9"/>
      <c r="I49" s="119">
        <v>45</v>
      </c>
      <c r="J49" s="103">
        <v>106</v>
      </c>
      <c r="K49" s="9">
        <v>23</v>
      </c>
      <c r="L49" s="9">
        <v>26</v>
      </c>
      <c r="M49" s="64" t="s">
        <v>0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>
        <f t="shared" si="8"/>
        <v>364</v>
      </c>
    </row>
    <row r="50" spans="1:32" ht="14.5">
      <c r="A50" s="83" t="s">
        <v>107</v>
      </c>
      <c r="B50" s="9"/>
      <c r="C50" s="9">
        <v>8</v>
      </c>
      <c r="D50" s="9">
        <v>16</v>
      </c>
      <c r="E50" s="9">
        <v>22</v>
      </c>
      <c r="F50" s="9">
        <v>67</v>
      </c>
      <c r="G50" s="9">
        <v>11</v>
      </c>
      <c r="H50" s="9">
        <v>26</v>
      </c>
      <c r="I50" s="103">
        <v>19</v>
      </c>
      <c r="J50" s="103">
        <v>13</v>
      </c>
      <c r="K50" s="64">
        <v>13</v>
      </c>
      <c r="L50" s="9">
        <v>13</v>
      </c>
      <c r="M50" s="9">
        <v>1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>
        <f t="shared" si="8"/>
        <v>209</v>
      </c>
    </row>
    <row r="51" spans="1:32" ht="13">
      <c r="A51" s="83" t="s">
        <v>507</v>
      </c>
      <c r="B51" s="9"/>
      <c r="C51" s="9"/>
      <c r="D51" s="9"/>
      <c r="E51" s="9">
        <v>1</v>
      </c>
      <c r="F51" s="9" t="s">
        <v>0</v>
      </c>
      <c r="G51" s="9" t="s">
        <v>0</v>
      </c>
      <c r="H51" s="9"/>
      <c r="I51" s="119"/>
      <c r="J51" s="119" t="s">
        <v>0</v>
      </c>
      <c r="K51" s="9"/>
      <c r="L51" s="9"/>
      <c r="M51" s="9" t="s">
        <v>0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>
        <f t="shared" si="8"/>
        <v>1</v>
      </c>
    </row>
    <row r="52" spans="1:32" ht="13">
      <c r="A52" s="83" t="s">
        <v>649</v>
      </c>
      <c r="B52" s="9"/>
      <c r="C52" s="9"/>
      <c r="D52" s="9"/>
      <c r="E52" s="9"/>
      <c r="F52" s="9" t="s">
        <v>0</v>
      </c>
      <c r="G52" s="9" t="s">
        <v>0</v>
      </c>
      <c r="H52" s="9"/>
      <c r="I52" s="119"/>
      <c r="J52" s="119">
        <v>3</v>
      </c>
      <c r="K52" s="9"/>
      <c r="L52" s="9">
        <v>1</v>
      </c>
      <c r="M52" s="9" t="s">
        <v>0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>
        <f t="shared" si="8"/>
        <v>4</v>
      </c>
    </row>
    <row r="53" spans="1:32" ht="13">
      <c r="A53" s="83" t="s">
        <v>595</v>
      </c>
      <c r="B53" s="9"/>
      <c r="C53" s="9"/>
      <c r="D53" s="9"/>
      <c r="E53" s="9"/>
      <c r="F53" s="9" t="s">
        <v>0</v>
      </c>
      <c r="G53" s="9" t="s">
        <v>0</v>
      </c>
      <c r="H53" s="9"/>
      <c r="I53" s="119"/>
      <c r="J53" s="119">
        <v>1</v>
      </c>
      <c r="K53" s="9"/>
      <c r="L53" s="9"/>
      <c r="M53" s="9" t="s">
        <v>0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>
        <f t="shared" si="8"/>
        <v>1</v>
      </c>
    </row>
    <row r="54" spans="1:32" ht="13">
      <c r="A54" s="83" t="s">
        <v>513</v>
      </c>
      <c r="B54" s="9"/>
      <c r="C54" s="9"/>
      <c r="D54" s="9"/>
      <c r="E54" s="9"/>
      <c r="F54" s="9" t="s">
        <v>0</v>
      </c>
      <c r="G54" s="9" t="s">
        <v>0</v>
      </c>
      <c r="H54" s="9"/>
      <c r="I54" s="119"/>
      <c r="J54" s="9"/>
      <c r="K54" s="9"/>
      <c r="L54" s="9"/>
      <c r="M54" s="9" t="s">
        <v>0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>
        <f t="shared" si="8"/>
        <v>0</v>
      </c>
    </row>
    <row r="55" spans="1:32" ht="13">
      <c r="A55" s="83" t="s">
        <v>98</v>
      </c>
      <c r="B55" s="9"/>
      <c r="C55" s="9"/>
      <c r="D55" s="9"/>
      <c r="E55" s="9"/>
      <c r="F55" s="9" t="s">
        <v>0</v>
      </c>
      <c r="G55" s="9" t="s">
        <v>0</v>
      </c>
      <c r="H55" s="9"/>
      <c r="I55" s="9"/>
      <c r="J55" s="9"/>
      <c r="K55" s="9"/>
      <c r="L55" s="9"/>
      <c r="M55" s="9">
        <v>13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>
        <f t="shared" si="8"/>
        <v>13</v>
      </c>
    </row>
    <row r="56" spans="1:32" ht="13">
      <c r="A56" s="83" t="s">
        <v>650</v>
      </c>
      <c r="B56" s="9"/>
      <c r="C56" s="9"/>
      <c r="D56" s="9"/>
      <c r="E56" s="9"/>
      <c r="F56" s="9" t="s">
        <v>0</v>
      </c>
      <c r="G56" s="9" t="s">
        <v>0</v>
      </c>
      <c r="H56" s="9"/>
      <c r="I56" s="9"/>
      <c r="J56" s="9"/>
      <c r="K56" s="9"/>
      <c r="L56" s="9"/>
      <c r="M56" s="9" t="s">
        <v>0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>
        <f t="shared" si="8"/>
        <v>0</v>
      </c>
    </row>
    <row r="57" spans="1:32" ht="13">
      <c r="A57" s="83" t="s">
        <v>91</v>
      </c>
      <c r="B57" s="9"/>
      <c r="C57" s="9"/>
      <c r="D57" s="9"/>
      <c r="E57" s="9"/>
      <c r="F57" s="9" t="s">
        <v>0</v>
      </c>
      <c r="G57" s="9" t="s">
        <v>0</v>
      </c>
      <c r="H57" s="9"/>
      <c r="I57" s="9"/>
      <c r="J57" s="9"/>
      <c r="K57" s="9"/>
      <c r="L57" s="9"/>
      <c r="M57" s="9" t="s">
        <v>0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>
        <f t="shared" si="8"/>
        <v>0</v>
      </c>
    </row>
    <row r="58" spans="1:32" ht="14">
      <c r="A58" s="83" t="s">
        <v>538</v>
      </c>
      <c r="B58" s="9"/>
      <c r="C58" s="9"/>
      <c r="D58" s="9"/>
      <c r="E58" s="9"/>
      <c r="F58" s="9" t="s">
        <v>0</v>
      </c>
      <c r="G58" s="9" t="s">
        <v>0</v>
      </c>
      <c r="H58" s="9"/>
      <c r="I58" s="9"/>
      <c r="J58" s="9"/>
      <c r="K58" s="9"/>
      <c r="L58" s="16"/>
      <c r="M58" s="9" t="s">
        <v>0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>
        <f t="shared" si="8"/>
        <v>0</v>
      </c>
    </row>
    <row r="59" spans="1:32" ht="13">
      <c r="A59" s="83" t="s">
        <v>471</v>
      </c>
      <c r="B59" s="9"/>
      <c r="C59" s="9"/>
      <c r="D59" s="9"/>
      <c r="E59" s="9"/>
      <c r="F59" s="9" t="s">
        <v>0</v>
      </c>
      <c r="G59" s="9" t="s">
        <v>0</v>
      </c>
      <c r="H59" s="9"/>
      <c r="I59" s="9"/>
      <c r="J59" s="9"/>
      <c r="K59" s="9"/>
      <c r="L59" s="9"/>
      <c r="M59" s="9" t="s">
        <v>0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>
        <f t="shared" si="8"/>
        <v>0</v>
      </c>
    </row>
    <row r="60" spans="1:32" ht="13">
      <c r="A60" s="83" t="s">
        <v>103</v>
      </c>
      <c r="B60" s="9"/>
      <c r="C60" s="9"/>
      <c r="D60" s="9"/>
      <c r="E60" s="9"/>
      <c r="F60" s="9" t="s">
        <v>0</v>
      </c>
      <c r="G60" s="9" t="s">
        <v>0</v>
      </c>
      <c r="H60" s="9"/>
      <c r="I60" s="9"/>
      <c r="J60" s="9"/>
      <c r="K60" s="9"/>
      <c r="L60" s="9"/>
      <c r="M60" s="9" t="s">
        <v>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>
        <f t="shared" si="8"/>
        <v>0</v>
      </c>
    </row>
    <row r="61" spans="1:32" ht="13">
      <c r="A61" s="83" t="s">
        <v>651</v>
      </c>
      <c r="B61" s="9"/>
      <c r="C61" s="9"/>
      <c r="D61" s="9"/>
      <c r="E61" s="9"/>
      <c r="F61" s="9" t="s">
        <v>0</v>
      </c>
      <c r="G61" s="9" t="s">
        <v>0</v>
      </c>
      <c r="H61" s="9"/>
      <c r="I61" s="9"/>
      <c r="J61" s="9"/>
      <c r="K61" s="9"/>
      <c r="L61" s="9"/>
      <c r="M61" s="9" t="s">
        <v>0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>
        <f t="shared" si="8"/>
        <v>0</v>
      </c>
    </row>
    <row r="62" spans="1:32" ht="13">
      <c r="A62" s="83" t="s">
        <v>486</v>
      </c>
      <c r="B62" s="9"/>
      <c r="C62" s="9"/>
      <c r="D62" s="9"/>
      <c r="E62" s="9"/>
      <c r="F62" s="9" t="s">
        <v>0</v>
      </c>
      <c r="G62" s="9" t="s">
        <v>0</v>
      </c>
      <c r="H62" s="9"/>
      <c r="I62" s="9"/>
      <c r="J62" s="9"/>
      <c r="K62" s="9"/>
      <c r="L62" s="9"/>
      <c r="M62" s="9" t="s">
        <v>0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>
        <f t="shared" si="8"/>
        <v>0</v>
      </c>
    </row>
    <row r="63" spans="1:32" ht="13">
      <c r="A63" s="83" t="s">
        <v>470</v>
      </c>
      <c r="B63" s="9"/>
      <c r="C63" s="9"/>
      <c r="D63" s="9"/>
      <c r="E63" s="9"/>
      <c r="F63" s="9" t="s">
        <v>0</v>
      </c>
      <c r="G63" s="9" t="s">
        <v>0</v>
      </c>
      <c r="H63" s="9"/>
      <c r="I63" s="9"/>
      <c r="J63" s="9"/>
      <c r="K63" s="9"/>
      <c r="L63" s="9"/>
      <c r="M63" s="9" t="s">
        <v>0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>
        <f t="shared" si="8"/>
        <v>0</v>
      </c>
    </row>
    <row r="64" spans="1:32" ht="13">
      <c r="A64" s="83" t="s">
        <v>652</v>
      </c>
      <c r="B64" s="9"/>
      <c r="C64" s="9"/>
      <c r="D64" s="9"/>
      <c r="E64" s="9"/>
      <c r="F64" s="9" t="s">
        <v>0</v>
      </c>
      <c r="G64" s="9" t="s">
        <v>0</v>
      </c>
      <c r="H64" s="9"/>
      <c r="I64" s="9"/>
      <c r="J64" s="9"/>
      <c r="K64" s="9"/>
      <c r="L64" s="9"/>
      <c r="M64" s="9" t="s">
        <v>0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>
        <f t="shared" si="8"/>
        <v>0</v>
      </c>
    </row>
    <row r="65" spans="1:32" ht="14">
      <c r="A65" s="83" t="s">
        <v>450</v>
      </c>
      <c r="B65" s="9"/>
      <c r="C65" s="9"/>
      <c r="D65" s="9"/>
      <c r="E65" s="9"/>
      <c r="F65" s="9" t="s">
        <v>0</v>
      </c>
      <c r="G65" s="9" t="s">
        <v>0</v>
      </c>
      <c r="H65" s="9"/>
      <c r="I65" s="9"/>
      <c r="J65" s="9"/>
      <c r="K65" s="9"/>
      <c r="L65" s="16"/>
      <c r="M65" s="9" t="s">
        <v>0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>
        <f t="shared" si="8"/>
        <v>0</v>
      </c>
    </row>
    <row r="66" spans="1:32" ht="13">
      <c r="A66" s="83" t="s">
        <v>485</v>
      </c>
      <c r="B66" s="19"/>
      <c r="C66" s="19"/>
      <c r="D66" s="19"/>
      <c r="E66" s="19"/>
      <c r="F66" s="9" t="s">
        <v>0</v>
      </c>
      <c r="G66" s="9" t="s">
        <v>0</v>
      </c>
      <c r="H66" s="19"/>
      <c r="I66" s="19"/>
      <c r="J66" s="19"/>
      <c r="K66" s="19"/>
      <c r="L66" s="19"/>
      <c r="M66" s="9" t="s">
        <v>0</v>
      </c>
      <c r="N66" s="19"/>
      <c r="O66" s="19"/>
      <c r="P66" s="19"/>
      <c r="Q66" s="9"/>
      <c r="R66" s="9"/>
      <c r="S66" s="9"/>
      <c r="T66" s="9"/>
      <c r="U66" s="9"/>
      <c r="V66" s="9"/>
      <c r="W66" s="9"/>
      <c r="X66" s="9"/>
      <c r="Y66" s="9"/>
      <c r="Z66" s="19"/>
      <c r="AA66" s="19"/>
      <c r="AB66" s="19"/>
      <c r="AC66" s="19"/>
      <c r="AD66" s="19"/>
      <c r="AE66" s="9"/>
      <c r="AF66" s="9">
        <f t="shared" si="8"/>
        <v>0</v>
      </c>
    </row>
    <row r="67" spans="1:32" ht="13">
      <c r="A67" s="83" t="s">
        <v>488</v>
      </c>
      <c r="B67" s="19"/>
      <c r="C67" s="19"/>
      <c r="D67" s="19"/>
      <c r="E67" s="19"/>
      <c r="F67" s="9" t="s">
        <v>0</v>
      </c>
      <c r="G67" s="9" t="s">
        <v>0</v>
      </c>
      <c r="H67" s="19"/>
      <c r="I67" s="19"/>
      <c r="J67" s="19"/>
      <c r="K67" s="19"/>
      <c r="L67" s="19"/>
      <c r="M67" s="9" t="s">
        <v>0</v>
      </c>
      <c r="N67" s="19"/>
      <c r="O67" s="19"/>
      <c r="P67" s="19"/>
      <c r="Q67" s="19"/>
      <c r="R67" s="19"/>
      <c r="S67" s="19"/>
      <c r="T67" s="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9"/>
      <c r="AF67" s="9">
        <f t="shared" si="8"/>
        <v>0</v>
      </c>
    </row>
    <row r="68" spans="1:32" ht="13">
      <c r="A68" s="83" t="s">
        <v>645</v>
      </c>
      <c r="B68" s="19"/>
      <c r="C68" s="19"/>
      <c r="D68" s="19"/>
      <c r="E68" s="19"/>
      <c r="F68" s="9" t="s">
        <v>0</v>
      </c>
      <c r="G68" s="9" t="s">
        <v>0</v>
      </c>
      <c r="H68" s="19"/>
      <c r="I68" s="19"/>
      <c r="J68" s="19"/>
      <c r="K68" s="19"/>
      <c r="L68" s="19"/>
      <c r="M68" s="9" t="s">
        <v>0</v>
      </c>
      <c r="N68" s="19"/>
      <c r="O68" s="19"/>
      <c r="P68" s="19"/>
      <c r="Q68" s="19"/>
      <c r="R68" s="19"/>
      <c r="S68" s="19"/>
      <c r="T68" s="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9">
        <f t="shared" si="8"/>
        <v>0</v>
      </c>
    </row>
    <row r="69" spans="1:32" ht="12.5">
      <c r="T69" s="136"/>
    </row>
    <row r="70" spans="1:32" ht="12.5">
      <c r="T70" s="136"/>
    </row>
    <row r="71" spans="1:32" ht="12.5">
      <c r="T71" s="136"/>
    </row>
    <row r="72" spans="1:32" ht="12.5">
      <c r="T72" s="136"/>
    </row>
    <row r="73" spans="1:32" ht="12.5">
      <c r="T73" s="136"/>
    </row>
    <row r="74" spans="1:32" ht="12.5">
      <c r="T74" s="136"/>
    </row>
    <row r="75" spans="1:32" ht="12.5">
      <c r="T75" s="136"/>
    </row>
    <row r="76" spans="1:32" ht="12.5">
      <c r="T76" s="136"/>
    </row>
    <row r="77" spans="1:32" ht="12.5">
      <c r="T77" s="136"/>
    </row>
    <row r="78" spans="1:32" ht="12.5">
      <c r="T78" s="136"/>
    </row>
    <row r="79" spans="1:32" ht="12.5">
      <c r="T79" s="136"/>
    </row>
    <row r="80" spans="1:32" ht="12.5">
      <c r="T80" s="136"/>
    </row>
    <row r="81" spans="20:20" ht="12.5">
      <c r="T81" s="136"/>
    </row>
    <row r="82" spans="20:20" ht="12.5">
      <c r="T82" s="136"/>
    </row>
    <row r="83" spans="20:20" ht="12.5">
      <c r="T83" s="136"/>
    </row>
    <row r="84" spans="20:20" ht="12.5">
      <c r="T84" s="136"/>
    </row>
    <row r="85" spans="20:20" ht="12.5">
      <c r="T85" s="136"/>
    </row>
    <row r="86" spans="20:20" ht="12.5">
      <c r="T86" s="136"/>
    </row>
    <row r="87" spans="20:20" ht="12.5">
      <c r="T87" s="136"/>
    </row>
    <row r="88" spans="20:20" ht="12.5">
      <c r="T88" s="136"/>
    </row>
    <row r="89" spans="20:20" ht="12.5">
      <c r="T89" s="136"/>
    </row>
    <row r="90" spans="20:20" ht="12.5">
      <c r="T90" s="136"/>
    </row>
    <row r="91" spans="20:20" ht="12.5">
      <c r="T91" s="136"/>
    </row>
    <row r="92" spans="20:20" ht="12.5">
      <c r="T92" s="136"/>
    </row>
    <row r="93" spans="20:20" ht="12.5">
      <c r="T93" s="136"/>
    </row>
    <row r="94" spans="20:20" ht="12.5">
      <c r="T94" s="136"/>
    </row>
    <row r="95" spans="20:20" ht="12.5">
      <c r="T95" s="136"/>
    </row>
    <row r="96" spans="20:20" ht="12.5">
      <c r="T96" s="136"/>
    </row>
    <row r="97" spans="20:20" ht="12.5">
      <c r="T97" s="136"/>
    </row>
    <row r="98" spans="20:20" ht="12.5">
      <c r="T98" s="136"/>
    </row>
    <row r="99" spans="20:20" ht="12.5">
      <c r="T99" s="136"/>
    </row>
    <row r="100" spans="20:20" ht="12.5">
      <c r="T100" s="136"/>
    </row>
    <row r="101" spans="20:20" ht="12.5">
      <c r="T101" s="136"/>
    </row>
    <row r="102" spans="20:20" ht="12.5">
      <c r="T102" s="136"/>
    </row>
    <row r="103" spans="20:20" ht="12.5">
      <c r="T103" s="136"/>
    </row>
    <row r="104" spans="20:20" ht="12.5">
      <c r="T104" s="136"/>
    </row>
    <row r="105" spans="20:20" ht="12.5">
      <c r="T105" s="136"/>
    </row>
    <row r="106" spans="20:20" ht="12.5">
      <c r="T106" s="136"/>
    </row>
    <row r="107" spans="20:20" ht="12.5">
      <c r="T107" s="136"/>
    </row>
    <row r="108" spans="20:20" ht="12.5">
      <c r="T108" s="136"/>
    </row>
    <row r="109" spans="20:20" ht="12.5">
      <c r="T109" s="136"/>
    </row>
    <row r="110" spans="20:20" ht="12.5">
      <c r="T110" s="136"/>
    </row>
    <row r="111" spans="20:20" ht="12.5">
      <c r="T111" s="136"/>
    </row>
    <row r="112" spans="20:20" ht="12.5">
      <c r="T112" s="136"/>
    </row>
    <row r="113" spans="20:20" ht="12.5">
      <c r="T113" s="136"/>
    </row>
    <row r="114" spans="20:20" ht="12.5">
      <c r="T114" s="136"/>
    </row>
    <row r="115" spans="20:20" ht="12.5">
      <c r="T115" s="136"/>
    </row>
    <row r="116" spans="20:20" ht="12.5">
      <c r="T116" s="136"/>
    </row>
    <row r="117" spans="20:20" ht="12.5">
      <c r="T117" s="136"/>
    </row>
    <row r="118" spans="20:20" ht="12.5">
      <c r="T118" s="136"/>
    </row>
    <row r="119" spans="20:20" ht="12.5">
      <c r="T119" s="136"/>
    </row>
    <row r="120" spans="20:20" ht="12.5">
      <c r="T120" s="136"/>
    </row>
    <row r="121" spans="20:20" ht="12.5">
      <c r="T121" s="136"/>
    </row>
    <row r="122" spans="20:20" ht="12.5">
      <c r="T122" s="136"/>
    </row>
    <row r="123" spans="20:20" ht="12.5">
      <c r="T123" s="136"/>
    </row>
    <row r="124" spans="20:20" ht="12.5">
      <c r="T124" s="136"/>
    </row>
    <row r="125" spans="20:20" ht="12.5">
      <c r="T125" s="136"/>
    </row>
    <row r="126" spans="20:20" ht="12.5">
      <c r="T126" s="136"/>
    </row>
    <row r="127" spans="20:20" ht="12.5">
      <c r="T127" s="136"/>
    </row>
    <row r="128" spans="20:20" ht="12.5">
      <c r="T128" s="136"/>
    </row>
    <row r="129" spans="20:20" ht="12.5">
      <c r="T129" s="136"/>
    </row>
    <row r="130" spans="20:20" ht="12.5">
      <c r="T130" s="136"/>
    </row>
    <row r="131" spans="20:20" ht="12.5">
      <c r="T131" s="136"/>
    </row>
    <row r="132" spans="20:20" ht="12.5">
      <c r="T132" s="136"/>
    </row>
    <row r="133" spans="20:20" ht="12.5">
      <c r="T133" s="136"/>
    </row>
    <row r="134" spans="20:20" ht="12.5">
      <c r="T134" s="136"/>
    </row>
    <row r="135" spans="20:20" ht="12.5">
      <c r="T135" s="136"/>
    </row>
    <row r="136" spans="20:20" ht="12.5">
      <c r="T136" s="136"/>
    </row>
    <row r="137" spans="20:20" ht="12.5">
      <c r="T137" s="136"/>
    </row>
    <row r="138" spans="20:20" ht="12.5">
      <c r="T138" s="136"/>
    </row>
    <row r="139" spans="20:20" ht="12.5">
      <c r="T139" s="136"/>
    </row>
    <row r="140" spans="20:20" ht="12.5">
      <c r="T140" s="136"/>
    </row>
    <row r="141" spans="20:20" ht="12.5">
      <c r="T141" s="136"/>
    </row>
    <row r="142" spans="20:20" ht="12.5">
      <c r="T142" s="136"/>
    </row>
    <row r="143" spans="20:20" ht="12.5">
      <c r="T143" s="136"/>
    </row>
    <row r="144" spans="20:20" ht="12.5">
      <c r="T144" s="136"/>
    </row>
    <row r="145" spans="20:20" ht="12.5">
      <c r="T145" s="136"/>
    </row>
    <row r="146" spans="20:20" ht="12.5">
      <c r="T146" s="136"/>
    </row>
    <row r="147" spans="20:20" ht="12.5">
      <c r="T147" s="136"/>
    </row>
    <row r="148" spans="20:20" ht="12.5">
      <c r="T148" s="136"/>
    </row>
    <row r="149" spans="20:20" ht="12.5">
      <c r="T149" s="136"/>
    </row>
    <row r="150" spans="20:20" ht="12.5">
      <c r="T150" s="136"/>
    </row>
    <row r="151" spans="20:20" ht="12.5">
      <c r="T151" s="136"/>
    </row>
    <row r="152" spans="20:20" ht="12.5">
      <c r="T152" s="136"/>
    </row>
    <row r="153" spans="20:20" ht="12.5">
      <c r="T153" s="136"/>
    </row>
    <row r="154" spans="20:20" ht="12.5">
      <c r="T154" s="136"/>
    </row>
    <row r="155" spans="20:20" ht="12.5">
      <c r="T155" s="136"/>
    </row>
    <row r="156" spans="20:20" ht="12.5">
      <c r="T156" s="136"/>
    </row>
    <row r="157" spans="20:20" ht="12.5">
      <c r="T157" s="136"/>
    </row>
    <row r="158" spans="20:20" ht="12.5">
      <c r="T158" s="136"/>
    </row>
    <row r="159" spans="20:20" ht="12.5">
      <c r="T159" s="136"/>
    </row>
    <row r="160" spans="20:20" ht="12.5">
      <c r="T160" s="136"/>
    </row>
    <row r="161" spans="20:20" ht="12.5">
      <c r="T161" s="136"/>
    </row>
    <row r="162" spans="20:20" ht="12.5">
      <c r="T162" s="136"/>
    </row>
    <row r="163" spans="20:20" ht="12.5">
      <c r="T163" s="136"/>
    </row>
    <row r="164" spans="20:20" ht="12.5">
      <c r="T164" s="136"/>
    </row>
    <row r="165" spans="20:20" ht="12.5">
      <c r="T165" s="136"/>
    </row>
    <row r="166" spans="20:20" ht="12.5">
      <c r="T166" s="136"/>
    </row>
    <row r="167" spans="20:20" ht="12.5">
      <c r="T167" s="136"/>
    </row>
    <row r="168" spans="20:20" ht="12.5">
      <c r="T168" s="136"/>
    </row>
    <row r="169" spans="20:20" ht="12.5">
      <c r="T169" s="136"/>
    </row>
    <row r="170" spans="20:20" ht="12.5">
      <c r="T170" s="136"/>
    </row>
    <row r="171" spans="20:20" ht="12.5">
      <c r="T171" s="136"/>
    </row>
    <row r="172" spans="20:20" ht="12.5">
      <c r="T172" s="136"/>
    </row>
    <row r="173" spans="20:20" ht="12.5">
      <c r="T173" s="136"/>
    </row>
    <row r="174" spans="20:20" ht="12.5">
      <c r="T174" s="136"/>
    </row>
    <row r="175" spans="20:20" ht="12.5">
      <c r="T175" s="136"/>
    </row>
    <row r="176" spans="20:20" ht="12.5">
      <c r="T176" s="136"/>
    </row>
    <row r="177" spans="20:20" ht="12.5">
      <c r="T177" s="136"/>
    </row>
    <row r="178" spans="20:20" ht="12.5">
      <c r="T178" s="136"/>
    </row>
    <row r="179" spans="20:20" ht="12.5">
      <c r="T179" s="136"/>
    </row>
    <row r="180" spans="20:20" ht="12.5">
      <c r="T180" s="136"/>
    </row>
    <row r="181" spans="20:20" ht="12.5">
      <c r="T181" s="136"/>
    </row>
    <row r="182" spans="20:20" ht="12.5">
      <c r="T182" s="136"/>
    </row>
    <row r="183" spans="20:20" ht="12.5">
      <c r="T183" s="136"/>
    </row>
    <row r="184" spans="20:20" ht="12.5">
      <c r="T184" s="136"/>
    </row>
    <row r="185" spans="20:20" ht="12.5">
      <c r="T185" s="136"/>
    </row>
    <row r="186" spans="20:20" ht="12.5">
      <c r="T186" s="136"/>
    </row>
    <row r="187" spans="20:20" ht="12.5">
      <c r="T187" s="136"/>
    </row>
    <row r="188" spans="20:20" ht="12.5">
      <c r="T188" s="136"/>
    </row>
    <row r="189" spans="20:20" ht="12.5">
      <c r="T189" s="136"/>
    </row>
    <row r="190" spans="20:20" ht="12.5">
      <c r="T190" s="136"/>
    </row>
    <row r="191" spans="20:20" ht="12.5">
      <c r="T191" s="136"/>
    </row>
    <row r="192" spans="20:20" ht="12.5">
      <c r="T192" s="136"/>
    </row>
    <row r="193" spans="20:20" ht="12.5">
      <c r="T193" s="136"/>
    </row>
    <row r="194" spans="20:20" ht="12.5">
      <c r="T194" s="136"/>
    </row>
    <row r="195" spans="20:20" ht="12.5">
      <c r="T195" s="136"/>
    </row>
    <row r="196" spans="20:20" ht="12.5">
      <c r="T196" s="136"/>
    </row>
    <row r="197" spans="20:20" ht="12.5">
      <c r="T197" s="136"/>
    </row>
    <row r="198" spans="20:20" ht="12.5">
      <c r="T198" s="136"/>
    </row>
    <row r="199" spans="20:20" ht="12.5">
      <c r="T199" s="136"/>
    </row>
    <row r="200" spans="20:20" ht="12.5">
      <c r="T200" s="136"/>
    </row>
    <row r="201" spans="20:20" ht="12.5">
      <c r="T201" s="136"/>
    </row>
    <row r="202" spans="20:20" ht="12.5">
      <c r="T202" s="136"/>
    </row>
    <row r="203" spans="20:20" ht="12.5">
      <c r="T203" s="136"/>
    </row>
    <row r="204" spans="20:20" ht="12.5">
      <c r="T204" s="136"/>
    </row>
    <row r="205" spans="20:20" ht="12.5">
      <c r="T205" s="136"/>
    </row>
    <row r="206" spans="20:20" ht="12.5">
      <c r="T206" s="136"/>
    </row>
    <row r="207" spans="20:20" ht="12.5">
      <c r="T207" s="136"/>
    </row>
    <row r="208" spans="20:20" ht="12.5">
      <c r="T208" s="136"/>
    </row>
    <row r="209" spans="20:20" ht="12.5">
      <c r="T209" s="136"/>
    </row>
    <row r="210" spans="20:20" ht="12.5">
      <c r="T210" s="136"/>
    </row>
    <row r="211" spans="20:20" ht="12.5">
      <c r="T211" s="136"/>
    </row>
    <row r="212" spans="20:20" ht="12.5">
      <c r="T212" s="136"/>
    </row>
    <row r="213" spans="20:20" ht="12.5">
      <c r="T213" s="136"/>
    </row>
    <row r="214" spans="20:20" ht="12.5">
      <c r="T214" s="136"/>
    </row>
    <row r="215" spans="20:20" ht="12.5">
      <c r="T215" s="136"/>
    </row>
    <row r="216" spans="20:20" ht="12.5">
      <c r="T216" s="136"/>
    </row>
    <row r="217" spans="20:20" ht="12.5">
      <c r="T217" s="136"/>
    </row>
    <row r="218" spans="20:20" ht="12.5">
      <c r="T218" s="136"/>
    </row>
    <row r="219" spans="20:20" ht="12.5">
      <c r="T219" s="136"/>
    </row>
    <row r="220" spans="20:20" ht="12.5">
      <c r="T220" s="136"/>
    </row>
    <row r="221" spans="20:20" ht="12.5">
      <c r="T221" s="136"/>
    </row>
    <row r="222" spans="20:20" ht="12.5">
      <c r="T222" s="136"/>
    </row>
    <row r="223" spans="20:20" ht="12.5">
      <c r="T223" s="136"/>
    </row>
    <row r="224" spans="20:20" ht="12.5">
      <c r="T224" s="136"/>
    </row>
    <row r="225" spans="20:20" ht="12.5">
      <c r="T225" s="136"/>
    </row>
    <row r="226" spans="20:20" ht="12.5">
      <c r="T226" s="136"/>
    </row>
    <row r="227" spans="20:20" ht="12.5">
      <c r="T227" s="136"/>
    </row>
    <row r="228" spans="20:20" ht="12.5">
      <c r="T228" s="136"/>
    </row>
    <row r="229" spans="20:20" ht="12.5">
      <c r="T229" s="136"/>
    </row>
    <row r="230" spans="20:20" ht="12.5">
      <c r="T230" s="136"/>
    </row>
    <row r="231" spans="20:20" ht="12.5">
      <c r="T231" s="136"/>
    </row>
    <row r="232" spans="20:20" ht="12.5">
      <c r="T232" s="136"/>
    </row>
    <row r="233" spans="20:20" ht="12.5">
      <c r="T233" s="136"/>
    </row>
    <row r="234" spans="20:20" ht="12.5">
      <c r="T234" s="136"/>
    </row>
    <row r="235" spans="20:20" ht="12.5">
      <c r="T235" s="136"/>
    </row>
    <row r="236" spans="20:20" ht="12.5">
      <c r="T236" s="136"/>
    </row>
    <row r="237" spans="20:20" ht="12.5">
      <c r="T237" s="136"/>
    </row>
    <row r="238" spans="20:20" ht="12.5">
      <c r="T238" s="136"/>
    </row>
    <row r="239" spans="20:20" ht="12.5">
      <c r="T239" s="136"/>
    </row>
    <row r="240" spans="20:20" ht="12.5">
      <c r="T240" s="136"/>
    </row>
    <row r="241" spans="20:20" ht="12.5">
      <c r="T241" s="136"/>
    </row>
    <row r="242" spans="20:20" ht="12.5">
      <c r="T242" s="136"/>
    </row>
    <row r="243" spans="20:20" ht="12.5">
      <c r="T243" s="136"/>
    </row>
    <row r="244" spans="20:20" ht="12.5">
      <c r="T244" s="136"/>
    </row>
    <row r="245" spans="20:20" ht="12.5">
      <c r="T245" s="136"/>
    </row>
    <row r="246" spans="20:20" ht="12.5">
      <c r="T246" s="136"/>
    </row>
    <row r="247" spans="20:20" ht="12.5">
      <c r="T247" s="136"/>
    </row>
    <row r="248" spans="20:20" ht="12.5">
      <c r="T248" s="136"/>
    </row>
    <row r="249" spans="20:20" ht="12.5">
      <c r="T249" s="136"/>
    </row>
    <row r="250" spans="20:20" ht="12.5">
      <c r="T250" s="136"/>
    </row>
    <row r="251" spans="20:20" ht="12.5">
      <c r="T251" s="136"/>
    </row>
    <row r="252" spans="20:20" ht="12.5">
      <c r="T252" s="136"/>
    </row>
    <row r="253" spans="20:20" ht="12.5">
      <c r="T253" s="136"/>
    </row>
    <row r="254" spans="20:20" ht="12.5">
      <c r="T254" s="136"/>
    </row>
    <row r="255" spans="20:20" ht="12.5">
      <c r="T255" s="136"/>
    </row>
    <row r="256" spans="20:20" ht="12.5">
      <c r="T256" s="136"/>
    </row>
    <row r="257" spans="20:20" ht="12.5">
      <c r="T257" s="136"/>
    </row>
    <row r="258" spans="20:20" ht="12.5">
      <c r="T258" s="136"/>
    </row>
    <row r="259" spans="20:20" ht="12.5">
      <c r="T259" s="136"/>
    </row>
    <row r="260" spans="20:20" ht="12.5">
      <c r="T260" s="136"/>
    </row>
    <row r="261" spans="20:20" ht="12.5">
      <c r="T261" s="136"/>
    </row>
    <row r="262" spans="20:20" ht="12.5">
      <c r="T262" s="136"/>
    </row>
    <row r="263" spans="20:20" ht="12.5">
      <c r="T263" s="136"/>
    </row>
    <row r="264" spans="20:20" ht="12.5">
      <c r="T264" s="136"/>
    </row>
    <row r="265" spans="20:20" ht="12.5">
      <c r="T265" s="136"/>
    </row>
    <row r="266" spans="20:20" ht="12.5">
      <c r="T266" s="136"/>
    </row>
    <row r="267" spans="20:20" ht="12.5">
      <c r="T267" s="136"/>
    </row>
    <row r="268" spans="20:20" ht="12.5">
      <c r="T268" s="136"/>
    </row>
    <row r="269" spans="20:20" ht="12.5">
      <c r="T269" s="136"/>
    </row>
    <row r="270" spans="20:20" ht="12.5">
      <c r="T270" s="136"/>
    </row>
    <row r="271" spans="20:20" ht="12.5">
      <c r="T271" s="136"/>
    </row>
    <row r="272" spans="20:20" ht="12.5">
      <c r="T272" s="136"/>
    </row>
    <row r="273" spans="20:20" ht="12.5">
      <c r="T273" s="136"/>
    </row>
    <row r="274" spans="20:20" ht="12.5">
      <c r="T274" s="136"/>
    </row>
    <row r="275" spans="20:20" ht="12.5">
      <c r="T275" s="136"/>
    </row>
    <row r="276" spans="20:20" ht="12.5">
      <c r="T276" s="136"/>
    </row>
    <row r="277" spans="20:20" ht="12.5">
      <c r="T277" s="136"/>
    </row>
    <row r="278" spans="20:20" ht="12.5">
      <c r="T278" s="136"/>
    </row>
    <row r="279" spans="20:20" ht="12.5">
      <c r="T279" s="136"/>
    </row>
    <row r="280" spans="20:20" ht="12.5">
      <c r="T280" s="136"/>
    </row>
    <row r="281" spans="20:20" ht="12.5">
      <c r="T281" s="136"/>
    </row>
    <row r="282" spans="20:20" ht="12.5">
      <c r="T282" s="136"/>
    </row>
    <row r="283" spans="20:20" ht="12.5">
      <c r="T283" s="136"/>
    </row>
    <row r="284" spans="20:20" ht="12.5">
      <c r="T284" s="136"/>
    </row>
    <row r="285" spans="20:20" ht="12.5">
      <c r="T285" s="136"/>
    </row>
    <row r="286" spans="20:20" ht="12.5">
      <c r="T286" s="136"/>
    </row>
    <row r="287" spans="20:20" ht="12.5">
      <c r="T287" s="136"/>
    </row>
    <row r="288" spans="20:20" ht="12.5">
      <c r="T288" s="136"/>
    </row>
    <row r="289" spans="20:20" ht="12.5">
      <c r="T289" s="136"/>
    </row>
    <row r="290" spans="20:20" ht="12.5">
      <c r="T290" s="136"/>
    </row>
    <row r="291" spans="20:20" ht="12.5">
      <c r="T291" s="136"/>
    </row>
    <row r="292" spans="20:20" ht="12.5">
      <c r="T292" s="136"/>
    </row>
    <row r="293" spans="20:20" ht="12.5">
      <c r="T293" s="136"/>
    </row>
    <row r="294" spans="20:20" ht="12.5">
      <c r="T294" s="136"/>
    </row>
    <row r="295" spans="20:20" ht="12.5">
      <c r="T295" s="136"/>
    </row>
    <row r="296" spans="20:20" ht="12.5">
      <c r="T296" s="136"/>
    </row>
    <row r="297" spans="20:20" ht="12.5">
      <c r="T297" s="136"/>
    </row>
    <row r="298" spans="20:20" ht="12.5">
      <c r="T298" s="136"/>
    </row>
    <row r="299" spans="20:20" ht="12.5">
      <c r="T299" s="136"/>
    </row>
    <row r="300" spans="20:20" ht="12.5">
      <c r="T300" s="136"/>
    </row>
    <row r="301" spans="20:20" ht="12.5">
      <c r="T301" s="136"/>
    </row>
    <row r="302" spans="20:20" ht="12.5">
      <c r="T302" s="136"/>
    </row>
    <row r="303" spans="20:20" ht="12.5">
      <c r="T303" s="136"/>
    </row>
    <row r="304" spans="20:20" ht="12.5">
      <c r="T304" s="136"/>
    </row>
    <row r="305" spans="20:20" ht="12.5">
      <c r="T305" s="136"/>
    </row>
    <row r="306" spans="20:20" ht="12.5">
      <c r="T306" s="136"/>
    </row>
    <row r="307" spans="20:20" ht="12.5">
      <c r="T307" s="136"/>
    </row>
    <row r="308" spans="20:20" ht="12.5">
      <c r="T308" s="136"/>
    </row>
    <row r="309" spans="20:20" ht="12.5">
      <c r="T309" s="136"/>
    </row>
    <row r="310" spans="20:20" ht="12.5">
      <c r="T310" s="136"/>
    </row>
    <row r="311" spans="20:20" ht="12.5">
      <c r="T311" s="136"/>
    </row>
    <row r="312" spans="20:20" ht="12.5">
      <c r="T312" s="136"/>
    </row>
    <row r="313" spans="20:20" ht="12.5">
      <c r="T313" s="136"/>
    </row>
    <row r="314" spans="20:20" ht="12.5">
      <c r="T314" s="136"/>
    </row>
    <row r="315" spans="20:20" ht="12.5">
      <c r="T315" s="136"/>
    </row>
    <row r="316" spans="20:20" ht="12.5">
      <c r="T316" s="136"/>
    </row>
    <row r="317" spans="20:20" ht="12.5">
      <c r="T317" s="136"/>
    </row>
    <row r="318" spans="20:20" ht="12.5">
      <c r="T318" s="136"/>
    </row>
    <row r="319" spans="20:20" ht="12.5">
      <c r="T319" s="136"/>
    </row>
    <row r="320" spans="20:20" ht="12.5">
      <c r="T320" s="136"/>
    </row>
    <row r="321" spans="20:20" ht="12.5">
      <c r="T321" s="136"/>
    </row>
    <row r="322" spans="20:20" ht="12.5">
      <c r="T322" s="136"/>
    </row>
    <row r="323" spans="20:20" ht="12.5">
      <c r="T323" s="136"/>
    </row>
    <row r="324" spans="20:20" ht="12.5">
      <c r="T324" s="136"/>
    </row>
    <row r="325" spans="20:20" ht="12.5">
      <c r="T325" s="136"/>
    </row>
    <row r="326" spans="20:20" ht="12.5">
      <c r="T326" s="136"/>
    </row>
    <row r="327" spans="20:20" ht="12.5">
      <c r="T327" s="136"/>
    </row>
    <row r="328" spans="20:20" ht="12.5">
      <c r="T328" s="136"/>
    </row>
    <row r="329" spans="20:20" ht="12.5">
      <c r="T329" s="136"/>
    </row>
    <row r="330" spans="20:20" ht="12.5">
      <c r="T330" s="136"/>
    </row>
    <row r="331" spans="20:20" ht="12.5">
      <c r="T331" s="136"/>
    </row>
    <row r="332" spans="20:20" ht="12.5">
      <c r="T332" s="136"/>
    </row>
    <row r="333" spans="20:20" ht="12.5">
      <c r="T333" s="136"/>
    </row>
    <row r="334" spans="20:20" ht="12.5">
      <c r="T334" s="136"/>
    </row>
    <row r="335" spans="20:20" ht="12.5">
      <c r="T335" s="136"/>
    </row>
    <row r="336" spans="20:20" ht="12.5">
      <c r="T336" s="136"/>
    </row>
    <row r="337" spans="20:20" ht="12.5">
      <c r="T337" s="136"/>
    </row>
    <row r="338" spans="20:20" ht="12.5">
      <c r="T338" s="136"/>
    </row>
    <row r="339" spans="20:20" ht="12.5">
      <c r="T339" s="136"/>
    </row>
    <row r="340" spans="20:20" ht="12.5">
      <c r="T340" s="136"/>
    </row>
    <row r="341" spans="20:20" ht="12.5">
      <c r="T341" s="136"/>
    </row>
    <row r="342" spans="20:20" ht="12.5">
      <c r="T342" s="136"/>
    </row>
    <row r="343" spans="20:20" ht="12.5">
      <c r="T343" s="136"/>
    </row>
    <row r="344" spans="20:20" ht="12.5">
      <c r="T344" s="136"/>
    </row>
    <row r="345" spans="20:20" ht="12.5">
      <c r="T345" s="136"/>
    </row>
    <row r="346" spans="20:20" ht="12.5">
      <c r="T346" s="136"/>
    </row>
    <row r="347" spans="20:20" ht="12.5">
      <c r="T347" s="136"/>
    </row>
    <row r="348" spans="20:20" ht="12.5">
      <c r="T348" s="136"/>
    </row>
    <row r="349" spans="20:20" ht="12.5">
      <c r="T349" s="136"/>
    </row>
    <row r="350" spans="20:20" ht="12.5">
      <c r="T350" s="136"/>
    </row>
    <row r="351" spans="20:20" ht="12.5">
      <c r="T351" s="136"/>
    </row>
    <row r="352" spans="20:20" ht="12.5">
      <c r="T352" s="136"/>
    </row>
    <row r="353" spans="20:20" ht="12.5">
      <c r="T353" s="136"/>
    </row>
    <row r="354" spans="20:20" ht="12.5">
      <c r="T354" s="136"/>
    </row>
    <row r="355" spans="20:20" ht="12.5">
      <c r="T355" s="136"/>
    </row>
    <row r="356" spans="20:20" ht="12.5">
      <c r="T356" s="136"/>
    </row>
    <row r="357" spans="20:20" ht="12.5">
      <c r="T357" s="136"/>
    </row>
    <row r="358" spans="20:20" ht="12.5">
      <c r="T358" s="136"/>
    </row>
    <row r="359" spans="20:20" ht="12.5">
      <c r="T359" s="136"/>
    </row>
    <row r="360" spans="20:20" ht="12.5">
      <c r="T360" s="136"/>
    </row>
    <row r="361" spans="20:20" ht="12.5">
      <c r="T361" s="136"/>
    </row>
    <row r="362" spans="20:20" ht="12.5">
      <c r="T362" s="136"/>
    </row>
    <row r="363" spans="20:20" ht="12.5">
      <c r="T363" s="136"/>
    </row>
    <row r="364" spans="20:20" ht="12.5">
      <c r="T364" s="136"/>
    </row>
    <row r="365" spans="20:20" ht="12.5">
      <c r="T365" s="136"/>
    </row>
    <row r="366" spans="20:20" ht="12.5">
      <c r="T366" s="136"/>
    </row>
    <row r="367" spans="20:20" ht="12.5">
      <c r="T367" s="136"/>
    </row>
    <row r="368" spans="20:20" ht="12.5">
      <c r="T368" s="136"/>
    </row>
    <row r="369" spans="20:20" ht="12.5">
      <c r="T369" s="136"/>
    </row>
    <row r="370" spans="20:20" ht="12.5">
      <c r="T370" s="136"/>
    </row>
    <row r="371" spans="20:20" ht="12.5">
      <c r="T371" s="136"/>
    </row>
    <row r="372" spans="20:20" ht="12.5">
      <c r="T372" s="136"/>
    </row>
    <row r="373" spans="20:20" ht="12.5">
      <c r="T373" s="136"/>
    </row>
    <row r="374" spans="20:20" ht="12.5">
      <c r="T374" s="136"/>
    </row>
    <row r="375" spans="20:20" ht="12.5">
      <c r="T375" s="136"/>
    </row>
    <row r="376" spans="20:20" ht="12.5">
      <c r="T376" s="136"/>
    </row>
    <row r="377" spans="20:20" ht="12.5">
      <c r="T377" s="136"/>
    </row>
    <row r="378" spans="20:20" ht="12.5">
      <c r="T378" s="136"/>
    </row>
    <row r="379" spans="20:20" ht="12.5">
      <c r="T379" s="136"/>
    </row>
    <row r="380" spans="20:20" ht="12.5">
      <c r="T380" s="136"/>
    </row>
    <row r="381" spans="20:20" ht="12.5">
      <c r="T381" s="136"/>
    </row>
    <row r="382" spans="20:20" ht="12.5">
      <c r="T382" s="136"/>
    </row>
    <row r="383" spans="20:20" ht="12.5">
      <c r="T383" s="136"/>
    </row>
    <row r="384" spans="20:20" ht="12.5">
      <c r="T384" s="136"/>
    </row>
    <row r="385" spans="20:20" ht="12.5">
      <c r="T385" s="136"/>
    </row>
    <row r="386" spans="20:20" ht="12.5">
      <c r="T386" s="136"/>
    </row>
    <row r="387" spans="20:20" ht="12.5">
      <c r="T387" s="136"/>
    </row>
    <row r="388" spans="20:20" ht="12.5">
      <c r="T388" s="136"/>
    </row>
    <row r="389" spans="20:20" ht="12.5">
      <c r="T389" s="136"/>
    </row>
    <row r="390" spans="20:20" ht="12.5">
      <c r="T390" s="136"/>
    </row>
    <row r="391" spans="20:20" ht="12.5">
      <c r="T391" s="136"/>
    </row>
    <row r="392" spans="20:20" ht="12.5">
      <c r="T392" s="136"/>
    </row>
    <row r="393" spans="20:20" ht="12.5">
      <c r="T393" s="136"/>
    </row>
    <row r="394" spans="20:20" ht="12.5">
      <c r="T394" s="136"/>
    </row>
    <row r="395" spans="20:20" ht="12.5">
      <c r="T395" s="136"/>
    </row>
    <row r="396" spans="20:20" ht="12.5">
      <c r="T396" s="136"/>
    </row>
    <row r="397" spans="20:20" ht="12.5">
      <c r="T397" s="136"/>
    </row>
    <row r="398" spans="20:20" ht="12.5">
      <c r="T398" s="136"/>
    </row>
    <row r="399" spans="20:20" ht="12.5">
      <c r="T399" s="136"/>
    </row>
    <row r="400" spans="20:20" ht="12.5">
      <c r="T400" s="136"/>
    </row>
    <row r="401" spans="20:20" ht="12.5">
      <c r="T401" s="136"/>
    </row>
    <row r="402" spans="20:20" ht="12.5">
      <c r="T402" s="136"/>
    </row>
    <row r="403" spans="20:20" ht="12.5">
      <c r="T403" s="136"/>
    </row>
    <row r="404" spans="20:20" ht="12.5">
      <c r="T404" s="136"/>
    </row>
    <row r="405" spans="20:20" ht="12.5">
      <c r="T405" s="136"/>
    </row>
    <row r="406" spans="20:20" ht="12.5">
      <c r="T406" s="136"/>
    </row>
    <row r="407" spans="20:20" ht="12.5">
      <c r="T407" s="136"/>
    </row>
    <row r="408" spans="20:20" ht="12.5">
      <c r="T408" s="136"/>
    </row>
    <row r="409" spans="20:20" ht="12.5">
      <c r="T409" s="136"/>
    </row>
    <row r="410" spans="20:20" ht="12.5">
      <c r="T410" s="136"/>
    </row>
    <row r="411" spans="20:20" ht="12.5">
      <c r="T411" s="136"/>
    </row>
    <row r="412" spans="20:20" ht="12.5">
      <c r="T412" s="136"/>
    </row>
    <row r="413" spans="20:20" ht="12.5">
      <c r="T413" s="136"/>
    </row>
    <row r="414" spans="20:20" ht="12.5">
      <c r="T414" s="136"/>
    </row>
    <row r="415" spans="20:20" ht="12.5">
      <c r="T415" s="136"/>
    </row>
    <row r="416" spans="20:20" ht="12.5">
      <c r="T416" s="136"/>
    </row>
    <row r="417" spans="20:20" ht="12.5">
      <c r="T417" s="136"/>
    </row>
    <row r="418" spans="20:20" ht="12.5">
      <c r="T418" s="136"/>
    </row>
    <row r="419" spans="20:20" ht="12.5">
      <c r="T419" s="136"/>
    </row>
    <row r="420" spans="20:20" ht="12.5">
      <c r="T420" s="136"/>
    </row>
    <row r="421" spans="20:20" ht="12.5">
      <c r="T421" s="136"/>
    </row>
    <row r="422" spans="20:20" ht="12.5">
      <c r="T422" s="136"/>
    </row>
    <row r="423" spans="20:20" ht="12.5">
      <c r="T423" s="136"/>
    </row>
    <row r="424" spans="20:20" ht="12.5">
      <c r="T424" s="136"/>
    </row>
    <row r="425" spans="20:20" ht="12.5">
      <c r="T425" s="136"/>
    </row>
    <row r="426" spans="20:20" ht="12.5">
      <c r="T426" s="136"/>
    </row>
    <row r="427" spans="20:20" ht="12.5">
      <c r="T427" s="136"/>
    </row>
    <row r="428" spans="20:20" ht="12.5">
      <c r="T428" s="136"/>
    </row>
    <row r="429" spans="20:20" ht="12.5">
      <c r="T429" s="136"/>
    </row>
    <row r="430" spans="20:20" ht="12.5">
      <c r="T430" s="136"/>
    </row>
    <row r="431" spans="20:20" ht="12.5">
      <c r="T431" s="136"/>
    </row>
    <row r="432" spans="20:20" ht="12.5">
      <c r="T432" s="136"/>
    </row>
    <row r="433" spans="20:20" ht="12.5">
      <c r="T433" s="136"/>
    </row>
    <row r="434" spans="20:20" ht="12.5">
      <c r="T434" s="136"/>
    </row>
    <row r="435" spans="20:20" ht="12.5">
      <c r="T435" s="136"/>
    </row>
    <row r="436" spans="20:20" ht="12.5">
      <c r="T436" s="136"/>
    </row>
    <row r="437" spans="20:20" ht="12.5">
      <c r="T437" s="136"/>
    </row>
    <row r="438" spans="20:20" ht="12.5">
      <c r="T438" s="136"/>
    </row>
    <row r="439" spans="20:20" ht="12.5">
      <c r="T439" s="136"/>
    </row>
    <row r="440" spans="20:20" ht="12.5">
      <c r="T440" s="136"/>
    </row>
    <row r="441" spans="20:20" ht="12.5">
      <c r="T441" s="136"/>
    </row>
    <row r="442" spans="20:20" ht="12.5">
      <c r="T442" s="136"/>
    </row>
    <row r="443" spans="20:20" ht="12.5">
      <c r="T443" s="136"/>
    </row>
    <row r="444" spans="20:20" ht="12.5">
      <c r="T444" s="136"/>
    </row>
    <row r="445" spans="20:20" ht="12.5">
      <c r="T445" s="136"/>
    </row>
    <row r="446" spans="20:20" ht="12.5">
      <c r="T446" s="136"/>
    </row>
    <row r="447" spans="20:20" ht="12.5">
      <c r="T447" s="136"/>
    </row>
    <row r="448" spans="20:20" ht="12.5">
      <c r="T448" s="136"/>
    </row>
    <row r="449" spans="20:20" ht="12.5">
      <c r="T449" s="136"/>
    </row>
    <row r="450" spans="20:20" ht="12.5">
      <c r="T450" s="136"/>
    </row>
    <row r="451" spans="20:20" ht="12.5">
      <c r="T451" s="136"/>
    </row>
    <row r="452" spans="20:20" ht="12.5">
      <c r="T452" s="136"/>
    </row>
    <row r="453" spans="20:20" ht="12.5">
      <c r="T453" s="136"/>
    </row>
    <row r="454" spans="20:20" ht="12.5">
      <c r="T454" s="136"/>
    </row>
    <row r="455" spans="20:20" ht="12.5">
      <c r="T455" s="136"/>
    </row>
    <row r="456" spans="20:20" ht="12.5">
      <c r="T456" s="136"/>
    </row>
    <row r="457" spans="20:20" ht="12.5">
      <c r="T457" s="136"/>
    </row>
    <row r="458" spans="20:20" ht="12.5">
      <c r="T458" s="136"/>
    </row>
    <row r="459" spans="20:20" ht="12.5">
      <c r="T459" s="136"/>
    </row>
    <row r="460" spans="20:20" ht="12.5">
      <c r="T460" s="136"/>
    </row>
    <row r="461" spans="20:20" ht="12.5">
      <c r="T461" s="136"/>
    </row>
    <row r="462" spans="20:20" ht="12.5">
      <c r="T462" s="136"/>
    </row>
    <row r="463" spans="20:20" ht="12.5">
      <c r="T463" s="136"/>
    </row>
    <row r="464" spans="20:20" ht="12.5">
      <c r="T464" s="136"/>
    </row>
    <row r="465" spans="20:20" ht="12.5">
      <c r="T465" s="136"/>
    </row>
    <row r="466" spans="20:20" ht="12.5">
      <c r="T466" s="136"/>
    </row>
    <row r="467" spans="20:20" ht="12.5">
      <c r="T467" s="136"/>
    </row>
    <row r="468" spans="20:20" ht="12.5">
      <c r="T468" s="136"/>
    </row>
    <row r="469" spans="20:20" ht="12.5">
      <c r="T469" s="136"/>
    </row>
    <row r="470" spans="20:20" ht="12.5">
      <c r="T470" s="136"/>
    </row>
    <row r="471" spans="20:20" ht="12.5">
      <c r="T471" s="136"/>
    </row>
    <row r="472" spans="20:20" ht="12.5">
      <c r="T472" s="136"/>
    </row>
    <row r="473" spans="20:20" ht="12.5">
      <c r="T473" s="136"/>
    </row>
    <row r="474" spans="20:20" ht="12.5">
      <c r="T474" s="136"/>
    </row>
    <row r="475" spans="20:20" ht="12.5">
      <c r="T475" s="136"/>
    </row>
    <row r="476" spans="20:20" ht="12.5">
      <c r="T476" s="136"/>
    </row>
    <row r="477" spans="20:20" ht="12.5">
      <c r="T477" s="136"/>
    </row>
    <row r="478" spans="20:20" ht="12.5">
      <c r="T478" s="136"/>
    </row>
    <row r="479" spans="20:20" ht="12.5">
      <c r="T479" s="136"/>
    </row>
    <row r="480" spans="20:20" ht="12.5">
      <c r="T480" s="136"/>
    </row>
    <row r="481" spans="20:20" ht="12.5">
      <c r="T481" s="136"/>
    </row>
    <row r="482" spans="20:20" ht="12.5">
      <c r="T482" s="136"/>
    </row>
    <row r="483" spans="20:20" ht="12.5">
      <c r="T483" s="136"/>
    </row>
    <row r="484" spans="20:20" ht="12.5">
      <c r="T484" s="136"/>
    </row>
    <row r="485" spans="20:20" ht="12.5">
      <c r="T485" s="136"/>
    </row>
    <row r="486" spans="20:20" ht="12.5">
      <c r="T486" s="136"/>
    </row>
    <row r="487" spans="20:20" ht="12.5">
      <c r="T487" s="136"/>
    </row>
    <row r="488" spans="20:20" ht="12.5">
      <c r="T488" s="136"/>
    </row>
    <row r="489" spans="20:20" ht="12.5">
      <c r="T489" s="136"/>
    </row>
    <row r="490" spans="20:20" ht="12.5">
      <c r="T490" s="136"/>
    </row>
    <row r="491" spans="20:20" ht="12.5">
      <c r="T491" s="136"/>
    </row>
    <row r="492" spans="20:20" ht="12.5">
      <c r="T492" s="136"/>
    </row>
    <row r="493" spans="20:20" ht="12.5">
      <c r="T493" s="136"/>
    </row>
    <row r="494" spans="20:20" ht="12.5">
      <c r="T494" s="136"/>
    </row>
    <row r="495" spans="20:20" ht="12.5">
      <c r="T495" s="136"/>
    </row>
    <row r="496" spans="20:20" ht="12.5">
      <c r="T496" s="136"/>
    </row>
    <row r="497" spans="20:20" ht="12.5">
      <c r="T497" s="136"/>
    </row>
    <row r="498" spans="20:20" ht="12.5">
      <c r="T498" s="136"/>
    </row>
    <row r="499" spans="20:20" ht="12.5">
      <c r="T499" s="136"/>
    </row>
    <row r="500" spans="20:20" ht="12.5">
      <c r="T500" s="136"/>
    </row>
    <row r="501" spans="20:20" ht="12.5">
      <c r="T501" s="136"/>
    </row>
    <row r="502" spans="20:20" ht="12.5">
      <c r="T502" s="136"/>
    </row>
    <row r="503" spans="20:20" ht="12.5">
      <c r="T503" s="136"/>
    </row>
    <row r="504" spans="20:20" ht="12.5">
      <c r="T504" s="136"/>
    </row>
    <row r="505" spans="20:20" ht="12.5">
      <c r="T505" s="136"/>
    </row>
    <row r="506" spans="20:20" ht="12.5">
      <c r="T506" s="136"/>
    </row>
    <row r="507" spans="20:20" ht="12.5">
      <c r="T507" s="136"/>
    </row>
    <row r="508" spans="20:20" ht="12.5">
      <c r="T508" s="136"/>
    </row>
    <row r="509" spans="20:20" ht="12.5">
      <c r="T509" s="136"/>
    </row>
    <row r="510" spans="20:20" ht="12.5">
      <c r="T510" s="136"/>
    </row>
    <row r="511" spans="20:20" ht="12.5">
      <c r="T511" s="136"/>
    </row>
    <row r="512" spans="20:20" ht="12.5">
      <c r="T512" s="136"/>
    </row>
    <row r="513" spans="20:20" ht="12.5">
      <c r="T513" s="136"/>
    </row>
    <row r="514" spans="20:20" ht="12.5">
      <c r="T514" s="136"/>
    </row>
    <row r="515" spans="20:20" ht="12.5">
      <c r="T515" s="136"/>
    </row>
    <row r="516" spans="20:20" ht="12.5">
      <c r="T516" s="136"/>
    </row>
    <row r="517" spans="20:20" ht="12.5">
      <c r="T517" s="136"/>
    </row>
    <row r="518" spans="20:20" ht="12.5">
      <c r="T518" s="136"/>
    </row>
    <row r="519" spans="20:20" ht="12.5">
      <c r="T519" s="136"/>
    </row>
    <row r="520" spans="20:20" ht="12.5">
      <c r="T520" s="136"/>
    </row>
    <row r="521" spans="20:20" ht="12.5">
      <c r="T521" s="136"/>
    </row>
    <row r="522" spans="20:20" ht="12.5">
      <c r="T522" s="136"/>
    </row>
    <row r="523" spans="20:20" ht="12.5">
      <c r="T523" s="136"/>
    </row>
    <row r="524" spans="20:20" ht="12.5">
      <c r="T524" s="136"/>
    </row>
    <row r="525" spans="20:20" ht="12.5">
      <c r="T525" s="136"/>
    </row>
    <row r="526" spans="20:20" ht="12.5">
      <c r="T526" s="136"/>
    </row>
    <row r="527" spans="20:20" ht="12.5">
      <c r="T527" s="136"/>
    </row>
    <row r="528" spans="20:20" ht="12.5">
      <c r="T528" s="136"/>
    </row>
    <row r="529" spans="20:20" ht="12.5">
      <c r="T529" s="136"/>
    </row>
    <row r="530" spans="20:20" ht="12.5">
      <c r="T530" s="136"/>
    </row>
    <row r="531" spans="20:20" ht="12.5">
      <c r="T531" s="136"/>
    </row>
    <row r="532" spans="20:20" ht="12.5">
      <c r="T532" s="136"/>
    </row>
    <row r="533" spans="20:20" ht="12.5">
      <c r="T533" s="136"/>
    </row>
    <row r="534" spans="20:20" ht="12.5">
      <c r="T534" s="136"/>
    </row>
    <row r="535" spans="20:20" ht="12.5">
      <c r="T535" s="136"/>
    </row>
    <row r="536" spans="20:20" ht="12.5">
      <c r="T536" s="136"/>
    </row>
    <row r="537" spans="20:20" ht="12.5">
      <c r="T537" s="136"/>
    </row>
    <row r="538" spans="20:20" ht="12.5">
      <c r="T538" s="136"/>
    </row>
    <row r="539" spans="20:20" ht="12.5">
      <c r="T539" s="136"/>
    </row>
    <row r="540" spans="20:20" ht="12.5">
      <c r="T540" s="136"/>
    </row>
    <row r="541" spans="20:20" ht="12.5">
      <c r="T541" s="136"/>
    </row>
    <row r="542" spans="20:20" ht="12.5">
      <c r="T542" s="136"/>
    </row>
    <row r="543" spans="20:20" ht="12.5">
      <c r="T543" s="136"/>
    </row>
    <row r="544" spans="20:20" ht="12.5">
      <c r="T544" s="136"/>
    </row>
    <row r="545" spans="20:20" ht="12.5">
      <c r="T545" s="136"/>
    </row>
    <row r="546" spans="20:20" ht="12.5">
      <c r="T546" s="136"/>
    </row>
    <row r="547" spans="20:20" ht="12.5">
      <c r="T547" s="136"/>
    </row>
    <row r="548" spans="20:20" ht="12.5">
      <c r="T548" s="136"/>
    </row>
    <row r="549" spans="20:20" ht="12.5">
      <c r="T549" s="136"/>
    </row>
    <row r="550" spans="20:20" ht="12.5">
      <c r="T550" s="136"/>
    </row>
    <row r="551" spans="20:20" ht="12.5">
      <c r="T551" s="136"/>
    </row>
    <row r="552" spans="20:20" ht="12.5">
      <c r="T552" s="136"/>
    </row>
    <row r="553" spans="20:20" ht="12.5">
      <c r="T553" s="136"/>
    </row>
    <row r="554" spans="20:20" ht="12.5">
      <c r="T554" s="136"/>
    </row>
    <row r="555" spans="20:20" ht="12.5">
      <c r="T555" s="136"/>
    </row>
    <row r="556" spans="20:20" ht="12.5">
      <c r="T556" s="136"/>
    </row>
    <row r="557" spans="20:20" ht="12.5">
      <c r="T557" s="136"/>
    </row>
    <row r="558" spans="20:20" ht="12.5">
      <c r="T558" s="136"/>
    </row>
    <row r="559" spans="20:20" ht="12.5">
      <c r="T559" s="136"/>
    </row>
    <row r="560" spans="20:20" ht="12.5">
      <c r="T560" s="136"/>
    </row>
    <row r="561" spans="20:20" ht="12.5">
      <c r="T561" s="136"/>
    </row>
    <row r="562" spans="20:20" ht="12.5">
      <c r="T562" s="136"/>
    </row>
    <row r="563" spans="20:20" ht="12.5">
      <c r="T563" s="136"/>
    </row>
    <row r="564" spans="20:20" ht="12.5">
      <c r="T564" s="136"/>
    </row>
    <row r="565" spans="20:20" ht="12.5">
      <c r="T565" s="136"/>
    </row>
    <row r="566" spans="20:20" ht="12.5">
      <c r="T566" s="136"/>
    </row>
    <row r="567" spans="20:20" ht="12.5">
      <c r="T567" s="136"/>
    </row>
    <row r="568" spans="20:20" ht="12.5">
      <c r="T568" s="136"/>
    </row>
    <row r="569" spans="20:20" ht="12.5">
      <c r="T569" s="136"/>
    </row>
    <row r="570" spans="20:20" ht="12.5">
      <c r="T570" s="136"/>
    </row>
    <row r="571" spans="20:20" ht="12.5">
      <c r="T571" s="136"/>
    </row>
    <row r="572" spans="20:20" ht="12.5">
      <c r="T572" s="136"/>
    </row>
    <row r="573" spans="20:20" ht="12.5">
      <c r="T573" s="136"/>
    </row>
    <row r="574" spans="20:20" ht="12.5">
      <c r="T574" s="136"/>
    </row>
    <row r="575" spans="20:20" ht="12.5">
      <c r="T575" s="136"/>
    </row>
    <row r="576" spans="20:20" ht="12.5">
      <c r="T576" s="136"/>
    </row>
    <row r="577" spans="20:20" ht="12.5">
      <c r="T577" s="136"/>
    </row>
    <row r="578" spans="20:20" ht="12.5">
      <c r="T578" s="136"/>
    </row>
    <row r="579" spans="20:20" ht="12.5">
      <c r="T579" s="136"/>
    </row>
    <row r="580" spans="20:20" ht="12.5">
      <c r="T580" s="136"/>
    </row>
    <row r="581" spans="20:20" ht="12.5">
      <c r="T581" s="136"/>
    </row>
    <row r="582" spans="20:20" ht="12.5">
      <c r="T582" s="136"/>
    </row>
    <row r="583" spans="20:20" ht="12.5">
      <c r="T583" s="136"/>
    </row>
    <row r="584" spans="20:20" ht="12.5">
      <c r="T584" s="136"/>
    </row>
    <row r="585" spans="20:20" ht="12.5">
      <c r="T585" s="136"/>
    </row>
    <row r="586" spans="20:20" ht="12.5">
      <c r="T586" s="136"/>
    </row>
    <row r="587" spans="20:20" ht="12.5">
      <c r="T587" s="136"/>
    </row>
    <row r="588" spans="20:20" ht="12.5">
      <c r="T588" s="136"/>
    </row>
    <row r="589" spans="20:20" ht="12.5">
      <c r="T589" s="136"/>
    </row>
    <row r="590" spans="20:20" ht="12.5">
      <c r="T590" s="136"/>
    </row>
    <row r="591" spans="20:20" ht="12.5">
      <c r="T591" s="136"/>
    </row>
    <row r="592" spans="20:20" ht="12.5">
      <c r="T592" s="136"/>
    </row>
    <row r="593" spans="20:20" ht="12.5">
      <c r="T593" s="136"/>
    </row>
    <row r="594" spans="20:20" ht="12.5">
      <c r="T594" s="136"/>
    </row>
    <row r="595" spans="20:20" ht="12.5">
      <c r="T595" s="136"/>
    </row>
    <row r="596" spans="20:20" ht="12.5">
      <c r="T596" s="136"/>
    </row>
    <row r="597" spans="20:20" ht="12.5">
      <c r="T597" s="136"/>
    </row>
    <row r="598" spans="20:20" ht="12.5">
      <c r="T598" s="136"/>
    </row>
    <row r="599" spans="20:20" ht="12.5">
      <c r="T599" s="136"/>
    </row>
    <row r="600" spans="20:20" ht="12.5">
      <c r="T600" s="136"/>
    </row>
    <row r="601" spans="20:20" ht="12.5">
      <c r="T601" s="136"/>
    </row>
    <row r="602" spans="20:20" ht="12.5">
      <c r="T602" s="136"/>
    </row>
    <row r="603" spans="20:20" ht="12.5">
      <c r="T603" s="136"/>
    </row>
    <row r="604" spans="20:20" ht="12.5">
      <c r="T604" s="136"/>
    </row>
    <row r="605" spans="20:20" ht="12.5">
      <c r="T605" s="136"/>
    </row>
    <row r="606" spans="20:20" ht="12.5">
      <c r="T606" s="136"/>
    </row>
    <row r="607" spans="20:20" ht="12.5">
      <c r="T607" s="136"/>
    </row>
    <row r="608" spans="20:20" ht="12.5">
      <c r="T608" s="136"/>
    </row>
    <row r="609" spans="20:20" ht="12.5">
      <c r="T609" s="136"/>
    </row>
    <row r="610" spans="20:20" ht="12.5">
      <c r="T610" s="136"/>
    </row>
    <row r="611" spans="20:20" ht="12.5">
      <c r="T611" s="136"/>
    </row>
    <row r="612" spans="20:20" ht="12.5">
      <c r="T612" s="136"/>
    </row>
    <row r="613" spans="20:20" ht="12.5">
      <c r="T613" s="136"/>
    </row>
    <row r="614" spans="20:20" ht="12.5">
      <c r="T614" s="136"/>
    </row>
    <row r="615" spans="20:20" ht="12.5">
      <c r="T615" s="136"/>
    </row>
    <row r="616" spans="20:20" ht="12.5">
      <c r="T616" s="136"/>
    </row>
    <row r="617" spans="20:20" ht="12.5">
      <c r="T617" s="136"/>
    </row>
    <row r="618" spans="20:20" ht="12.5">
      <c r="T618" s="136"/>
    </row>
    <row r="619" spans="20:20" ht="12.5">
      <c r="T619" s="136"/>
    </row>
    <row r="620" spans="20:20" ht="12.5">
      <c r="T620" s="136"/>
    </row>
    <row r="621" spans="20:20" ht="12.5">
      <c r="T621" s="136"/>
    </row>
    <row r="622" spans="20:20" ht="12.5">
      <c r="T622" s="136"/>
    </row>
    <row r="623" spans="20:20" ht="12.5">
      <c r="T623" s="136"/>
    </row>
    <row r="624" spans="20:20" ht="12.5">
      <c r="T624" s="136"/>
    </row>
    <row r="625" spans="20:20" ht="12.5">
      <c r="T625" s="136"/>
    </row>
    <row r="626" spans="20:20" ht="12.5">
      <c r="T626" s="136"/>
    </row>
    <row r="627" spans="20:20" ht="12.5">
      <c r="T627" s="136"/>
    </row>
    <row r="628" spans="20:20" ht="12.5">
      <c r="T628" s="136"/>
    </row>
    <row r="629" spans="20:20" ht="12.5">
      <c r="T629" s="136"/>
    </row>
    <row r="630" spans="20:20" ht="12.5">
      <c r="T630" s="136"/>
    </row>
    <row r="631" spans="20:20" ht="12.5">
      <c r="T631" s="136"/>
    </row>
    <row r="632" spans="20:20" ht="12.5">
      <c r="T632" s="136"/>
    </row>
    <row r="633" spans="20:20" ht="12.5">
      <c r="T633" s="136"/>
    </row>
    <row r="634" spans="20:20" ht="12.5">
      <c r="T634" s="136"/>
    </row>
    <row r="635" spans="20:20" ht="12.5">
      <c r="T635" s="136"/>
    </row>
    <row r="636" spans="20:20" ht="12.5">
      <c r="T636" s="136"/>
    </row>
    <row r="637" spans="20:20" ht="12.5">
      <c r="T637" s="136"/>
    </row>
    <row r="638" spans="20:20" ht="12.5">
      <c r="T638" s="136"/>
    </row>
    <row r="639" spans="20:20" ht="12.5">
      <c r="T639" s="136"/>
    </row>
    <row r="640" spans="20:20" ht="12.5">
      <c r="T640" s="136"/>
    </row>
    <row r="641" spans="20:20" ht="12.5">
      <c r="T641" s="136"/>
    </row>
    <row r="642" spans="20:20" ht="12.5">
      <c r="T642" s="136"/>
    </row>
    <row r="643" spans="20:20" ht="12.5">
      <c r="T643" s="136"/>
    </row>
    <row r="644" spans="20:20" ht="12.5">
      <c r="T644" s="136"/>
    </row>
    <row r="645" spans="20:20" ht="12.5">
      <c r="T645" s="136"/>
    </row>
    <row r="646" spans="20:20" ht="12.5">
      <c r="T646" s="136"/>
    </row>
    <row r="647" spans="20:20" ht="12.5">
      <c r="T647" s="136"/>
    </row>
    <row r="648" spans="20:20" ht="12.5">
      <c r="T648" s="136"/>
    </row>
    <row r="649" spans="20:20" ht="12.5">
      <c r="T649" s="136"/>
    </row>
    <row r="650" spans="20:20" ht="12.5">
      <c r="T650" s="136"/>
    </row>
    <row r="651" spans="20:20" ht="12.5">
      <c r="T651" s="136"/>
    </row>
    <row r="652" spans="20:20" ht="12.5">
      <c r="T652" s="136"/>
    </row>
    <row r="653" spans="20:20" ht="12.5">
      <c r="T653" s="136"/>
    </row>
    <row r="654" spans="20:20" ht="12.5">
      <c r="T654" s="136"/>
    </row>
    <row r="655" spans="20:20" ht="12.5">
      <c r="T655" s="136"/>
    </row>
    <row r="656" spans="20:20" ht="12.5">
      <c r="T656" s="136"/>
    </row>
    <row r="657" spans="20:20" ht="12.5">
      <c r="T657" s="136"/>
    </row>
    <row r="658" spans="20:20" ht="12.5">
      <c r="T658" s="136"/>
    </row>
    <row r="659" spans="20:20" ht="12.5">
      <c r="T659" s="136"/>
    </row>
    <row r="660" spans="20:20" ht="12.5">
      <c r="T660" s="136"/>
    </row>
    <row r="661" spans="20:20" ht="12.5">
      <c r="T661" s="136"/>
    </row>
    <row r="662" spans="20:20" ht="12.5">
      <c r="T662" s="136"/>
    </row>
    <row r="663" spans="20:20" ht="12.5">
      <c r="T663" s="136"/>
    </row>
    <row r="664" spans="20:20" ht="12.5">
      <c r="T664" s="136"/>
    </row>
    <row r="665" spans="20:20" ht="12.5">
      <c r="T665" s="136"/>
    </row>
    <row r="666" spans="20:20" ht="12.5">
      <c r="T666" s="136"/>
    </row>
    <row r="667" spans="20:20" ht="12.5">
      <c r="T667" s="136"/>
    </row>
    <row r="668" spans="20:20" ht="12.5">
      <c r="T668" s="136"/>
    </row>
    <row r="669" spans="20:20" ht="12.5">
      <c r="T669" s="136"/>
    </row>
    <row r="670" spans="20:20" ht="12.5">
      <c r="T670" s="136"/>
    </row>
    <row r="671" spans="20:20" ht="12.5">
      <c r="T671" s="136"/>
    </row>
    <row r="672" spans="20:20" ht="12.5">
      <c r="T672" s="136"/>
    </row>
    <row r="673" spans="20:20" ht="12.5">
      <c r="T673" s="136"/>
    </row>
    <row r="674" spans="20:20" ht="12.5">
      <c r="T674" s="136"/>
    </row>
    <row r="675" spans="20:20" ht="12.5">
      <c r="T675" s="136"/>
    </row>
    <row r="676" spans="20:20" ht="12.5">
      <c r="T676" s="136"/>
    </row>
    <row r="677" spans="20:20" ht="12.5">
      <c r="T677" s="136"/>
    </row>
    <row r="678" spans="20:20" ht="12.5">
      <c r="T678" s="136"/>
    </row>
    <row r="679" spans="20:20" ht="12.5">
      <c r="T679" s="136"/>
    </row>
    <row r="680" spans="20:20" ht="12.5">
      <c r="T680" s="136"/>
    </row>
    <row r="681" spans="20:20" ht="12.5">
      <c r="T681" s="136"/>
    </row>
    <row r="682" spans="20:20" ht="12.5">
      <c r="T682" s="136"/>
    </row>
    <row r="683" spans="20:20" ht="12.5">
      <c r="T683" s="136"/>
    </row>
    <row r="684" spans="20:20" ht="12.5">
      <c r="T684" s="136"/>
    </row>
    <row r="685" spans="20:20" ht="12.5">
      <c r="T685" s="136"/>
    </row>
    <row r="686" spans="20:20" ht="12.5">
      <c r="T686" s="136"/>
    </row>
    <row r="687" spans="20:20" ht="12.5">
      <c r="T687" s="136"/>
    </row>
    <row r="688" spans="20:20" ht="12.5">
      <c r="T688" s="136"/>
    </row>
    <row r="689" spans="20:20" ht="12.5">
      <c r="T689" s="136"/>
    </row>
    <row r="690" spans="20:20" ht="12.5">
      <c r="T690" s="136"/>
    </row>
    <row r="691" spans="20:20" ht="12.5">
      <c r="T691" s="136"/>
    </row>
    <row r="692" spans="20:20" ht="12.5">
      <c r="T692" s="136"/>
    </row>
    <row r="693" spans="20:20" ht="12.5">
      <c r="T693" s="136"/>
    </row>
    <row r="694" spans="20:20" ht="12.5">
      <c r="T694" s="136"/>
    </row>
    <row r="695" spans="20:20" ht="12.5">
      <c r="T695" s="136"/>
    </row>
    <row r="696" spans="20:20" ht="12.5">
      <c r="T696" s="136"/>
    </row>
    <row r="697" spans="20:20" ht="12.5">
      <c r="T697" s="136"/>
    </row>
    <row r="698" spans="20:20" ht="12.5">
      <c r="T698" s="136"/>
    </row>
    <row r="699" spans="20:20" ht="12.5">
      <c r="T699" s="136"/>
    </row>
    <row r="700" spans="20:20" ht="12.5">
      <c r="T700" s="136"/>
    </row>
    <row r="701" spans="20:20" ht="12.5">
      <c r="T701" s="136"/>
    </row>
    <row r="702" spans="20:20" ht="12.5">
      <c r="T702" s="136"/>
    </row>
    <row r="703" spans="20:20" ht="12.5">
      <c r="T703" s="136"/>
    </row>
    <row r="704" spans="20:20" ht="12.5">
      <c r="T704" s="136"/>
    </row>
    <row r="705" spans="20:20" ht="12.5">
      <c r="T705" s="136"/>
    </row>
    <row r="706" spans="20:20" ht="12.5">
      <c r="T706" s="136"/>
    </row>
    <row r="707" spans="20:20" ht="12.5">
      <c r="T707" s="136"/>
    </row>
    <row r="708" spans="20:20" ht="12.5">
      <c r="T708" s="136"/>
    </row>
    <row r="709" spans="20:20" ht="12.5">
      <c r="T709" s="136"/>
    </row>
    <row r="710" spans="20:20" ht="12.5">
      <c r="T710" s="136"/>
    </row>
    <row r="711" spans="20:20" ht="12.5">
      <c r="T711" s="136"/>
    </row>
    <row r="712" spans="20:20" ht="12.5">
      <c r="T712" s="136"/>
    </row>
    <row r="713" spans="20:20" ht="12.5">
      <c r="T713" s="136"/>
    </row>
    <row r="714" spans="20:20" ht="12.5">
      <c r="T714" s="136"/>
    </row>
    <row r="715" spans="20:20" ht="12.5">
      <c r="T715" s="136"/>
    </row>
    <row r="716" spans="20:20" ht="12.5">
      <c r="T716" s="136"/>
    </row>
    <row r="717" spans="20:20" ht="12.5">
      <c r="T717" s="136"/>
    </row>
    <row r="718" spans="20:20" ht="12.5">
      <c r="T718" s="136"/>
    </row>
    <row r="719" spans="20:20" ht="12.5">
      <c r="T719" s="136"/>
    </row>
    <row r="720" spans="20:20" ht="12.5">
      <c r="T720" s="136"/>
    </row>
    <row r="721" spans="20:20" ht="12.5">
      <c r="T721" s="136"/>
    </row>
    <row r="722" spans="20:20" ht="12.5">
      <c r="T722" s="136"/>
    </row>
    <row r="723" spans="20:20" ht="12.5">
      <c r="T723" s="136"/>
    </row>
    <row r="724" spans="20:20" ht="12.5">
      <c r="T724" s="136"/>
    </row>
    <row r="725" spans="20:20" ht="12.5">
      <c r="T725" s="136"/>
    </row>
    <row r="726" spans="20:20" ht="12.5">
      <c r="T726" s="136"/>
    </row>
    <row r="727" spans="20:20" ht="12.5">
      <c r="T727" s="136"/>
    </row>
    <row r="728" spans="20:20" ht="12.5">
      <c r="T728" s="136"/>
    </row>
    <row r="729" spans="20:20" ht="12.5">
      <c r="T729" s="136"/>
    </row>
    <row r="730" spans="20:20" ht="12.5">
      <c r="T730" s="136"/>
    </row>
    <row r="731" spans="20:20" ht="12.5">
      <c r="T731" s="136"/>
    </row>
    <row r="732" spans="20:20" ht="12.5">
      <c r="T732" s="136"/>
    </row>
    <row r="733" spans="20:20" ht="12.5">
      <c r="T733" s="136"/>
    </row>
    <row r="734" spans="20:20" ht="12.5">
      <c r="T734" s="136"/>
    </row>
    <row r="735" spans="20:20" ht="12.5">
      <c r="T735" s="136"/>
    </row>
    <row r="736" spans="20:20" ht="12.5">
      <c r="T736" s="136"/>
    </row>
    <row r="737" spans="20:20" ht="12.5">
      <c r="T737" s="136"/>
    </row>
    <row r="738" spans="20:20" ht="12.5">
      <c r="T738" s="136"/>
    </row>
    <row r="739" spans="20:20" ht="12.5">
      <c r="T739" s="136"/>
    </row>
    <row r="740" spans="20:20" ht="12.5">
      <c r="T740" s="136"/>
    </row>
    <row r="741" spans="20:20" ht="12.5">
      <c r="T741" s="136"/>
    </row>
    <row r="742" spans="20:20" ht="12.5">
      <c r="T742" s="136"/>
    </row>
    <row r="743" spans="20:20" ht="12.5">
      <c r="T743" s="136"/>
    </row>
    <row r="744" spans="20:20" ht="12.5">
      <c r="T744" s="136"/>
    </row>
    <row r="745" spans="20:20" ht="12.5">
      <c r="T745" s="136"/>
    </row>
    <row r="746" spans="20:20" ht="12.5">
      <c r="T746" s="136"/>
    </row>
    <row r="747" spans="20:20" ht="12.5">
      <c r="T747" s="136"/>
    </row>
    <row r="748" spans="20:20" ht="12.5">
      <c r="T748" s="136"/>
    </row>
    <row r="749" spans="20:20" ht="12.5">
      <c r="T749" s="136"/>
    </row>
    <row r="750" spans="20:20" ht="12.5">
      <c r="T750" s="136"/>
    </row>
    <row r="751" spans="20:20" ht="12.5">
      <c r="T751" s="136"/>
    </row>
    <row r="752" spans="20:20" ht="12.5">
      <c r="T752" s="136"/>
    </row>
    <row r="753" spans="20:20" ht="12.5">
      <c r="T753" s="136"/>
    </row>
    <row r="754" spans="20:20" ht="12.5">
      <c r="T754" s="136"/>
    </row>
    <row r="755" spans="20:20" ht="12.5">
      <c r="T755" s="136"/>
    </row>
    <row r="756" spans="20:20" ht="12.5">
      <c r="T756" s="136"/>
    </row>
    <row r="757" spans="20:20" ht="12.5">
      <c r="T757" s="136"/>
    </row>
    <row r="758" spans="20:20" ht="12.5">
      <c r="T758" s="136"/>
    </row>
    <row r="759" spans="20:20" ht="12.5">
      <c r="T759" s="136"/>
    </row>
    <row r="760" spans="20:20" ht="12.5">
      <c r="T760" s="136"/>
    </row>
    <row r="761" spans="20:20" ht="12.5">
      <c r="T761" s="136"/>
    </row>
    <row r="762" spans="20:20" ht="12.5">
      <c r="T762" s="136"/>
    </row>
    <row r="763" spans="20:20" ht="12.5">
      <c r="T763" s="136"/>
    </row>
    <row r="764" spans="20:20" ht="12.5">
      <c r="T764" s="136"/>
    </row>
    <row r="765" spans="20:20" ht="12.5">
      <c r="T765" s="136"/>
    </row>
    <row r="766" spans="20:20" ht="12.5">
      <c r="T766" s="136"/>
    </row>
    <row r="767" spans="20:20" ht="12.5">
      <c r="T767" s="136"/>
    </row>
    <row r="768" spans="20:20" ht="12.5">
      <c r="T768" s="136"/>
    </row>
    <row r="769" spans="20:20" ht="12.5">
      <c r="T769" s="136"/>
    </row>
    <row r="770" spans="20:20" ht="12.5">
      <c r="T770" s="136"/>
    </row>
    <row r="771" spans="20:20" ht="12.5">
      <c r="T771" s="136"/>
    </row>
    <row r="772" spans="20:20" ht="12.5">
      <c r="T772" s="136"/>
    </row>
    <row r="773" spans="20:20" ht="12.5">
      <c r="T773" s="136"/>
    </row>
    <row r="774" spans="20:20" ht="12.5">
      <c r="T774" s="136"/>
    </row>
    <row r="775" spans="20:20" ht="12.5">
      <c r="T775" s="136"/>
    </row>
    <row r="776" spans="20:20" ht="12.5">
      <c r="T776" s="136"/>
    </row>
    <row r="777" spans="20:20" ht="12.5">
      <c r="T777" s="136"/>
    </row>
    <row r="778" spans="20:20" ht="12.5">
      <c r="T778" s="136"/>
    </row>
    <row r="779" spans="20:20" ht="12.5">
      <c r="T779" s="136"/>
    </row>
    <row r="780" spans="20:20" ht="12.5">
      <c r="T780" s="136"/>
    </row>
    <row r="781" spans="20:20" ht="12.5">
      <c r="T781" s="136"/>
    </row>
    <row r="782" spans="20:20" ht="12.5">
      <c r="T782" s="136"/>
    </row>
    <row r="783" spans="20:20" ht="12.5">
      <c r="T783" s="136"/>
    </row>
    <row r="784" spans="20:20" ht="12.5">
      <c r="T784" s="136"/>
    </row>
    <row r="785" spans="20:20" ht="12.5">
      <c r="T785" s="136"/>
    </row>
    <row r="786" spans="20:20" ht="12.5">
      <c r="T786" s="136"/>
    </row>
    <row r="787" spans="20:20" ht="12.5">
      <c r="T787" s="136"/>
    </row>
    <row r="788" spans="20:20" ht="12.5">
      <c r="T788" s="136"/>
    </row>
    <row r="789" spans="20:20" ht="12.5">
      <c r="T789" s="136"/>
    </row>
    <row r="790" spans="20:20" ht="12.5">
      <c r="T790" s="136"/>
    </row>
    <row r="791" spans="20:20" ht="12.5">
      <c r="T791" s="136"/>
    </row>
    <row r="792" spans="20:20" ht="12.5">
      <c r="T792" s="136"/>
    </row>
    <row r="793" spans="20:20" ht="12.5">
      <c r="T793" s="136"/>
    </row>
    <row r="794" spans="20:20" ht="12.5">
      <c r="T794" s="136"/>
    </row>
    <row r="795" spans="20:20" ht="12.5">
      <c r="T795" s="136"/>
    </row>
    <row r="796" spans="20:20" ht="12.5">
      <c r="T796" s="136"/>
    </row>
    <row r="797" spans="20:20" ht="12.5">
      <c r="T797" s="136"/>
    </row>
    <row r="798" spans="20:20" ht="12.5">
      <c r="T798" s="136"/>
    </row>
    <row r="799" spans="20:20" ht="12.5">
      <c r="T799" s="136"/>
    </row>
    <row r="800" spans="20:20" ht="12.5">
      <c r="T800" s="136"/>
    </row>
    <row r="801" spans="20:20" ht="12.5">
      <c r="T801" s="136"/>
    </row>
    <row r="802" spans="20:20" ht="12.5">
      <c r="T802" s="136"/>
    </row>
    <row r="803" spans="20:20" ht="12.5">
      <c r="T803" s="136"/>
    </row>
    <row r="804" spans="20:20" ht="12.5">
      <c r="T804" s="136"/>
    </row>
    <row r="805" spans="20:20" ht="12.5">
      <c r="T805" s="136"/>
    </row>
    <row r="806" spans="20:20" ht="12.5">
      <c r="T806" s="136"/>
    </row>
    <row r="807" spans="20:20" ht="12.5">
      <c r="T807" s="136"/>
    </row>
    <row r="808" spans="20:20" ht="12.5">
      <c r="T808" s="136"/>
    </row>
    <row r="809" spans="20:20" ht="12.5">
      <c r="T809" s="136"/>
    </row>
    <row r="810" spans="20:20" ht="12.5">
      <c r="T810" s="136"/>
    </row>
    <row r="811" spans="20:20" ht="12.5">
      <c r="T811" s="136"/>
    </row>
    <row r="812" spans="20:20" ht="12.5">
      <c r="T812" s="136"/>
    </row>
    <row r="813" spans="20:20" ht="12.5">
      <c r="T813" s="136"/>
    </row>
    <row r="814" spans="20:20" ht="12.5">
      <c r="T814" s="136"/>
    </row>
    <row r="815" spans="20:20" ht="12.5">
      <c r="T815" s="136"/>
    </row>
    <row r="816" spans="20:20" ht="12.5">
      <c r="T816" s="136"/>
    </row>
    <row r="817" spans="20:20" ht="12.5">
      <c r="T817" s="136"/>
    </row>
    <row r="818" spans="20:20" ht="12.5">
      <c r="T818" s="136"/>
    </row>
    <row r="819" spans="20:20" ht="12.5">
      <c r="T819" s="136"/>
    </row>
    <row r="820" spans="20:20" ht="12.5">
      <c r="T820" s="136"/>
    </row>
    <row r="821" spans="20:20" ht="12.5">
      <c r="T821" s="136"/>
    </row>
    <row r="822" spans="20:20" ht="12.5">
      <c r="T822" s="136"/>
    </row>
    <row r="823" spans="20:20" ht="12.5">
      <c r="T823" s="136"/>
    </row>
    <row r="824" spans="20:20" ht="12.5">
      <c r="T824" s="136"/>
    </row>
    <row r="825" spans="20:20" ht="12.5">
      <c r="T825" s="136"/>
    </row>
    <row r="826" spans="20:20" ht="12.5">
      <c r="T826" s="136"/>
    </row>
    <row r="827" spans="20:20" ht="12.5">
      <c r="T827" s="136"/>
    </row>
    <row r="828" spans="20:20" ht="12.5">
      <c r="T828" s="136"/>
    </row>
    <row r="829" spans="20:20" ht="12.5">
      <c r="T829" s="136"/>
    </row>
    <row r="830" spans="20:20" ht="12.5">
      <c r="T830" s="136"/>
    </row>
    <row r="831" spans="20:20" ht="12.5">
      <c r="T831" s="136"/>
    </row>
    <row r="832" spans="20:20" ht="12.5">
      <c r="T832" s="136"/>
    </row>
    <row r="833" spans="20:20" ht="12.5">
      <c r="T833" s="136"/>
    </row>
    <row r="834" spans="20:20" ht="12.5">
      <c r="T834" s="136"/>
    </row>
    <row r="835" spans="20:20" ht="12.5">
      <c r="T835" s="136"/>
    </row>
    <row r="836" spans="20:20" ht="12.5">
      <c r="T836" s="136"/>
    </row>
    <row r="837" spans="20:20" ht="12.5">
      <c r="T837" s="136"/>
    </row>
    <row r="838" spans="20:20" ht="12.5">
      <c r="T838" s="136"/>
    </row>
    <row r="839" spans="20:20" ht="12.5">
      <c r="T839" s="136"/>
    </row>
    <row r="840" spans="20:20" ht="12.5">
      <c r="T840" s="136"/>
    </row>
    <row r="841" spans="20:20" ht="12.5">
      <c r="T841" s="136"/>
    </row>
    <row r="842" spans="20:20" ht="12.5">
      <c r="T842" s="136"/>
    </row>
    <row r="843" spans="20:20" ht="12.5">
      <c r="T843" s="136"/>
    </row>
    <row r="844" spans="20:20" ht="12.5">
      <c r="T844" s="136"/>
    </row>
    <row r="845" spans="20:20" ht="12.5">
      <c r="T845" s="136"/>
    </row>
    <row r="846" spans="20:20" ht="12.5">
      <c r="T846" s="136"/>
    </row>
    <row r="847" spans="20:20" ht="12.5">
      <c r="T847" s="136"/>
    </row>
    <row r="848" spans="20:20" ht="12.5">
      <c r="T848" s="136"/>
    </row>
    <row r="849" spans="20:20" ht="12.5">
      <c r="T849" s="136"/>
    </row>
    <row r="850" spans="20:20" ht="12.5">
      <c r="T850" s="136"/>
    </row>
    <row r="851" spans="20:20" ht="12.5">
      <c r="T851" s="136"/>
    </row>
    <row r="852" spans="20:20" ht="12.5">
      <c r="T852" s="136"/>
    </row>
    <row r="853" spans="20:20" ht="12.5">
      <c r="T853" s="136"/>
    </row>
    <row r="854" spans="20:20" ht="12.5">
      <c r="T854" s="136"/>
    </row>
    <row r="855" spans="20:20" ht="12.5">
      <c r="T855" s="136"/>
    </row>
    <row r="856" spans="20:20" ht="12.5">
      <c r="T856" s="136"/>
    </row>
    <row r="857" spans="20:20" ht="12.5">
      <c r="T857" s="136"/>
    </row>
    <row r="858" spans="20:20" ht="12.5">
      <c r="T858" s="136"/>
    </row>
    <row r="859" spans="20:20" ht="12.5">
      <c r="T859" s="136"/>
    </row>
    <row r="860" spans="20:20" ht="12.5">
      <c r="T860" s="136"/>
    </row>
    <row r="861" spans="20:20" ht="12.5">
      <c r="T861" s="136"/>
    </row>
    <row r="862" spans="20:20" ht="12.5">
      <c r="T862" s="136"/>
    </row>
    <row r="863" spans="20:20" ht="12.5">
      <c r="T863" s="136"/>
    </row>
    <row r="864" spans="20:20" ht="12.5">
      <c r="T864" s="136"/>
    </row>
    <row r="865" spans="20:20" ht="12.5">
      <c r="T865" s="136"/>
    </row>
    <row r="866" spans="20:20" ht="12.5">
      <c r="T866" s="136"/>
    </row>
    <row r="867" spans="20:20" ht="12.5">
      <c r="T867" s="136"/>
    </row>
    <row r="868" spans="20:20" ht="12.5">
      <c r="T868" s="136"/>
    </row>
    <row r="869" spans="20:20" ht="12.5">
      <c r="T869" s="136"/>
    </row>
    <row r="870" spans="20:20" ht="12.5">
      <c r="T870" s="136"/>
    </row>
    <row r="871" spans="20:20" ht="12.5">
      <c r="T871" s="136"/>
    </row>
    <row r="872" spans="20:20" ht="12.5">
      <c r="T872" s="136"/>
    </row>
    <row r="873" spans="20:20" ht="12.5">
      <c r="T873" s="136"/>
    </row>
    <row r="874" spans="20:20" ht="12.5">
      <c r="T874" s="136"/>
    </row>
    <row r="875" spans="20:20" ht="12.5">
      <c r="T875" s="136"/>
    </row>
    <row r="876" spans="20:20" ht="12.5">
      <c r="T876" s="136"/>
    </row>
    <row r="877" spans="20:20" ht="12.5">
      <c r="T877" s="136"/>
    </row>
    <row r="878" spans="20:20" ht="12.5">
      <c r="T878" s="136"/>
    </row>
    <row r="879" spans="20:20" ht="12.5">
      <c r="T879" s="136"/>
    </row>
    <row r="880" spans="20:20" ht="12.5">
      <c r="T880" s="136"/>
    </row>
    <row r="881" spans="20:20" ht="12.5">
      <c r="T881" s="136"/>
    </row>
    <row r="882" spans="20:20" ht="12.5">
      <c r="T882" s="136"/>
    </row>
    <row r="883" spans="20:20" ht="12.5">
      <c r="T883" s="136"/>
    </row>
    <row r="884" spans="20:20" ht="12.5">
      <c r="T884" s="136"/>
    </row>
    <row r="885" spans="20:20" ht="12.5">
      <c r="T885" s="136"/>
    </row>
    <row r="886" spans="20:20" ht="12.5">
      <c r="T886" s="136"/>
    </row>
    <row r="887" spans="20:20" ht="12.5">
      <c r="T887" s="136"/>
    </row>
    <row r="888" spans="20:20" ht="12.5">
      <c r="T888" s="136"/>
    </row>
    <row r="889" spans="20:20" ht="12.5">
      <c r="T889" s="136"/>
    </row>
    <row r="890" spans="20:20" ht="12.5">
      <c r="T890" s="136"/>
    </row>
    <row r="891" spans="20:20" ht="12.5">
      <c r="T891" s="136"/>
    </row>
    <row r="892" spans="20:20" ht="12.5">
      <c r="T892" s="136"/>
    </row>
    <row r="893" spans="20:20" ht="12.5">
      <c r="T893" s="136"/>
    </row>
    <row r="894" spans="20:20" ht="12.5">
      <c r="T894" s="136"/>
    </row>
    <row r="895" spans="20:20" ht="12.5">
      <c r="T895" s="136"/>
    </row>
    <row r="896" spans="20:20" ht="12.5">
      <c r="T896" s="136"/>
    </row>
    <row r="897" spans="20:20" ht="12.5">
      <c r="T897" s="136"/>
    </row>
    <row r="898" spans="20:20" ht="12.5">
      <c r="T898" s="136"/>
    </row>
    <row r="899" spans="20:20" ht="12.5">
      <c r="T899" s="136"/>
    </row>
    <row r="900" spans="20:20" ht="12.5">
      <c r="T900" s="136"/>
    </row>
    <row r="901" spans="20:20" ht="12.5">
      <c r="T901" s="136"/>
    </row>
    <row r="902" spans="20:20" ht="12.5">
      <c r="T902" s="136"/>
    </row>
    <row r="903" spans="20:20" ht="12.5">
      <c r="T903" s="136"/>
    </row>
    <row r="904" spans="20:20" ht="12.5">
      <c r="T904" s="136"/>
    </row>
    <row r="905" spans="20:20" ht="12.5">
      <c r="T905" s="136"/>
    </row>
    <row r="906" spans="20:20" ht="12.5">
      <c r="T906" s="136"/>
    </row>
    <row r="907" spans="20:20" ht="12.5">
      <c r="T907" s="136"/>
    </row>
    <row r="908" spans="20:20" ht="12.5">
      <c r="T908" s="136"/>
    </row>
    <row r="909" spans="20:20" ht="12.5">
      <c r="T909" s="136"/>
    </row>
    <row r="910" spans="20:20" ht="12.5">
      <c r="T910" s="136"/>
    </row>
    <row r="911" spans="20:20" ht="12.5">
      <c r="T911" s="136"/>
    </row>
    <row r="912" spans="20:20" ht="12.5">
      <c r="T912" s="136"/>
    </row>
    <row r="913" spans="20:20" ht="12.5">
      <c r="T913" s="136"/>
    </row>
    <row r="914" spans="20:20" ht="12.5">
      <c r="T914" s="136"/>
    </row>
    <row r="915" spans="20:20" ht="12.5">
      <c r="T915" s="136"/>
    </row>
    <row r="916" spans="20:20" ht="12.5">
      <c r="T916" s="136"/>
    </row>
    <row r="917" spans="20:20" ht="12.5">
      <c r="T917" s="136"/>
    </row>
    <row r="918" spans="20:20" ht="12.5">
      <c r="T918" s="136"/>
    </row>
    <row r="919" spans="20:20" ht="12.5">
      <c r="T919" s="136"/>
    </row>
    <row r="920" spans="20:20" ht="12.5">
      <c r="T920" s="136"/>
    </row>
    <row r="921" spans="20:20" ht="12.5">
      <c r="T921" s="136"/>
    </row>
    <row r="922" spans="20:20" ht="12.5">
      <c r="T922" s="136"/>
    </row>
    <row r="923" spans="20:20" ht="12.5">
      <c r="T923" s="136"/>
    </row>
    <row r="924" spans="20:20" ht="12.5">
      <c r="T924" s="136"/>
    </row>
    <row r="925" spans="20:20" ht="12.5">
      <c r="T925" s="136"/>
    </row>
    <row r="926" spans="20:20" ht="12.5">
      <c r="T926" s="136"/>
    </row>
    <row r="927" spans="20:20" ht="12.5">
      <c r="T927" s="136"/>
    </row>
    <row r="928" spans="20:20" ht="12.5">
      <c r="T928" s="136"/>
    </row>
    <row r="929" spans="20:20" ht="12.5">
      <c r="T929" s="136"/>
    </row>
    <row r="930" spans="20:20" ht="12.5">
      <c r="T930" s="136"/>
    </row>
    <row r="931" spans="20:20" ht="12.5">
      <c r="T931" s="136"/>
    </row>
    <row r="932" spans="20:20" ht="12.5">
      <c r="T932" s="136"/>
    </row>
    <row r="933" spans="20:20" ht="12.5">
      <c r="T933" s="136"/>
    </row>
    <row r="934" spans="20:20" ht="12.5">
      <c r="T934" s="136"/>
    </row>
    <row r="935" spans="20:20" ht="12.5">
      <c r="T935" s="136"/>
    </row>
    <row r="936" spans="20:20" ht="12.5">
      <c r="T936" s="136"/>
    </row>
    <row r="937" spans="20:20" ht="12.5">
      <c r="T937" s="136"/>
    </row>
    <row r="938" spans="20:20" ht="12.5">
      <c r="T938" s="136"/>
    </row>
    <row r="939" spans="20:20" ht="12.5">
      <c r="T939" s="136"/>
    </row>
    <row r="940" spans="20:20" ht="12.5">
      <c r="T940" s="136"/>
    </row>
    <row r="941" spans="20:20" ht="12.5">
      <c r="T941" s="136"/>
    </row>
    <row r="942" spans="20:20" ht="12.5">
      <c r="T942" s="136"/>
    </row>
    <row r="943" spans="20:20" ht="12.5">
      <c r="T943" s="136"/>
    </row>
    <row r="944" spans="20:20" ht="12.5">
      <c r="T944" s="136"/>
    </row>
    <row r="945" spans="20:20" ht="12.5">
      <c r="T945" s="136"/>
    </row>
    <row r="946" spans="20:20" ht="12.5">
      <c r="T946" s="136"/>
    </row>
    <row r="947" spans="20:20" ht="12.5">
      <c r="T947" s="136"/>
    </row>
    <row r="948" spans="20:20" ht="12.5">
      <c r="T948" s="136"/>
    </row>
    <row r="949" spans="20:20" ht="12.5">
      <c r="T949" s="136"/>
    </row>
    <row r="950" spans="20:20" ht="12.5">
      <c r="T950" s="136"/>
    </row>
    <row r="951" spans="20:20" ht="12.5">
      <c r="T951" s="136"/>
    </row>
    <row r="952" spans="20:20" ht="12.5">
      <c r="T952" s="136"/>
    </row>
    <row r="953" spans="20:20" ht="12.5">
      <c r="T953" s="136"/>
    </row>
    <row r="954" spans="20:20" ht="12.5">
      <c r="T954" s="136"/>
    </row>
    <row r="955" spans="20:20" ht="12.5">
      <c r="T955" s="136"/>
    </row>
    <row r="956" spans="20:20" ht="12.5">
      <c r="T956" s="136"/>
    </row>
    <row r="957" spans="20:20" ht="12.5">
      <c r="T957" s="136"/>
    </row>
    <row r="958" spans="20:20" ht="12.5">
      <c r="T958" s="136"/>
    </row>
    <row r="959" spans="20:20" ht="12.5">
      <c r="T959" s="136"/>
    </row>
    <row r="960" spans="20:20" ht="12.5">
      <c r="T960" s="136"/>
    </row>
    <row r="961" spans="20:20" ht="12.5">
      <c r="T961" s="136"/>
    </row>
    <row r="962" spans="20:20" ht="12.5">
      <c r="T962" s="136"/>
    </row>
    <row r="963" spans="20:20" ht="12.5">
      <c r="T963" s="136"/>
    </row>
    <row r="964" spans="20:20" ht="12.5">
      <c r="T964" s="136"/>
    </row>
    <row r="965" spans="20:20" ht="12.5">
      <c r="T965" s="136"/>
    </row>
    <row r="966" spans="20:20" ht="12.5">
      <c r="T966" s="136"/>
    </row>
    <row r="967" spans="20:20" ht="12.5">
      <c r="T967" s="136"/>
    </row>
    <row r="968" spans="20:20" ht="12.5">
      <c r="T968" s="136"/>
    </row>
    <row r="969" spans="20:20" ht="12.5">
      <c r="T969" s="136"/>
    </row>
    <row r="970" spans="20:20" ht="12.5">
      <c r="T970" s="136"/>
    </row>
    <row r="971" spans="20:20" ht="12.5">
      <c r="T971" s="136"/>
    </row>
    <row r="972" spans="20:20" ht="12.5">
      <c r="T972" s="136"/>
    </row>
    <row r="973" spans="20:20" ht="12.5">
      <c r="T973" s="136"/>
    </row>
    <row r="974" spans="20:20" ht="12.5">
      <c r="T974" s="136"/>
    </row>
    <row r="975" spans="20:20" ht="12.5">
      <c r="T975" s="136"/>
    </row>
    <row r="976" spans="20:20" ht="12.5">
      <c r="T976" s="136"/>
    </row>
    <row r="977" spans="20:20" ht="12.5">
      <c r="T977" s="136"/>
    </row>
    <row r="978" spans="20:20" ht="12.5">
      <c r="T978" s="136"/>
    </row>
    <row r="979" spans="20:20" ht="12.5">
      <c r="T979" s="136"/>
    </row>
    <row r="980" spans="20:20" ht="12.5">
      <c r="T980" s="136"/>
    </row>
    <row r="981" spans="20:20" ht="12.5">
      <c r="T981" s="136"/>
    </row>
    <row r="982" spans="20:20" ht="12.5">
      <c r="T982" s="136"/>
    </row>
    <row r="983" spans="20:20" ht="12.5">
      <c r="T983" s="136"/>
    </row>
    <row r="984" spans="20:20" ht="12.5">
      <c r="T984" s="136"/>
    </row>
    <row r="985" spans="20:20" ht="12.5">
      <c r="T985" s="136"/>
    </row>
    <row r="986" spans="20:20" ht="12.5">
      <c r="T986" s="136"/>
    </row>
    <row r="987" spans="20:20" ht="12.5">
      <c r="T987" s="136"/>
    </row>
    <row r="988" spans="20:20" ht="12.5">
      <c r="T988" s="136"/>
    </row>
    <row r="989" spans="20:20" ht="12.5">
      <c r="T989" s="136"/>
    </row>
    <row r="990" spans="20:20" ht="12.5">
      <c r="T990" s="136"/>
    </row>
    <row r="991" spans="20:20" ht="12.5">
      <c r="T991" s="136"/>
    </row>
    <row r="992" spans="20:20" ht="12.5">
      <c r="T992" s="136"/>
    </row>
    <row r="993" spans="20:20" ht="12.5">
      <c r="T993" s="136"/>
    </row>
    <row r="994" spans="20:20" ht="12.5">
      <c r="T994" s="136"/>
    </row>
    <row r="995" spans="20:20" ht="12.5">
      <c r="T995" s="136"/>
    </row>
    <row r="996" spans="20:20" ht="12.5">
      <c r="T996" s="136"/>
    </row>
    <row r="997" spans="20:20" ht="12.5">
      <c r="T997" s="136"/>
    </row>
    <row r="998" spans="20:20" ht="12.5">
      <c r="T998" s="136"/>
    </row>
    <row r="999" spans="20:20" ht="12.5">
      <c r="T999" s="136"/>
    </row>
    <row r="1000" spans="20:20" ht="12.5">
      <c r="T1000" s="136"/>
    </row>
    <row r="1001" spans="20:20" ht="12.5">
      <c r="T1001" s="136"/>
    </row>
    <row r="1002" spans="20:20" ht="12.5">
      <c r="T1002" s="136"/>
    </row>
    <row r="1003" spans="20:20" ht="12.5">
      <c r="T1003" s="136"/>
    </row>
    <row r="1004" spans="20:20" ht="12.5">
      <c r="T1004" s="136"/>
    </row>
    <row r="1005" spans="20:20" ht="12.5">
      <c r="T1005" s="136"/>
    </row>
    <row r="1006" spans="20:20" ht="12.5">
      <c r="T1006" s="136"/>
    </row>
    <row r="1007" spans="20:20" ht="12.5">
      <c r="T1007" s="136"/>
    </row>
    <row r="1008" spans="20:20" ht="12.5">
      <c r="T1008" s="136"/>
    </row>
    <row r="1009" spans="20:20" ht="12.5">
      <c r="T1009" s="136"/>
    </row>
    <row r="1010" spans="20:20" ht="12.5">
      <c r="T1010" s="136"/>
    </row>
  </sheetData>
  <mergeCells count="1">
    <mergeCell ref="AF37:AF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G10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/>
  <cols>
    <col min="1" max="1" width="20.7265625" customWidth="1"/>
  </cols>
  <sheetData>
    <row r="1" spans="1:33">
      <c r="A1" s="83" t="s">
        <v>641</v>
      </c>
      <c r="B1" s="132">
        <f t="shared" ref="B1:N1" si="0">SUM(B4:B28)</f>
        <v>5742</v>
      </c>
      <c r="C1" s="132">
        <f t="shared" si="0"/>
        <v>7117</v>
      </c>
      <c r="D1" s="132">
        <f t="shared" si="0"/>
        <v>1908</v>
      </c>
      <c r="E1" s="132">
        <f t="shared" si="0"/>
        <v>8274</v>
      </c>
      <c r="F1" s="132">
        <f t="shared" si="0"/>
        <v>8019</v>
      </c>
      <c r="G1" s="132">
        <f t="shared" si="0"/>
        <v>7283</v>
      </c>
      <c r="H1" s="132">
        <f t="shared" si="0"/>
        <v>9071</v>
      </c>
      <c r="I1" s="132">
        <f t="shared" si="0"/>
        <v>7737</v>
      </c>
      <c r="J1" s="132">
        <f t="shared" si="0"/>
        <v>12274</v>
      </c>
      <c r="K1" s="132">
        <f t="shared" si="0"/>
        <v>5408</v>
      </c>
      <c r="L1" s="132">
        <f t="shared" si="0"/>
        <v>7681</v>
      </c>
      <c r="M1" s="132">
        <f t="shared" si="0"/>
        <v>9982</v>
      </c>
      <c r="N1" s="132">
        <f t="shared" si="0"/>
        <v>8810</v>
      </c>
      <c r="O1" s="132">
        <v>8929</v>
      </c>
      <c r="P1" s="132">
        <v>10283</v>
      </c>
      <c r="Q1" s="132">
        <v>10525</v>
      </c>
      <c r="R1" s="132">
        <v>4721</v>
      </c>
      <c r="S1" s="132">
        <v>8507</v>
      </c>
      <c r="T1" s="132">
        <f t="shared" ref="T1:AC1" si="1">SUM(T4:T28)</f>
        <v>7911</v>
      </c>
      <c r="U1" s="132">
        <f t="shared" si="1"/>
        <v>8783</v>
      </c>
      <c r="V1" s="132">
        <f t="shared" si="1"/>
        <v>9627</v>
      </c>
      <c r="W1" s="132">
        <f t="shared" si="1"/>
        <v>10891</v>
      </c>
      <c r="X1" s="132">
        <f t="shared" si="1"/>
        <v>10875</v>
      </c>
      <c r="Y1" s="132">
        <f t="shared" si="1"/>
        <v>5119</v>
      </c>
      <c r="Z1" s="132">
        <f t="shared" si="1"/>
        <v>10415</v>
      </c>
      <c r="AA1" s="132">
        <f t="shared" si="1"/>
        <v>9253</v>
      </c>
      <c r="AB1" s="132">
        <f t="shared" si="1"/>
        <v>6905</v>
      </c>
      <c r="AC1" s="132">
        <f t="shared" si="1"/>
        <v>6676</v>
      </c>
      <c r="AD1" s="132">
        <f>SUM(AD4:AD29)</f>
        <v>10533</v>
      </c>
      <c r="AE1" s="132">
        <f t="shared" ref="AE1:AF1" si="2">SUM(AE4:AE28)</f>
        <v>8153</v>
      </c>
      <c r="AF1" s="132">
        <f t="shared" si="2"/>
        <v>4897</v>
      </c>
      <c r="AG1" s="133" t="s">
        <v>84</v>
      </c>
    </row>
    <row r="2" spans="1:33">
      <c r="A2" s="83" t="s">
        <v>70</v>
      </c>
      <c r="B2" s="134">
        <v>46143</v>
      </c>
      <c r="C2" s="134">
        <v>46144</v>
      </c>
      <c r="D2" s="134">
        <v>46145</v>
      </c>
      <c r="E2" s="134">
        <v>46146</v>
      </c>
      <c r="F2" s="134">
        <v>46147</v>
      </c>
      <c r="G2" s="134">
        <v>46148</v>
      </c>
      <c r="H2" s="134">
        <v>46149</v>
      </c>
      <c r="I2" s="134">
        <v>46150</v>
      </c>
      <c r="J2" s="134">
        <v>46151</v>
      </c>
      <c r="K2" s="134">
        <v>46152</v>
      </c>
      <c r="L2" s="134">
        <v>46153</v>
      </c>
      <c r="M2" s="134">
        <v>46154</v>
      </c>
      <c r="N2" s="134">
        <v>46155</v>
      </c>
      <c r="O2" s="134">
        <v>46156</v>
      </c>
      <c r="P2" s="134">
        <v>46157</v>
      </c>
      <c r="Q2" s="134">
        <v>46158</v>
      </c>
      <c r="R2" s="134">
        <v>46159</v>
      </c>
      <c r="S2" s="134">
        <v>46160</v>
      </c>
      <c r="T2" s="134">
        <v>46161</v>
      </c>
      <c r="U2" s="134">
        <v>46162</v>
      </c>
      <c r="V2" s="134">
        <v>46163</v>
      </c>
      <c r="W2" s="134">
        <v>46164</v>
      </c>
      <c r="X2" s="134">
        <v>46165</v>
      </c>
      <c r="Y2" s="134">
        <v>46166</v>
      </c>
      <c r="Z2" s="134">
        <v>46167</v>
      </c>
      <c r="AA2" s="134">
        <v>46168</v>
      </c>
      <c r="AB2" s="134">
        <v>46169</v>
      </c>
      <c r="AC2" s="134">
        <v>46170</v>
      </c>
      <c r="AD2" s="134">
        <v>46171</v>
      </c>
      <c r="AE2" s="134">
        <v>46172</v>
      </c>
      <c r="AF2" s="134">
        <v>46173</v>
      </c>
      <c r="AG2" s="133" t="s">
        <v>5</v>
      </c>
    </row>
    <row r="3" spans="1:33">
      <c r="A3" s="83" t="s">
        <v>642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9"/>
      <c r="AG3" s="9"/>
    </row>
    <row r="4" spans="1:33">
      <c r="A4" s="9" t="s">
        <v>533</v>
      </c>
      <c r="B4" s="9">
        <v>441</v>
      </c>
      <c r="C4" s="9">
        <v>193</v>
      </c>
      <c r="D4" s="9"/>
      <c r="E4" s="9"/>
      <c r="F4" s="9">
        <v>56</v>
      </c>
      <c r="G4" s="9"/>
      <c r="H4" s="9">
        <v>468</v>
      </c>
      <c r="I4" s="9"/>
      <c r="J4" s="9">
        <v>901</v>
      </c>
      <c r="K4" s="16">
        <v>352</v>
      </c>
      <c r="L4" s="16">
        <v>342</v>
      </c>
      <c r="M4" s="9"/>
      <c r="N4" s="9">
        <f>207+344</f>
        <v>551</v>
      </c>
      <c r="O4" s="9">
        <v>674</v>
      </c>
      <c r="P4" s="9">
        <v>592</v>
      </c>
      <c r="Q4" s="9">
        <v>166</v>
      </c>
      <c r="R4" s="9" t="s">
        <v>0</v>
      </c>
      <c r="S4" s="9">
        <v>261</v>
      </c>
      <c r="T4" s="9">
        <v>53</v>
      </c>
      <c r="U4" s="9">
        <v>372</v>
      </c>
      <c r="V4" s="9">
        <v>356</v>
      </c>
      <c r="W4" s="9">
        <v>532</v>
      </c>
      <c r="X4" s="9">
        <v>209</v>
      </c>
      <c r="Y4" s="9" t="s">
        <v>0</v>
      </c>
      <c r="Z4" s="9">
        <v>167</v>
      </c>
      <c r="AA4" s="9">
        <v>332</v>
      </c>
      <c r="AB4" s="9">
        <v>257</v>
      </c>
      <c r="AC4" s="9"/>
      <c r="AD4" s="9">
        <v>716</v>
      </c>
      <c r="AE4" s="9">
        <v>133</v>
      </c>
      <c r="AF4" s="9" t="s">
        <v>0</v>
      </c>
      <c r="AG4" s="9">
        <f t="shared" ref="AG4:AG13" si="3">SUM(B4:AF4)</f>
        <v>8124</v>
      </c>
    </row>
    <row r="5" spans="1:33">
      <c r="A5" s="9" t="s">
        <v>525</v>
      </c>
      <c r="B5" s="9"/>
      <c r="C5" s="9"/>
      <c r="D5" s="9"/>
      <c r="E5" s="9"/>
      <c r="F5" s="9"/>
      <c r="G5" s="9"/>
      <c r="H5" s="9"/>
      <c r="I5" s="9"/>
      <c r="J5" s="9"/>
      <c r="K5" s="16">
        <v>294</v>
      </c>
      <c r="L5" s="16">
        <v>219</v>
      </c>
      <c r="M5" s="16">
        <v>100</v>
      </c>
      <c r="N5" s="9"/>
      <c r="O5" s="9" t="s">
        <v>0</v>
      </c>
      <c r="P5" s="9" t="s">
        <v>0</v>
      </c>
      <c r="Q5" s="9">
        <v>119</v>
      </c>
      <c r="R5" s="9" t="s">
        <v>0</v>
      </c>
      <c r="S5" s="9" t="s">
        <v>0</v>
      </c>
      <c r="T5" s="9" t="s">
        <v>0</v>
      </c>
      <c r="U5" s="9" t="s">
        <v>0</v>
      </c>
      <c r="V5" s="9" t="s">
        <v>0</v>
      </c>
      <c r="W5" s="9" t="s">
        <v>0</v>
      </c>
      <c r="X5" s="9">
        <v>379</v>
      </c>
      <c r="Y5" s="9" t="s">
        <v>0</v>
      </c>
      <c r="Z5" s="9">
        <v>348</v>
      </c>
      <c r="AA5" s="9">
        <v>224</v>
      </c>
      <c r="AB5" s="9">
        <v>32</v>
      </c>
      <c r="AC5" s="9">
        <v>303</v>
      </c>
      <c r="AD5" s="9">
        <v>235</v>
      </c>
      <c r="AE5" s="9" t="s">
        <v>0</v>
      </c>
      <c r="AF5" s="9">
        <v>356</v>
      </c>
      <c r="AG5" s="9">
        <f t="shared" si="3"/>
        <v>2609</v>
      </c>
    </row>
    <row r="6" spans="1:33">
      <c r="A6" s="9" t="s">
        <v>539</v>
      </c>
      <c r="B6" s="9"/>
      <c r="C6" s="9">
        <v>11</v>
      </c>
      <c r="D6" s="9"/>
      <c r="E6" s="9">
        <v>67</v>
      </c>
      <c r="F6" s="9">
        <v>132</v>
      </c>
      <c r="G6" s="9">
        <v>26</v>
      </c>
      <c r="H6" s="9">
        <v>76</v>
      </c>
      <c r="I6" s="9"/>
      <c r="J6" s="9">
        <v>497</v>
      </c>
      <c r="K6" s="16"/>
      <c r="L6" s="16">
        <v>173</v>
      </c>
      <c r="M6" s="16">
        <v>77</v>
      </c>
      <c r="N6" s="16">
        <v>34</v>
      </c>
      <c r="O6" s="9">
        <v>84</v>
      </c>
      <c r="P6" s="9">
        <v>29</v>
      </c>
      <c r="Q6" s="9">
        <v>57</v>
      </c>
      <c r="R6" s="9" t="s">
        <v>0</v>
      </c>
      <c r="S6" s="9">
        <v>143</v>
      </c>
      <c r="T6" s="9">
        <v>45</v>
      </c>
      <c r="U6" s="9">
        <v>45</v>
      </c>
      <c r="V6" s="9">
        <v>98</v>
      </c>
      <c r="W6" s="9">
        <v>71</v>
      </c>
      <c r="X6" s="9" t="s">
        <v>0</v>
      </c>
      <c r="Y6" s="9">
        <v>194</v>
      </c>
      <c r="Z6" s="9">
        <v>59</v>
      </c>
      <c r="AA6" s="9">
        <v>77</v>
      </c>
      <c r="AB6" s="9">
        <v>18</v>
      </c>
      <c r="AC6" s="9">
        <v>24</v>
      </c>
      <c r="AD6" s="9">
        <v>149</v>
      </c>
      <c r="AE6" s="9">
        <v>275</v>
      </c>
      <c r="AF6" s="9" t="s">
        <v>0</v>
      </c>
      <c r="AG6" s="9">
        <f t="shared" si="3"/>
        <v>2461</v>
      </c>
    </row>
    <row r="7" spans="1:33">
      <c r="A7" s="9" t="s">
        <v>103</v>
      </c>
      <c r="B7" s="9">
        <v>170</v>
      </c>
      <c r="C7" s="9">
        <v>145</v>
      </c>
      <c r="D7" s="9"/>
      <c r="E7" s="9">
        <v>1428</v>
      </c>
      <c r="F7" s="9">
        <v>1358</v>
      </c>
      <c r="G7" s="9">
        <v>733</v>
      </c>
      <c r="H7" s="9">
        <v>693</v>
      </c>
      <c r="I7" s="9">
        <v>300</v>
      </c>
      <c r="J7" s="9">
        <v>731</v>
      </c>
      <c r="K7" s="9"/>
      <c r="L7" s="16">
        <v>374</v>
      </c>
      <c r="M7" s="16">
        <v>1264</v>
      </c>
      <c r="N7" s="16">
        <v>193</v>
      </c>
      <c r="O7" s="9">
        <v>158</v>
      </c>
      <c r="P7" s="9">
        <v>496</v>
      </c>
      <c r="Q7" s="9">
        <v>413</v>
      </c>
      <c r="R7" s="9" t="s">
        <v>0</v>
      </c>
      <c r="S7" s="9">
        <v>751</v>
      </c>
      <c r="T7" s="9">
        <v>209</v>
      </c>
      <c r="U7" s="9">
        <v>447</v>
      </c>
      <c r="V7" s="9">
        <v>637</v>
      </c>
      <c r="W7" s="9">
        <v>1039</v>
      </c>
      <c r="X7" s="9">
        <v>1101</v>
      </c>
      <c r="Y7" s="9">
        <v>188</v>
      </c>
      <c r="Z7" s="9">
        <v>920</v>
      </c>
      <c r="AA7" s="9">
        <v>1105</v>
      </c>
      <c r="AB7" s="9">
        <v>1081</v>
      </c>
      <c r="AC7" s="9">
        <v>75</v>
      </c>
      <c r="AD7" s="9">
        <v>100</v>
      </c>
      <c r="AE7" s="9">
        <v>2104</v>
      </c>
      <c r="AF7" s="9" t="s">
        <v>0</v>
      </c>
      <c r="AG7" s="9">
        <f t="shared" si="3"/>
        <v>18213</v>
      </c>
    </row>
    <row r="8" spans="1:33">
      <c r="A8" s="9" t="s">
        <v>98</v>
      </c>
      <c r="B8" s="9">
        <v>396</v>
      </c>
      <c r="C8" s="9">
        <v>666</v>
      </c>
      <c r="D8" s="9">
        <v>90</v>
      </c>
      <c r="E8" s="9">
        <v>543</v>
      </c>
      <c r="F8" s="9">
        <v>581</v>
      </c>
      <c r="G8" s="9">
        <v>1389</v>
      </c>
      <c r="H8" s="9">
        <v>1196</v>
      </c>
      <c r="I8" s="9">
        <v>150</v>
      </c>
      <c r="J8" s="9">
        <v>1764</v>
      </c>
      <c r="K8" s="16">
        <v>429</v>
      </c>
      <c r="L8" s="16">
        <v>1134</v>
      </c>
      <c r="M8" s="16">
        <v>1211</v>
      </c>
      <c r="N8" s="16">
        <v>1142</v>
      </c>
      <c r="O8" s="9">
        <v>540</v>
      </c>
      <c r="P8" s="9">
        <v>1152</v>
      </c>
      <c r="Q8" s="9">
        <v>1079</v>
      </c>
      <c r="R8" s="9">
        <v>326</v>
      </c>
      <c r="S8" s="9">
        <v>892</v>
      </c>
      <c r="T8" s="9">
        <v>972</v>
      </c>
      <c r="U8" s="9">
        <v>357</v>
      </c>
      <c r="V8" s="9">
        <v>1024</v>
      </c>
      <c r="W8" s="9">
        <v>732</v>
      </c>
      <c r="X8" s="9">
        <v>1346</v>
      </c>
      <c r="Y8" s="9">
        <v>535</v>
      </c>
      <c r="Z8" s="9">
        <v>722</v>
      </c>
      <c r="AA8" s="9">
        <v>828</v>
      </c>
      <c r="AB8" s="9"/>
      <c r="AC8" s="9">
        <v>880</v>
      </c>
      <c r="AD8" s="9">
        <v>1006</v>
      </c>
      <c r="AE8" s="9">
        <v>807</v>
      </c>
      <c r="AF8" s="9">
        <v>396</v>
      </c>
      <c r="AG8" s="9">
        <f t="shared" si="3"/>
        <v>24285</v>
      </c>
    </row>
    <row r="9" spans="1:33">
      <c r="A9" s="9" t="s">
        <v>91</v>
      </c>
      <c r="B9" s="9"/>
      <c r="C9" s="9">
        <v>1274</v>
      </c>
      <c r="D9" s="9">
        <v>481</v>
      </c>
      <c r="E9" s="9">
        <v>1420</v>
      </c>
      <c r="F9" s="9">
        <v>736</v>
      </c>
      <c r="G9" s="9">
        <v>855</v>
      </c>
      <c r="H9" s="9">
        <v>1241</v>
      </c>
      <c r="I9" s="9">
        <v>1067</v>
      </c>
      <c r="J9" s="9">
        <v>1440</v>
      </c>
      <c r="K9" s="16">
        <v>173</v>
      </c>
      <c r="L9" s="16">
        <v>18</v>
      </c>
      <c r="M9" s="16">
        <v>1202</v>
      </c>
      <c r="N9" s="16">
        <v>853</v>
      </c>
      <c r="O9" s="9">
        <v>1850</v>
      </c>
      <c r="P9" s="9">
        <v>1732</v>
      </c>
      <c r="Q9" s="9">
        <v>1520</v>
      </c>
      <c r="R9" s="9">
        <v>659</v>
      </c>
      <c r="S9" s="9">
        <v>861</v>
      </c>
      <c r="T9" s="9">
        <v>1075</v>
      </c>
      <c r="U9" s="9">
        <v>1189</v>
      </c>
      <c r="V9" s="9">
        <v>1531</v>
      </c>
      <c r="W9" s="9">
        <v>1629</v>
      </c>
      <c r="X9" s="9">
        <v>1027</v>
      </c>
      <c r="Y9" s="9">
        <v>434</v>
      </c>
      <c r="Z9" s="9">
        <v>896</v>
      </c>
      <c r="AA9" s="9">
        <v>875</v>
      </c>
      <c r="AB9" s="9">
        <v>462</v>
      </c>
      <c r="AC9" s="9">
        <v>1182</v>
      </c>
      <c r="AD9" s="9">
        <v>1238</v>
      </c>
      <c r="AE9" s="9">
        <v>1326</v>
      </c>
      <c r="AF9" s="9">
        <v>142</v>
      </c>
      <c r="AG9" s="9">
        <f t="shared" si="3"/>
        <v>30388</v>
      </c>
    </row>
    <row r="10" spans="1:33">
      <c r="A10" s="9" t="s">
        <v>538</v>
      </c>
      <c r="B10" s="9"/>
      <c r="C10" s="9">
        <v>52</v>
      </c>
      <c r="D10" s="9"/>
      <c r="E10" s="9">
        <v>122</v>
      </c>
      <c r="F10" s="9">
        <v>17</v>
      </c>
      <c r="G10" s="9">
        <v>29</v>
      </c>
      <c r="H10" s="9">
        <v>24</v>
      </c>
      <c r="I10" s="9">
        <v>68</v>
      </c>
      <c r="J10" s="9">
        <v>18</v>
      </c>
      <c r="K10" s="9"/>
      <c r="L10" s="16">
        <v>63</v>
      </c>
      <c r="M10" s="16">
        <v>4</v>
      </c>
      <c r="N10" s="16">
        <v>136</v>
      </c>
      <c r="O10" s="9">
        <v>56</v>
      </c>
      <c r="P10" s="9">
        <v>38</v>
      </c>
      <c r="Q10" s="9">
        <v>12</v>
      </c>
      <c r="R10" s="9" t="s">
        <v>0</v>
      </c>
      <c r="S10" s="9">
        <v>56</v>
      </c>
      <c r="T10" s="9">
        <v>112</v>
      </c>
      <c r="U10" s="9">
        <v>71</v>
      </c>
      <c r="V10" s="9">
        <v>47</v>
      </c>
      <c r="W10" s="9">
        <v>35</v>
      </c>
      <c r="X10" s="9">
        <v>116</v>
      </c>
      <c r="Y10" s="9" t="s">
        <v>0</v>
      </c>
      <c r="Z10" s="9">
        <v>48</v>
      </c>
      <c r="AA10" s="9">
        <v>13</v>
      </c>
      <c r="AB10" s="9">
        <v>36</v>
      </c>
      <c r="AC10" s="9" t="s">
        <v>0</v>
      </c>
      <c r="AD10" s="9">
        <v>46</v>
      </c>
      <c r="AE10" s="9">
        <v>22</v>
      </c>
      <c r="AF10" s="9" t="s">
        <v>0</v>
      </c>
      <c r="AG10" s="9">
        <f t="shared" si="3"/>
        <v>1241</v>
      </c>
    </row>
    <row r="11" spans="1:33">
      <c r="A11" s="9" t="s">
        <v>463</v>
      </c>
      <c r="B11" s="9">
        <v>477</v>
      </c>
      <c r="C11" s="9">
        <v>544</v>
      </c>
      <c r="D11" s="9">
        <v>1038</v>
      </c>
      <c r="E11" s="9">
        <v>1005</v>
      </c>
      <c r="F11" s="9">
        <v>911</v>
      </c>
      <c r="G11" s="9">
        <v>736</v>
      </c>
      <c r="H11" s="9">
        <v>422</v>
      </c>
      <c r="I11" s="9">
        <v>1749</v>
      </c>
      <c r="J11" s="9">
        <v>937</v>
      </c>
      <c r="K11" s="16">
        <v>319</v>
      </c>
      <c r="L11" s="9"/>
      <c r="M11" s="16">
        <v>1671</v>
      </c>
      <c r="N11" s="16">
        <v>662</v>
      </c>
      <c r="O11" s="9">
        <v>174</v>
      </c>
      <c r="P11" s="9">
        <v>1137</v>
      </c>
      <c r="Q11" s="9">
        <v>547</v>
      </c>
      <c r="R11" s="9">
        <v>932</v>
      </c>
      <c r="S11" s="9">
        <v>827</v>
      </c>
      <c r="T11" s="9">
        <v>237</v>
      </c>
      <c r="U11" s="9">
        <v>122</v>
      </c>
      <c r="V11" s="9">
        <v>816</v>
      </c>
      <c r="W11" s="9">
        <v>471</v>
      </c>
      <c r="X11" s="9">
        <v>1612</v>
      </c>
      <c r="Y11" s="9">
        <v>263</v>
      </c>
      <c r="Z11" s="9">
        <v>1399</v>
      </c>
      <c r="AA11" s="9">
        <v>677</v>
      </c>
      <c r="AB11" s="9">
        <v>131</v>
      </c>
      <c r="AC11" s="9">
        <v>917</v>
      </c>
      <c r="AD11" s="9">
        <v>726</v>
      </c>
      <c r="AE11" s="9">
        <v>1356</v>
      </c>
      <c r="AF11" s="9">
        <v>268</v>
      </c>
      <c r="AG11" s="9">
        <f t="shared" si="3"/>
        <v>23083</v>
      </c>
    </row>
    <row r="12" spans="1:33">
      <c r="A12" s="9" t="s">
        <v>547</v>
      </c>
      <c r="B12" s="9"/>
      <c r="C12" s="9">
        <v>52</v>
      </c>
      <c r="D12" s="9"/>
      <c r="E12" s="9">
        <v>39</v>
      </c>
      <c r="F12" s="9">
        <v>9</v>
      </c>
      <c r="G12" s="9"/>
      <c r="H12" s="9">
        <v>149</v>
      </c>
      <c r="I12" s="9">
        <v>98</v>
      </c>
      <c r="J12" s="9">
        <v>24</v>
      </c>
      <c r="K12" s="16">
        <v>87</v>
      </c>
      <c r="L12" s="9"/>
      <c r="M12" s="16">
        <v>112</v>
      </c>
      <c r="N12" s="16">
        <v>161</v>
      </c>
      <c r="O12" s="9">
        <v>120</v>
      </c>
      <c r="P12" s="9">
        <v>7</v>
      </c>
      <c r="Q12" s="9">
        <v>178</v>
      </c>
      <c r="R12" s="9">
        <v>85</v>
      </c>
      <c r="S12" s="9">
        <v>91</v>
      </c>
      <c r="T12" s="9">
        <v>88</v>
      </c>
      <c r="U12" s="9">
        <v>46</v>
      </c>
      <c r="V12" s="9" t="s">
        <v>0</v>
      </c>
      <c r="W12" s="9">
        <v>72</v>
      </c>
      <c r="X12" s="9">
        <v>19</v>
      </c>
      <c r="Y12" s="9">
        <v>95</v>
      </c>
      <c r="Z12" s="9"/>
      <c r="AA12" s="9">
        <v>36</v>
      </c>
      <c r="AB12" s="9"/>
      <c r="AC12" s="9">
        <v>139</v>
      </c>
      <c r="AD12" s="9">
        <v>49</v>
      </c>
      <c r="AE12" s="9" t="s">
        <v>0</v>
      </c>
      <c r="AF12" s="9">
        <v>4</v>
      </c>
      <c r="AG12" s="9">
        <f t="shared" si="3"/>
        <v>1760</v>
      </c>
    </row>
    <row r="13" spans="1:33">
      <c r="A13" s="9" t="s">
        <v>454</v>
      </c>
      <c r="B13" s="9">
        <v>917</v>
      </c>
      <c r="C13" s="9">
        <v>576</v>
      </c>
      <c r="D13" s="9"/>
      <c r="E13" s="9">
        <v>139</v>
      </c>
      <c r="F13" s="9">
        <v>1477</v>
      </c>
      <c r="G13" s="9">
        <v>490</v>
      </c>
      <c r="H13" s="9">
        <v>487</v>
      </c>
      <c r="I13" s="9"/>
      <c r="J13" s="9">
        <v>1023</v>
      </c>
      <c r="K13" s="16">
        <v>188</v>
      </c>
      <c r="L13" s="9"/>
      <c r="M13" s="16">
        <v>828</v>
      </c>
      <c r="N13" s="16">
        <v>818</v>
      </c>
      <c r="O13" s="9">
        <v>122</v>
      </c>
      <c r="P13" s="9">
        <v>795</v>
      </c>
      <c r="Q13" s="9">
        <v>214</v>
      </c>
      <c r="R13" s="9">
        <v>738</v>
      </c>
      <c r="S13" s="9">
        <v>997</v>
      </c>
      <c r="T13" s="9">
        <v>1450</v>
      </c>
      <c r="U13" s="9">
        <v>203</v>
      </c>
      <c r="V13" s="9">
        <v>627</v>
      </c>
      <c r="W13" s="9">
        <v>754</v>
      </c>
      <c r="X13" s="9">
        <v>373</v>
      </c>
      <c r="Y13" s="9">
        <v>1492</v>
      </c>
      <c r="Z13" s="9">
        <v>347</v>
      </c>
      <c r="AA13" s="9">
        <v>603</v>
      </c>
      <c r="AB13" s="9"/>
      <c r="AC13" s="9">
        <v>849</v>
      </c>
      <c r="AD13" s="9">
        <v>751</v>
      </c>
      <c r="AE13" s="9">
        <v>147</v>
      </c>
      <c r="AF13" s="9">
        <v>153</v>
      </c>
      <c r="AG13" s="9">
        <f t="shared" si="3"/>
        <v>17558</v>
      </c>
    </row>
    <row r="14" spans="1:33">
      <c r="A14" s="9" t="s">
        <v>528</v>
      </c>
      <c r="B14" s="9">
        <v>450</v>
      </c>
      <c r="C14" s="9">
        <v>152</v>
      </c>
      <c r="D14" s="9"/>
      <c r="E14" s="9">
        <v>406</v>
      </c>
      <c r="F14" s="9"/>
      <c r="G14" s="9">
        <v>799</v>
      </c>
      <c r="H14" s="9"/>
      <c r="I14" s="9">
        <v>602</v>
      </c>
      <c r="J14" s="9">
        <v>312</v>
      </c>
      <c r="K14" s="16">
        <v>300</v>
      </c>
      <c r="L14" s="16">
        <v>322</v>
      </c>
      <c r="M14" s="16">
        <v>160</v>
      </c>
      <c r="N14" s="16">
        <v>126</v>
      </c>
      <c r="O14" s="9" t="s">
        <v>0</v>
      </c>
      <c r="P14" s="9">
        <v>352</v>
      </c>
      <c r="Q14" s="9" t="s">
        <v>0</v>
      </c>
      <c r="R14" s="9">
        <v>401</v>
      </c>
      <c r="S14" s="9">
        <v>89</v>
      </c>
      <c r="T14" s="9">
        <v>449</v>
      </c>
      <c r="U14" s="9">
        <v>227</v>
      </c>
      <c r="V14" s="9">
        <v>319</v>
      </c>
      <c r="W14" s="9" t="s">
        <v>0</v>
      </c>
      <c r="X14" s="9">
        <v>331</v>
      </c>
      <c r="Y14" s="9">
        <v>107</v>
      </c>
      <c r="Z14" s="9">
        <v>287</v>
      </c>
      <c r="AA14" s="9">
        <v>210</v>
      </c>
      <c r="AB14" s="9"/>
      <c r="AC14" s="9">
        <v>205</v>
      </c>
      <c r="AD14" s="9">
        <v>326</v>
      </c>
      <c r="AE14" s="9">
        <v>268</v>
      </c>
      <c r="AF14" s="9"/>
      <c r="AG14" s="9">
        <f t="shared" ref="AG14:AG17" si="4">SUM(B14:AE14)</f>
        <v>7200</v>
      </c>
    </row>
    <row r="15" spans="1:33">
      <c r="A15" s="9" t="s">
        <v>90</v>
      </c>
      <c r="B15" s="9"/>
      <c r="C15" s="9">
        <v>1</v>
      </c>
      <c r="D15" s="9"/>
      <c r="E15" s="9">
        <v>7</v>
      </c>
      <c r="F15" s="9"/>
      <c r="G15" s="9"/>
      <c r="H15" s="9"/>
      <c r="I15" s="9"/>
      <c r="J15" s="9"/>
      <c r="K15" s="9"/>
      <c r="L15" s="16">
        <v>1</v>
      </c>
      <c r="M15" s="16">
        <v>1</v>
      </c>
      <c r="N15" s="9"/>
      <c r="O15" s="9">
        <v>48</v>
      </c>
      <c r="P15" s="9" t="s">
        <v>0</v>
      </c>
      <c r="Q15" s="9">
        <v>4</v>
      </c>
      <c r="R15" s="9">
        <v>17</v>
      </c>
      <c r="S15" s="9" t="s">
        <v>0</v>
      </c>
      <c r="T15" s="9" t="s">
        <v>0</v>
      </c>
      <c r="U15" s="9" t="s">
        <v>0</v>
      </c>
      <c r="V15" s="9" t="s">
        <v>0</v>
      </c>
      <c r="W15" s="9" t="s">
        <v>0</v>
      </c>
      <c r="X15" s="9" t="s">
        <v>0</v>
      </c>
      <c r="Y15" s="9" t="s">
        <v>0</v>
      </c>
      <c r="Z15" s="9">
        <v>12</v>
      </c>
      <c r="AA15" s="9"/>
      <c r="AB15" s="9"/>
      <c r="AC15" s="9">
        <v>10</v>
      </c>
      <c r="AD15" s="9"/>
      <c r="AE15" s="9" t="s">
        <v>0</v>
      </c>
      <c r="AF15" s="9"/>
      <c r="AG15" s="9">
        <f t="shared" si="4"/>
        <v>101</v>
      </c>
    </row>
    <row r="16" spans="1:33">
      <c r="A16" s="9" t="s">
        <v>488</v>
      </c>
      <c r="B16" s="9"/>
      <c r="C16" s="9"/>
      <c r="D16" s="9"/>
      <c r="E16" s="9">
        <v>794</v>
      </c>
      <c r="F16" s="9"/>
      <c r="G16" s="9">
        <v>621</v>
      </c>
      <c r="H16" s="9"/>
      <c r="I16" s="9">
        <v>459</v>
      </c>
      <c r="J16" s="9"/>
      <c r="K16" s="16">
        <v>602</v>
      </c>
      <c r="L16" s="16">
        <v>493</v>
      </c>
      <c r="M16" s="9"/>
      <c r="N16" s="9"/>
      <c r="O16" s="9">
        <v>570</v>
      </c>
      <c r="P16" s="9">
        <v>552</v>
      </c>
      <c r="Q16" s="9" t="s">
        <v>0</v>
      </c>
      <c r="R16" s="9">
        <v>495</v>
      </c>
      <c r="S16" s="9" t="s">
        <v>0</v>
      </c>
      <c r="T16" s="16">
        <v>574</v>
      </c>
      <c r="U16" s="9">
        <v>901</v>
      </c>
      <c r="V16" s="9" t="s">
        <v>0</v>
      </c>
      <c r="W16" s="9">
        <v>496</v>
      </c>
      <c r="X16" s="9" t="s">
        <v>0</v>
      </c>
      <c r="Y16" s="9" t="s">
        <v>0</v>
      </c>
      <c r="Z16" s="9">
        <v>580</v>
      </c>
      <c r="AA16" s="9"/>
      <c r="AB16" s="9">
        <v>1067</v>
      </c>
      <c r="AC16" s="9"/>
      <c r="AD16" s="9"/>
      <c r="AE16" s="9" t="s">
        <v>0</v>
      </c>
      <c r="AF16" s="9"/>
      <c r="AG16" s="9">
        <f t="shared" si="4"/>
        <v>8204</v>
      </c>
    </row>
    <row r="17" spans="1:33">
      <c r="A17" s="9" t="s">
        <v>557</v>
      </c>
      <c r="B17" s="9"/>
      <c r="C17" s="9"/>
      <c r="D17" s="9"/>
      <c r="E17" s="9">
        <v>637</v>
      </c>
      <c r="F17" s="9"/>
      <c r="G17" s="9"/>
      <c r="H17" s="9"/>
      <c r="I17" s="9"/>
      <c r="J17" s="9"/>
      <c r="K17" s="16">
        <v>372</v>
      </c>
      <c r="L17" s="16">
        <v>427</v>
      </c>
      <c r="M17" s="9"/>
      <c r="N17" s="9"/>
      <c r="O17" s="9" t="s">
        <v>0</v>
      </c>
      <c r="P17" s="9" t="s">
        <v>0</v>
      </c>
      <c r="Q17" s="9">
        <v>1297</v>
      </c>
      <c r="R17" s="9" t="s">
        <v>0</v>
      </c>
      <c r="S17" s="9" t="s">
        <v>0</v>
      </c>
      <c r="T17" s="16">
        <v>182</v>
      </c>
      <c r="U17" s="9" t="s">
        <v>0</v>
      </c>
      <c r="V17" s="9" t="s">
        <v>0</v>
      </c>
      <c r="W17" s="9">
        <v>682</v>
      </c>
      <c r="X17" s="9" t="s">
        <v>0</v>
      </c>
      <c r="Y17" s="9" t="s">
        <v>0</v>
      </c>
      <c r="Z17" s="9">
        <v>1966</v>
      </c>
      <c r="AA17" s="9">
        <v>705</v>
      </c>
      <c r="AB17" s="9"/>
      <c r="AC17" s="9"/>
      <c r="AD17" s="9">
        <v>916</v>
      </c>
      <c r="AE17" s="9" t="s">
        <v>0</v>
      </c>
      <c r="AF17" s="9"/>
      <c r="AG17" s="9">
        <f t="shared" si="4"/>
        <v>7184</v>
      </c>
    </row>
    <row r="18" spans="1:33">
      <c r="A18" s="9" t="s">
        <v>643</v>
      </c>
      <c r="B18" s="9">
        <v>1008</v>
      </c>
      <c r="C18" s="9">
        <v>2333</v>
      </c>
      <c r="D18" s="9">
        <v>28</v>
      </c>
      <c r="E18" s="9">
        <v>1591</v>
      </c>
      <c r="F18" s="16">
        <v>1810</v>
      </c>
      <c r="G18" s="9">
        <v>1446</v>
      </c>
      <c r="H18" s="9">
        <v>2840</v>
      </c>
      <c r="I18" s="9">
        <v>2299</v>
      </c>
      <c r="J18" s="9">
        <v>2927</v>
      </c>
      <c r="K18" s="16">
        <v>759</v>
      </c>
      <c r="L18" s="16">
        <v>3448</v>
      </c>
      <c r="M18" s="16">
        <v>2371</v>
      </c>
      <c r="N18" s="9">
        <v>2498</v>
      </c>
      <c r="O18" s="9">
        <v>2998</v>
      </c>
      <c r="P18" s="9">
        <v>2877</v>
      </c>
      <c r="Q18" s="9">
        <v>2176</v>
      </c>
      <c r="R18" s="9">
        <v>456</v>
      </c>
      <c r="S18" s="9">
        <v>3097</v>
      </c>
      <c r="T18" s="16">
        <v>2142</v>
      </c>
      <c r="U18" s="9">
        <v>2218</v>
      </c>
      <c r="V18" s="9">
        <v>2708</v>
      </c>
      <c r="W18" s="9">
        <v>2733</v>
      </c>
      <c r="X18" s="9">
        <v>2595</v>
      </c>
      <c r="Y18" s="9">
        <v>1459</v>
      </c>
      <c r="Z18" s="9"/>
      <c r="AA18" s="9">
        <v>1204</v>
      </c>
      <c r="AB18" s="9">
        <v>2027</v>
      </c>
      <c r="AC18" s="9">
        <v>1038</v>
      </c>
      <c r="AD18" s="9">
        <v>2806</v>
      </c>
      <c r="AE18" s="9">
        <v>1359</v>
      </c>
      <c r="AF18" s="9">
        <v>1510</v>
      </c>
      <c r="AG18" s="9">
        <f>SUM(B18:AF18)</f>
        <v>60761</v>
      </c>
    </row>
    <row r="19" spans="1:33">
      <c r="A19" s="9" t="s">
        <v>653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16"/>
      <c r="M19" s="9"/>
      <c r="N19" s="9"/>
      <c r="O19" s="9" t="s">
        <v>0</v>
      </c>
      <c r="P19" s="9" t="s">
        <v>0</v>
      </c>
      <c r="Q19" s="9" t="s">
        <v>0</v>
      </c>
      <c r="R19" s="9" t="s">
        <v>0</v>
      </c>
      <c r="S19" s="9" t="s">
        <v>0</v>
      </c>
      <c r="T19" s="9" t="s">
        <v>0</v>
      </c>
      <c r="U19" s="9" t="s">
        <v>0</v>
      </c>
      <c r="V19" s="9" t="s">
        <v>0</v>
      </c>
      <c r="W19" s="9" t="s">
        <v>0</v>
      </c>
      <c r="X19" s="9" t="s">
        <v>0</v>
      </c>
      <c r="Y19" s="9" t="s">
        <v>0</v>
      </c>
      <c r="Z19" s="9"/>
      <c r="AA19" s="9"/>
      <c r="AB19" s="9"/>
      <c r="AC19" s="9"/>
      <c r="AD19" s="9"/>
      <c r="AE19" s="9" t="s">
        <v>0</v>
      </c>
      <c r="AF19" s="9"/>
      <c r="AG19" s="9">
        <f>SUM(B19:AE19)</f>
        <v>0</v>
      </c>
    </row>
    <row r="20" spans="1:33">
      <c r="A20" s="9" t="s">
        <v>450</v>
      </c>
      <c r="B20" s="9">
        <v>12</v>
      </c>
      <c r="C20" s="9">
        <v>44</v>
      </c>
      <c r="D20" s="9">
        <v>42</v>
      </c>
      <c r="E20" s="9"/>
      <c r="F20" s="9"/>
      <c r="G20" s="9"/>
      <c r="H20" s="9">
        <v>84</v>
      </c>
      <c r="I20" s="9">
        <v>91</v>
      </c>
      <c r="J20" s="9">
        <v>60</v>
      </c>
      <c r="K20" s="9"/>
      <c r="L20" s="16">
        <v>148</v>
      </c>
      <c r="M20" s="9"/>
      <c r="N20" s="9"/>
      <c r="O20" s="9" t="s">
        <v>0</v>
      </c>
      <c r="P20" s="9" t="s">
        <v>0</v>
      </c>
      <c r="Q20" s="9">
        <v>100</v>
      </c>
      <c r="R20" s="9" t="s">
        <v>0</v>
      </c>
      <c r="S20" s="9" t="s">
        <v>0</v>
      </c>
      <c r="T20" s="9" t="s">
        <v>0</v>
      </c>
      <c r="U20" s="9">
        <v>210</v>
      </c>
      <c r="V20" s="9" t="s">
        <v>0</v>
      </c>
      <c r="W20" s="9" t="s">
        <v>0</v>
      </c>
      <c r="X20" s="9">
        <v>86</v>
      </c>
      <c r="Y20" s="9" t="s">
        <v>0</v>
      </c>
      <c r="Z20" s="9">
        <v>28</v>
      </c>
      <c r="AA20" s="9"/>
      <c r="AB20" s="9"/>
      <c r="AC20" s="9"/>
      <c r="AD20" s="9"/>
      <c r="AE20" s="9" t="s">
        <v>0</v>
      </c>
      <c r="AF20" s="9">
        <v>99</v>
      </c>
      <c r="AG20" s="9">
        <f>SUM(B20:AF20)</f>
        <v>1004</v>
      </c>
    </row>
    <row r="21" spans="1:33" ht="15.75" customHeight="1">
      <c r="A21" s="9" t="s">
        <v>509</v>
      </c>
      <c r="B21" s="9">
        <v>2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>
        <v>6</v>
      </c>
      <c r="O21" s="9">
        <v>2</v>
      </c>
      <c r="P21" s="9" t="s">
        <v>0</v>
      </c>
      <c r="Q21" s="9" t="s">
        <v>0</v>
      </c>
      <c r="R21" s="9" t="s">
        <v>0</v>
      </c>
      <c r="S21" s="9" t="s">
        <v>0</v>
      </c>
      <c r="T21" s="9" t="s">
        <v>0</v>
      </c>
      <c r="U21" s="9" t="s">
        <v>0</v>
      </c>
      <c r="V21" s="9" t="s">
        <v>0</v>
      </c>
      <c r="W21" s="9" t="s">
        <v>0</v>
      </c>
      <c r="X21" s="9" t="s">
        <v>0</v>
      </c>
      <c r="Y21" s="9" t="s">
        <v>0</v>
      </c>
      <c r="Z21" s="9"/>
      <c r="AA21" s="9"/>
      <c r="AB21" s="9"/>
      <c r="AC21" s="9"/>
      <c r="AD21" s="9">
        <v>17</v>
      </c>
      <c r="AE21" s="9" t="s">
        <v>0</v>
      </c>
      <c r="AF21" s="9"/>
      <c r="AG21" s="9">
        <f>SUM(B21:AE21)</f>
        <v>27</v>
      </c>
    </row>
    <row r="22" spans="1:33">
      <c r="A22" s="9" t="s">
        <v>486</v>
      </c>
      <c r="B22" s="9">
        <v>493</v>
      </c>
      <c r="C22" s="9">
        <v>124</v>
      </c>
      <c r="D22" s="9">
        <v>120</v>
      </c>
      <c r="E22" s="9"/>
      <c r="F22" s="9"/>
      <c r="G22" s="9"/>
      <c r="H22" s="9">
        <v>584</v>
      </c>
      <c r="I22" s="9">
        <v>184</v>
      </c>
      <c r="J22" s="9">
        <v>492</v>
      </c>
      <c r="K22" s="16">
        <v>105</v>
      </c>
      <c r="L22" s="16">
        <v>217</v>
      </c>
      <c r="M22" s="16">
        <v>398</v>
      </c>
      <c r="N22" s="9"/>
      <c r="O22" s="9">
        <v>282</v>
      </c>
      <c r="P22" s="9">
        <v>369</v>
      </c>
      <c r="Q22" s="9">
        <v>604</v>
      </c>
      <c r="R22" s="9" t="s">
        <v>0</v>
      </c>
      <c r="S22" s="9">
        <v>306</v>
      </c>
      <c r="T22" s="9" t="s">
        <v>0</v>
      </c>
      <c r="U22" s="9">
        <v>686</v>
      </c>
      <c r="V22" s="9">
        <v>608</v>
      </c>
      <c r="W22" s="9">
        <v>439</v>
      </c>
      <c r="X22" s="9">
        <v>465</v>
      </c>
      <c r="Y22" s="9" t="s">
        <v>0</v>
      </c>
      <c r="Z22" s="9">
        <v>750</v>
      </c>
      <c r="AA22" s="9">
        <v>532</v>
      </c>
      <c r="AB22" s="9">
        <v>404</v>
      </c>
      <c r="AC22" s="9"/>
      <c r="AD22" s="9">
        <v>756</v>
      </c>
      <c r="AE22" s="9" t="s">
        <v>0</v>
      </c>
      <c r="AF22" s="9">
        <v>299</v>
      </c>
      <c r="AG22" s="9">
        <f t="shared" ref="AG22:AG24" si="5">SUM(B22:AF22)</f>
        <v>9217</v>
      </c>
    </row>
    <row r="23" spans="1:33">
      <c r="A23" s="9" t="s">
        <v>85</v>
      </c>
      <c r="B23" s="9">
        <v>70</v>
      </c>
      <c r="C23" s="9">
        <v>18</v>
      </c>
      <c r="D23" s="9">
        <v>53</v>
      </c>
      <c r="E23" s="9">
        <v>51</v>
      </c>
      <c r="F23" s="16">
        <v>84</v>
      </c>
      <c r="G23" s="9">
        <v>104</v>
      </c>
      <c r="H23" s="9">
        <v>21</v>
      </c>
      <c r="I23" s="9">
        <v>49</v>
      </c>
      <c r="J23" s="9"/>
      <c r="K23" s="16">
        <v>206</v>
      </c>
      <c r="L23" s="16">
        <v>67</v>
      </c>
      <c r="M23" s="16">
        <v>62</v>
      </c>
      <c r="N23" s="9">
        <v>50</v>
      </c>
      <c r="O23" s="9">
        <v>74</v>
      </c>
      <c r="P23" s="9">
        <v>89</v>
      </c>
      <c r="Q23" s="9">
        <v>95</v>
      </c>
      <c r="R23" s="9">
        <v>91</v>
      </c>
      <c r="S23" s="9">
        <v>5</v>
      </c>
      <c r="T23" s="16">
        <v>46</v>
      </c>
      <c r="U23" s="9">
        <v>60</v>
      </c>
      <c r="V23" s="9">
        <v>10</v>
      </c>
      <c r="W23" s="9">
        <v>27</v>
      </c>
      <c r="X23" s="9" t="s">
        <v>0</v>
      </c>
      <c r="Y23" s="9">
        <v>147</v>
      </c>
      <c r="Z23" s="9">
        <v>11</v>
      </c>
      <c r="AA23" s="9">
        <v>89</v>
      </c>
      <c r="AB23" s="9">
        <v>59</v>
      </c>
      <c r="AC23" s="9">
        <v>27</v>
      </c>
      <c r="AD23" s="9">
        <v>12</v>
      </c>
      <c r="AE23" s="9">
        <v>19</v>
      </c>
      <c r="AF23" s="9">
        <v>118</v>
      </c>
      <c r="AG23" s="9">
        <f t="shared" si="5"/>
        <v>1814</v>
      </c>
    </row>
    <row r="24" spans="1:33">
      <c r="A24" s="9" t="s">
        <v>461</v>
      </c>
      <c r="B24" s="9">
        <v>890</v>
      </c>
      <c r="C24" s="9">
        <v>762</v>
      </c>
      <c r="D24" s="9"/>
      <c r="E24" s="9"/>
      <c r="F24" s="16">
        <v>617</v>
      </c>
      <c r="G24" s="9"/>
      <c r="H24" s="9">
        <v>748</v>
      </c>
      <c r="I24" s="9">
        <v>587</v>
      </c>
      <c r="J24" s="9">
        <v>1148</v>
      </c>
      <c r="K24" s="16">
        <v>853</v>
      </c>
      <c r="L24" s="9"/>
      <c r="M24" s="16">
        <v>78</v>
      </c>
      <c r="N24" s="9">
        <v>720</v>
      </c>
      <c r="O24" s="9">
        <v>462</v>
      </c>
      <c r="P24" s="9" t="s">
        <v>0</v>
      </c>
      <c r="Q24" s="9">
        <v>1908</v>
      </c>
      <c r="R24" s="9">
        <v>464</v>
      </c>
      <c r="S24" s="9" t="s">
        <v>0</v>
      </c>
      <c r="T24" s="9" t="s">
        <v>0</v>
      </c>
      <c r="U24" s="9">
        <v>1173</v>
      </c>
      <c r="V24" s="9">
        <v>846</v>
      </c>
      <c r="W24" s="9">
        <v>1121</v>
      </c>
      <c r="X24" s="9">
        <v>195</v>
      </c>
      <c r="Y24" s="9" t="s">
        <v>0</v>
      </c>
      <c r="Z24" s="9">
        <v>1875</v>
      </c>
      <c r="AA24" s="9">
        <v>556</v>
      </c>
      <c r="AB24" s="9">
        <v>1175</v>
      </c>
      <c r="AC24" s="9">
        <v>212</v>
      </c>
      <c r="AD24" s="9">
        <v>67</v>
      </c>
      <c r="AE24" s="9" t="s">
        <v>0</v>
      </c>
      <c r="AF24" s="9">
        <v>1199</v>
      </c>
      <c r="AG24" s="9">
        <f t="shared" si="5"/>
        <v>17656</v>
      </c>
    </row>
    <row r="25" spans="1:33">
      <c r="A25" s="9" t="s">
        <v>507</v>
      </c>
      <c r="B25" s="9">
        <v>6</v>
      </c>
      <c r="C25" s="9"/>
      <c r="D25" s="9"/>
      <c r="E25" s="9"/>
      <c r="F25" s="16"/>
      <c r="G25" s="9"/>
      <c r="H25" s="9"/>
      <c r="I25" s="9"/>
      <c r="J25" s="9"/>
      <c r="K25" s="9"/>
      <c r="L25" s="9"/>
      <c r="M25" s="9"/>
      <c r="N25" s="9">
        <v>2</v>
      </c>
      <c r="O25" s="9">
        <v>8</v>
      </c>
      <c r="P25" s="9" t="s">
        <v>0</v>
      </c>
      <c r="Q25" s="9" t="s">
        <v>0</v>
      </c>
      <c r="R25" s="9" t="s">
        <v>0</v>
      </c>
      <c r="S25" s="9" t="s">
        <v>0</v>
      </c>
      <c r="T25" s="9" t="s">
        <v>0</v>
      </c>
      <c r="U25" s="9" t="s">
        <v>0</v>
      </c>
      <c r="V25" s="9" t="s">
        <v>0</v>
      </c>
      <c r="W25" s="9" t="s">
        <v>0</v>
      </c>
      <c r="X25" s="9" t="s">
        <v>0</v>
      </c>
      <c r="Y25" s="9" t="s">
        <v>0</v>
      </c>
      <c r="Z25" s="9"/>
      <c r="AA25" s="9"/>
      <c r="AB25" s="9"/>
      <c r="AC25" s="9"/>
      <c r="AD25" s="9"/>
      <c r="AE25" s="9" t="s">
        <v>0</v>
      </c>
      <c r="AF25" s="9"/>
      <c r="AG25" s="9">
        <f t="shared" ref="AG25:AG27" si="6">SUM(B25:AE25)</f>
        <v>16</v>
      </c>
    </row>
    <row r="26" spans="1:33">
      <c r="A26" s="9" t="s">
        <v>510</v>
      </c>
      <c r="B26" s="9">
        <v>295</v>
      </c>
      <c r="C26" s="9"/>
      <c r="D26" s="9"/>
      <c r="E26" s="9">
        <v>25</v>
      </c>
      <c r="F26" s="9"/>
      <c r="G26" s="9">
        <v>55</v>
      </c>
      <c r="H26" s="9">
        <v>38</v>
      </c>
      <c r="I26" s="9">
        <v>16</v>
      </c>
      <c r="J26" s="9"/>
      <c r="K26" s="9"/>
      <c r="L26" s="16">
        <v>235</v>
      </c>
      <c r="M26" s="9"/>
      <c r="N26" s="16">
        <v>169</v>
      </c>
      <c r="O26" s="9">
        <v>88</v>
      </c>
      <c r="P26" s="9">
        <v>34</v>
      </c>
      <c r="Q26" s="9" t="s">
        <v>0</v>
      </c>
      <c r="R26" s="9" t="s">
        <v>0</v>
      </c>
      <c r="S26" s="9" t="s">
        <v>0</v>
      </c>
      <c r="T26" s="16">
        <v>86</v>
      </c>
      <c r="U26" s="9" t="s">
        <v>0</v>
      </c>
      <c r="V26" s="9" t="s">
        <v>0</v>
      </c>
      <c r="W26" s="9" t="s">
        <v>0</v>
      </c>
      <c r="X26" s="9" t="s">
        <v>0</v>
      </c>
      <c r="Y26" s="9" t="s">
        <v>0</v>
      </c>
      <c r="Z26" s="9"/>
      <c r="AA26" s="9">
        <v>511</v>
      </c>
      <c r="AB26" s="9">
        <v>156</v>
      </c>
      <c r="AC26" s="9"/>
      <c r="AD26" s="9">
        <v>234</v>
      </c>
      <c r="AE26" s="9" t="s">
        <v>0</v>
      </c>
      <c r="AF26" s="9"/>
      <c r="AG26" s="9">
        <f t="shared" si="6"/>
        <v>1942</v>
      </c>
    </row>
    <row r="27" spans="1:33">
      <c r="A27" s="9" t="s">
        <v>452</v>
      </c>
      <c r="B27" s="9">
        <v>115</v>
      </c>
      <c r="C27" s="9"/>
      <c r="D27" s="9">
        <v>56</v>
      </c>
      <c r="E27" s="9"/>
      <c r="F27" s="9">
        <v>231</v>
      </c>
      <c r="G27" s="9"/>
      <c r="H27" s="9"/>
      <c r="I27" s="9">
        <v>18</v>
      </c>
      <c r="J27" s="9"/>
      <c r="K27" s="16">
        <v>369</v>
      </c>
      <c r="L27" s="9"/>
      <c r="M27" s="9"/>
      <c r="N27" s="16">
        <v>346</v>
      </c>
      <c r="O27" s="9" t="s">
        <v>0</v>
      </c>
      <c r="P27" s="9">
        <v>32</v>
      </c>
      <c r="Q27" s="9">
        <v>36</v>
      </c>
      <c r="R27" s="9">
        <v>56</v>
      </c>
      <c r="S27" s="9">
        <v>131</v>
      </c>
      <c r="T27" s="16">
        <v>191</v>
      </c>
      <c r="U27" s="9" t="s">
        <v>0</v>
      </c>
      <c r="V27" s="9" t="s">
        <v>0</v>
      </c>
      <c r="W27" s="9">
        <v>58</v>
      </c>
      <c r="X27" s="9">
        <v>158</v>
      </c>
      <c r="Y27" s="9">
        <v>205</v>
      </c>
      <c r="Z27" s="9"/>
      <c r="AA27" s="9">
        <v>304</v>
      </c>
      <c r="AB27" s="9"/>
      <c r="AC27" s="9"/>
      <c r="AD27" s="9"/>
      <c r="AE27" s="9">
        <v>337</v>
      </c>
      <c r="AF27" s="9"/>
      <c r="AG27" s="9">
        <f t="shared" si="6"/>
        <v>2643</v>
      </c>
    </row>
    <row r="28" spans="1:33">
      <c r="A28" s="9" t="s">
        <v>485</v>
      </c>
      <c r="B28" s="9"/>
      <c r="C28" s="9">
        <v>170</v>
      </c>
      <c r="D28" s="9"/>
      <c r="E28" s="9"/>
      <c r="F28" s="9"/>
      <c r="G28" s="9"/>
      <c r="H28" s="9"/>
      <c r="I28" s="9"/>
      <c r="J28" s="9"/>
      <c r="K28" s="9"/>
      <c r="L28" s="9"/>
      <c r="M28" s="16">
        <v>443</v>
      </c>
      <c r="N28" s="9">
        <v>343</v>
      </c>
      <c r="O28" s="9">
        <v>619</v>
      </c>
      <c r="P28" s="9" t="s">
        <v>0</v>
      </c>
      <c r="Q28" s="9" t="s">
        <v>0</v>
      </c>
      <c r="R28" s="9" t="s">
        <v>0</v>
      </c>
      <c r="S28" s="9" t="s">
        <v>0</v>
      </c>
      <c r="T28" s="9" t="s">
        <v>0</v>
      </c>
      <c r="U28" s="9">
        <v>456</v>
      </c>
      <c r="V28" s="9" t="s">
        <v>0</v>
      </c>
      <c r="W28" s="9" t="s">
        <v>0</v>
      </c>
      <c r="X28" s="9">
        <v>863</v>
      </c>
      <c r="Y28" s="9" t="s">
        <v>0</v>
      </c>
      <c r="Z28" s="9"/>
      <c r="AA28" s="9">
        <v>372</v>
      </c>
      <c r="AB28" s="9"/>
      <c r="AC28" s="9">
        <v>815</v>
      </c>
      <c r="AD28" s="9">
        <v>379</v>
      </c>
      <c r="AE28" s="9" t="s">
        <v>0</v>
      </c>
      <c r="AF28" s="9">
        <v>353</v>
      </c>
      <c r="AG28" s="9">
        <f t="shared" ref="AG28:AG29" si="7">SUM(B28:AF28)</f>
        <v>4813</v>
      </c>
    </row>
    <row r="29" spans="1:33" ht="15.75" customHeight="1">
      <c r="A29" s="9" t="s">
        <v>525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>
        <v>4</v>
      </c>
      <c r="AE29" s="9"/>
      <c r="AF29" s="9"/>
      <c r="AG29" s="9">
        <f t="shared" si="7"/>
        <v>4</v>
      </c>
    </row>
    <row r="30" spans="1:33" ht="15.75" customHeight="1">
      <c r="T30" s="136"/>
    </row>
    <row r="31" spans="1:33" ht="15.75" customHeight="1">
      <c r="T31" s="136"/>
    </row>
    <row r="32" spans="1:33" ht="15.75" customHeight="1">
      <c r="T32" s="136"/>
    </row>
    <row r="33" spans="1:33">
      <c r="A33" s="83" t="s">
        <v>646</v>
      </c>
      <c r="B33" s="137">
        <f t="shared" ref="B33:I33" si="8">SUM(B35:B64)</f>
        <v>10650</v>
      </c>
      <c r="C33" s="137">
        <f t="shared" si="8"/>
        <v>4522</v>
      </c>
      <c r="D33" s="137">
        <f t="shared" si="8"/>
        <v>6370</v>
      </c>
      <c r="E33" s="137">
        <f t="shared" si="8"/>
        <v>4134</v>
      </c>
      <c r="F33" s="137">
        <f t="shared" si="8"/>
        <v>7890</v>
      </c>
      <c r="G33" s="137">
        <f t="shared" si="8"/>
        <v>7521</v>
      </c>
      <c r="H33" s="137">
        <f t="shared" si="8"/>
        <v>6973</v>
      </c>
      <c r="I33" s="137">
        <f t="shared" si="8"/>
        <v>9649</v>
      </c>
      <c r="J33" s="137">
        <f t="shared" ref="J33:Z33" si="9">SUM(J35:J67)</f>
        <v>9912</v>
      </c>
      <c r="K33" s="137">
        <f t="shared" si="9"/>
        <v>9299</v>
      </c>
      <c r="L33" s="137">
        <f t="shared" si="9"/>
        <v>5068</v>
      </c>
      <c r="M33" s="137">
        <f t="shared" si="9"/>
        <v>10057</v>
      </c>
      <c r="N33" s="137">
        <f t="shared" si="9"/>
        <v>10629</v>
      </c>
      <c r="O33" s="137">
        <f t="shared" si="9"/>
        <v>9558</v>
      </c>
      <c r="P33" s="137">
        <f t="shared" si="9"/>
        <v>9360</v>
      </c>
      <c r="Q33" s="137">
        <f t="shared" si="9"/>
        <v>9673</v>
      </c>
      <c r="R33" s="137">
        <f t="shared" si="9"/>
        <v>8345</v>
      </c>
      <c r="S33" s="137">
        <f t="shared" si="9"/>
        <v>5897</v>
      </c>
      <c r="T33" s="137">
        <f t="shared" si="9"/>
        <v>7848</v>
      </c>
      <c r="U33" s="137">
        <f t="shared" si="9"/>
        <v>7853</v>
      </c>
      <c r="V33" s="137">
        <f t="shared" si="9"/>
        <v>10722</v>
      </c>
      <c r="W33" s="137">
        <f t="shared" si="9"/>
        <v>8320</v>
      </c>
      <c r="X33" s="137">
        <f t="shared" si="9"/>
        <v>10560</v>
      </c>
      <c r="Y33" s="137">
        <f t="shared" si="9"/>
        <v>8897</v>
      </c>
      <c r="Z33" s="137">
        <f t="shared" si="9"/>
        <v>6725</v>
      </c>
      <c r="AA33" s="137">
        <f>SUM(AA35:AA68)</f>
        <v>6636</v>
      </c>
      <c r="AB33" s="137">
        <f>SUM(AB35:AB70)</f>
        <v>9944</v>
      </c>
      <c r="AC33" s="137">
        <f t="shared" ref="AC33:AF33" si="10">SUM(AC35:AC67)</f>
        <v>7451</v>
      </c>
      <c r="AD33" s="137">
        <f t="shared" si="10"/>
        <v>7371</v>
      </c>
      <c r="AE33" s="137">
        <f t="shared" si="10"/>
        <v>9756</v>
      </c>
      <c r="AF33" s="137">
        <f t="shared" si="10"/>
        <v>7848</v>
      </c>
      <c r="AG33" s="225" t="s">
        <v>84</v>
      </c>
    </row>
    <row r="34" spans="1:33">
      <c r="A34" s="83" t="s">
        <v>70</v>
      </c>
      <c r="B34" s="134">
        <v>46143</v>
      </c>
      <c r="C34" s="134">
        <v>46144</v>
      </c>
      <c r="D34" s="134">
        <v>46145</v>
      </c>
      <c r="E34" s="134">
        <v>46146</v>
      </c>
      <c r="F34" s="134">
        <v>46147</v>
      </c>
      <c r="G34" s="134">
        <v>46148</v>
      </c>
      <c r="H34" s="134">
        <v>46149</v>
      </c>
      <c r="I34" s="134">
        <v>46150</v>
      </c>
      <c r="J34" s="134">
        <v>46151</v>
      </c>
      <c r="K34" s="134">
        <v>46152</v>
      </c>
      <c r="L34" s="134">
        <v>46153</v>
      </c>
      <c r="M34" s="134">
        <v>46154</v>
      </c>
      <c r="N34" s="134">
        <v>46155</v>
      </c>
      <c r="O34" s="134">
        <v>46156</v>
      </c>
      <c r="P34" s="134">
        <v>46157</v>
      </c>
      <c r="Q34" s="134">
        <v>46158</v>
      </c>
      <c r="R34" s="134">
        <v>46159</v>
      </c>
      <c r="S34" s="134">
        <v>46160</v>
      </c>
      <c r="T34" s="134">
        <v>46161</v>
      </c>
      <c r="U34" s="134">
        <v>46162</v>
      </c>
      <c r="V34" s="134">
        <v>46163</v>
      </c>
      <c r="W34" s="134">
        <v>46164</v>
      </c>
      <c r="X34" s="134">
        <v>46165</v>
      </c>
      <c r="Y34" s="134">
        <v>46166</v>
      </c>
      <c r="Z34" s="134">
        <v>46167</v>
      </c>
      <c r="AA34" s="134">
        <v>46168</v>
      </c>
      <c r="AB34" s="134">
        <v>46169</v>
      </c>
      <c r="AC34" s="134">
        <v>46170</v>
      </c>
      <c r="AD34" s="134">
        <v>46171</v>
      </c>
      <c r="AE34" s="134">
        <v>46172</v>
      </c>
      <c r="AF34" s="134">
        <v>46173</v>
      </c>
      <c r="AG34" s="199"/>
    </row>
    <row r="35" spans="1:33">
      <c r="A35" s="83" t="s">
        <v>108</v>
      </c>
      <c r="B35" s="9">
        <v>3072</v>
      </c>
      <c r="C35" s="9">
        <v>1823</v>
      </c>
      <c r="D35" s="9">
        <v>2796</v>
      </c>
      <c r="E35" s="9">
        <v>1368</v>
      </c>
      <c r="F35" s="9">
        <v>3042</v>
      </c>
      <c r="G35" s="9">
        <v>2598</v>
      </c>
      <c r="H35" s="9">
        <v>2479</v>
      </c>
      <c r="I35" s="16">
        <v>2700</v>
      </c>
      <c r="J35" s="16">
        <v>2448</v>
      </c>
      <c r="K35" s="16">
        <v>2513</v>
      </c>
      <c r="L35" s="16">
        <v>927</v>
      </c>
      <c r="M35" s="16">
        <v>3043</v>
      </c>
      <c r="N35" s="9">
        <v>2637</v>
      </c>
      <c r="O35" s="9">
        <v>3026</v>
      </c>
      <c r="P35" s="9">
        <v>2228</v>
      </c>
      <c r="Q35" s="9">
        <v>986</v>
      </c>
      <c r="R35" s="9">
        <v>2251</v>
      </c>
      <c r="S35" s="9">
        <v>1202</v>
      </c>
      <c r="T35" s="9">
        <v>1551</v>
      </c>
      <c r="U35" s="9">
        <v>1428</v>
      </c>
      <c r="V35" s="9">
        <v>2607</v>
      </c>
      <c r="W35" s="9">
        <v>1337</v>
      </c>
      <c r="X35" s="9">
        <v>3431</v>
      </c>
      <c r="Y35" s="9">
        <v>1970</v>
      </c>
      <c r="Z35" s="9">
        <v>1476</v>
      </c>
      <c r="AA35" s="9"/>
      <c r="AB35" s="9">
        <v>3060</v>
      </c>
      <c r="AC35" s="9">
        <v>2387</v>
      </c>
      <c r="AD35" s="9">
        <v>344</v>
      </c>
      <c r="AE35" s="9">
        <v>661</v>
      </c>
      <c r="AF35" s="9">
        <v>1377</v>
      </c>
      <c r="AG35" s="9">
        <f t="shared" ref="AG35:AG37" si="11">SUM(B35:AF35)</f>
        <v>62768</v>
      </c>
    </row>
    <row r="36" spans="1:33">
      <c r="A36" s="83" t="s">
        <v>90</v>
      </c>
      <c r="B36" s="9">
        <v>2309</v>
      </c>
      <c r="C36" s="9">
        <v>998</v>
      </c>
      <c r="D36" s="9">
        <v>1423</v>
      </c>
      <c r="E36" s="9">
        <v>1484</v>
      </c>
      <c r="F36" s="9">
        <v>535</v>
      </c>
      <c r="G36" s="9">
        <v>817</v>
      </c>
      <c r="H36" s="9">
        <v>1677</v>
      </c>
      <c r="I36" s="16">
        <v>1475</v>
      </c>
      <c r="J36" s="16">
        <v>2772</v>
      </c>
      <c r="K36" s="16">
        <v>1785</v>
      </c>
      <c r="L36" s="16">
        <v>2244</v>
      </c>
      <c r="M36" s="16">
        <v>2374</v>
      </c>
      <c r="N36" s="9">
        <v>3679</v>
      </c>
      <c r="O36" s="9">
        <v>2158</v>
      </c>
      <c r="P36" s="9">
        <v>2722</v>
      </c>
      <c r="Q36" s="9">
        <v>2917</v>
      </c>
      <c r="R36" s="9">
        <v>2317</v>
      </c>
      <c r="S36" s="9">
        <v>1955</v>
      </c>
      <c r="T36" s="9">
        <v>2116</v>
      </c>
      <c r="U36" s="9">
        <v>3061</v>
      </c>
      <c r="V36" s="9">
        <v>3343</v>
      </c>
      <c r="W36" s="9">
        <v>2622</v>
      </c>
      <c r="X36" s="9">
        <v>3179</v>
      </c>
      <c r="Y36" s="9">
        <v>2047</v>
      </c>
      <c r="Z36" s="9">
        <v>2717</v>
      </c>
      <c r="AA36" s="9">
        <v>2514</v>
      </c>
      <c r="AB36" s="9">
        <v>3672</v>
      </c>
      <c r="AC36" s="9">
        <v>1023</v>
      </c>
      <c r="AD36" s="9">
        <v>2882</v>
      </c>
      <c r="AE36" s="9">
        <v>2765</v>
      </c>
      <c r="AF36" s="9">
        <v>2907</v>
      </c>
      <c r="AG36" s="9">
        <f t="shared" si="11"/>
        <v>70489</v>
      </c>
    </row>
    <row r="37" spans="1:33">
      <c r="A37" s="83" t="s">
        <v>462</v>
      </c>
      <c r="B37" s="9">
        <v>1964</v>
      </c>
      <c r="C37" s="9">
        <v>680</v>
      </c>
      <c r="D37" s="9">
        <v>1249</v>
      </c>
      <c r="E37" s="9"/>
      <c r="F37" s="9">
        <v>1540</v>
      </c>
      <c r="G37" s="9">
        <v>1068</v>
      </c>
      <c r="H37" s="9">
        <v>700</v>
      </c>
      <c r="I37" s="16">
        <v>1752</v>
      </c>
      <c r="J37" s="16">
        <v>765</v>
      </c>
      <c r="K37" s="16">
        <v>1504</v>
      </c>
      <c r="L37" s="16">
        <v>94</v>
      </c>
      <c r="M37" s="16">
        <v>794</v>
      </c>
      <c r="N37" s="9">
        <v>907</v>
      </c>
      <c r="O37" s="9">
        <v>1507</v>
      </c>
      <c r="P37" s="9">
        <v>865</v>
      </c>
      <c r="Q37" s="9">
        <v>1490</v>
      </c>
      <c r="R37" s="9">
        <v>583</v>
      </c>
      <c r="S37" s="9">
        <v>748</v>
      </c>
      <c r="T37" s="9">
        <v>1482</v>
      </c>
      <c r="U37" s="9">
        <v>766</v>
      </c>
      <c r="V37" s="9">
        <v>820</v>
      </c>
      <c r="W37" s="9">
        <v>944</v>
      </c>
      <c r="X37" s="9">
        <v>658</v>
      </c>
      <c r="Y37" s="9">
        <v>1934</v>
      </c>
      <c r="Z37" s="9">
        <v>264</v>
      </c>
      <c r="AA37" s="9">
        <v>2042</v>
      </c>
      <c r="AB37" s="9"/>
      <c r="AC37" s="9">
        <v>1053</v>
      </c>
      <c r="AD37" s="9">
        <v>769</v>
      </c>
      <c r="AE37" s="9">
        <v>1441</v>
      </c>
      <c r="AF37" s="9">
        <v>695</v>
      </c>
      <c r="AG37" s="9">
        <f t="shared" si="11"/>
        <v>31078</v>
      </c>
    </row>
    <row r="38" spans="1:33">
      <c r="A38" s="83" t="s">
        <v>96</v>
      </c>
      <c r="B38" s="9">
        <v>2004</v>
      </c>
      <c r="C38" s="9">
        <v>352</v>
      </c>
      <c r="D38" s="9">
        <v>1</v>
      </c>
      <c r="E38" s="9">
        <v>795</v>
      </c>
      <c r="F38" s="9">
        <v>1928</v>
      </c>
      <c r="G38" s="9">
        <v>1944</v>
      </c>
      <c r="H38" s="9">
        <v>1215</v>
      </c>
      <c r="I38" s="16">
        <v>3022</v>
      </c>
      <c r="J38" s="16">
        <v>3091</v>
      </c>
      <c r="K38" s="16">
        <v>2627</v>
      </c>
      <c r="L38" s="16">
        <v>1476</v>
      </c>
      <c r="M38" s="16">
        <v>3056</v>
      </c>
      <c r="N38" s="9">
        <v>2198</v>
      </c>
      <c r="O38" s="9">
        <v>2101</v>
      </c>
      <c r="P38" s="9">
        <v>2860</v>
      </c>
      <c r="Q38" s="9">
        <v>3374</v>
      </c>
      <c r="R38" s="9">
        <v>2399</v>
      </c>
      <c r="S38" s="9">
        <v>1625</v>
      </c>
      <c r="T38" s="9">
        <v>1464</v>
      </c>
      <c r="U38" s="9">
        <v>2138</v>
      </c>
      <c r="V38" s="9">
        <v>2409</v>
      </c>
      <c r="W38" s="9">
        <v>2719</v>
      </c>
      <c r="X38" s="9">
        <v>1740</v>
      </c>
      <c r="Y38" s="9">
        <v>2360</v>
      </c>
      <c r="Z38" s="9">
        <v>2162</v>
      </c>
      <c r="AA38" s="9">
        <v>1773</v>
      </c>
      <c r="AB38" s="9">
        <v>1870</v>
      </c>
      <c r="AC38" s="9">
        <v>2192</v>
      </c>
      <c r="AD38" s="9">
        <v>2845</v>
      </c>
      <c r="AE38" s="9">
        <v>3934</v>
      </c>
      <c r="AF38" s="9">
        <v>2707</v>
      </c>
      <c r="AG38" s="9">
        <f>SUM(B38:AE38)</f>
        <v>63674</v>
      </c>
    </row>
    <row r="39" spans="1:33">
      <c r="A39" s="83" t="s">
        <v>102</v>
      </c>
      <c r="B39" s="9">
        <v>368</v>
      </c>
      <c r="C39" s="9">
        <v>83</v>
      </c>
      <c r="D39" s="9">
        <v>253</v>
      </c>
      <c r="E39" s="9">
        <v>383</v>
      </c>
      <c r="F39" s="9">
        <v>492</v>
      </c>
      <c r="G39" s="9">
        <v>362</v>
      </c>
      <c r="H39" s="9">
        <v>238</v>
      </c>
      <c r="I39" s="16">
        <v>241</v>
      </c>
      <c r="J39" s="16">
        <v>452</v>
      </c>
      <c r="K39" s="9">
        <v>667</v>
      </c>
      <c r="L39" s="16">
        <v>120</v>
      </c>
      <c r="M39" s="16">
        <v>55</v>
      </c>
      <c r="N39" s="9">
        <v>379</v>
      </c>
      <c r="O39" s="9">
        <v>231</v>
      </c>
      <c r="P39" s="9">
        <v>387</v>
      </c>
      <c r="Q39" s="9">
        <v>362</v>
      </c>
      <c r="R39" s="9">
        <v>231</v>
      </c>
      <c r="S39" s="9">
        <v>184</v>
      </c>
      <c r="T39" s="9">
        <v>886</v>
      </c>
      <c r="U39" s="9" t="s">
        <v>0</v>
      </c>
      <c r="V39" s="9">
        <v>1031</v>
      </c>
      <c r="W39" s="9" t="s">
        <v>0</v>
      </c>
      <c r="X39" s="9">
        <v>929</v>
      </c>
      <c r="Y39" s="9" t="s">
        <v>0</v>
      </c>
      <c r="Z39" s="9"/>
      <c r="AA39" s="9"/>
      <c r="AB39" s="9">
        <v>688</v>
      </c>
      <c r="AC39" s="9">
        <v>382</v>
      </c>
      <c r="AD39" s="9">
        <v>154</v>
      </c>
      <c r="AE39" s="9">
        <v>269</v>
      </c>
      <c r="AF39" s="9" t="s">
        <v>0</v>
      </c>
      <c r="AG39" s="9">
        <f t="shared" ref="AG39:AG45" si="12">SUM(B39:AF39)</f>
        <v>9827</v>
      </c>
    </row>
    <row r="40" spans="1:33">
      <c r="A40" s="83" t="s">
        <v>459</v>
      </c>
      <c r="B40" s="9">
        <v>184</v>
      </c>
      <c r="C40" s="9">
        <v>373</v>
      </c>
      <c r="D40" s="9">
        <v>191</v>
      </c>
      <c r="E40" s="9">
        <v>24</v>
      </c>
      <c r="F40" s="9">
        <v>172</v>
      </c>
      <c r="G40" s="9">
        <v>164</v>
      </c>
      <c r="H40" s="9">
        <v>290</v>
      </c>
      <c r="I40" s="16">
        <v>165</v>
      </c>
      <c r="J40" s="16">
        <v>155</v>
      </c>
      <c r="K40" s="9" t="s">
        <v>0</v>
      </c>
      <c r="L40" s="16">
        <v>143</v>
      </c>
      <c r="M40" s="16">
        <v>336</v>
      </c>
      <c r="N40" s="9">
        <v>67</v>
      </c>
      <c r="O40" s="9">
        <v>224</v>
      </c>
      <c r="P40" s="9">
        <v>97</v>
      </c>
      <c r="Q40" s="9">
        <v>142</v>
      </c>
      <c r="R40" s="9">
        <v>126</v>
      </c>
      <c r="S40" s="9">
        <v>48</v>
      </c>
      <c r="T40" s="9">
        <v>42</v>
      </c>
      <c r="U40" s="9">
        <v>89</v>
      </c>
      <c r="V40" s="9">
        <v>165</v>
      </c>
      <c r="W40" s="9">
        <v>211</v>
      </c>
      <c r="X40" s="9">
        <v>157</v>
      </c>
      <c r="Y40" s="9">
        <v>402</v>
      </c>
      <c r="Z40" s="9">
        <v>62</v>
      </c>
      <c r="AA40" s="9">
        <v>78</v>
      </c>
      <c r="AB40" s="9">
        <v>407</v>
      </c>
      <c r="AC40" s="9">
        <v>139</v>
      </c>
      <c r="AD40" s="9">
        <v>161</v>
      </c>
      <c r="AE40" s="9">
        <v>251</v>
      </c>
      <c r="AF40" s="9">
        <v>41</v>
      </c>
      <c r="AG40" s="9">
        <f t="shared" si="12"/>
        <v>5106</v>
      </c>
    </row>
    <row r="41" spans="1:33">
      <c r="A41" s="83" t="s">
        <v>121</v>
      </c>
      <c r="B41" s="9">
        <v>226</v>
      </c>
      <c r="C41" s="9">
        <v>116</v>
      </c>
      <c r="D41" s="9">
        <v>121</v>
      </c>
      <c r="E41" s="9">
        <v>24</v>
      </c>
      <c r="F41" s="9">
        <v>31</v>
      </c>
      <c r="G41" s="9">
        <v>26</v>
      </c>
      <c r="H41" s="9">
        <v>109</v>
      </c>
      <c r="I41" s="16">
        <v>31</v>
      </c>
      <c r="J41" s="16">
        <v>76</v>
      </c>
      <c r="K41" s="9">
        <v>95</v>
      </c>
      <c r="L41" s="16">
        <v>16</v>
      </c>
      <c r="M41" s="16">
        <v>87</v>
      </c>
      <c r="N41" s="9">
        <v>29</v>
      </c>
      <c r="O41" s="9">
        <v>95</v>
      </c>
      <c r="P41" s="9" t="s">
        <v>0</v>
      </c>
      <c r="Q41" s="9">
        <v>116</v>
      </c>
      <c r="R41" s="9">
        <v>73</v>
      </c>
      <c r="S41" s="9">
        <v>91</v>
      </c>
      <c r="T41" s="9" t="s">
        <v>0</v>
      </c>
      <c r="U41" s="9">
        <v>115</v>
      </c>
      <c r="V41" s="9">
        <v>88</v>
      </c>
      <c r="W41" s="9" t="s">
        <v>0</v>
      </c>
      <c r="X41" s="9">
        <v>225</v>
      </c>
      <c r="Y41" s="9">
        <v>76</v>
      </c>
      <c r="Z41" s="9">
        <v>36</v>
      </c>
      <c r="AA41" s="9">
        <v>111</v>
      </c>
      <c r="AB41" s="9">
        <v>9</v>
      </c>
      <c r="AC41" s="9">
        <v>5</v>
      </c>
      <c r="AD41" s="9"/>
      <c r="AE41" s="9">
        <v>203</v>
      </c>
      <c r="AF41" s="9">
        <v>18</v>
      </c>
      <c r="AG41" s="9">
        <f t="shared" si="12"/>
        <v>2248</v>
      </c>
    </row>
    <row r="42" spans="1:33">
      <c r="A42" s="83" t="s">
        <v>647</v>
      </c>
      <c r="B42" s="9">
        <v>220</v>
      </c>
      <c r="C42" s="9"/>
      <c r="D42" s="9">
        <v>60</v>
      </c>
      <c r="E42" s="9">
        <v>56</v>
      </c>
      <c r="F42" s="9">
        <v>40</v>
      </c>
      <c r="G42" s="9">
        <v>207</v>
      </c>
      <c r="H42" s="9">
        <v>72</v>
      </c>
      <c r="I42" s="16">
        <v>84</v>
      </c>
      <c r="J42" s="16">
        <v>23</v>
      </c>
      <c r="K42" s="9">
        <v>6</v>
      </c>
      <c r="L42" s="9"/>
      <c r="M42" s="16">
        <v>168</v>
      </c>
      <c r="N42" s="9">
        <v>29</v>
      </c>
      <c r="O42" s="9">
        <v>93</v>
      </c>
      <c r="P42" s="9">
        <v>53</v>
      </c>
      <c r="Q42" s="9">
        <v>37</v>
      </c>
      <c r="R42" s="9">
        <v>56</v>
      </c>
      <c r="S42" s="9" t="s">
        <v>0</v>
      </c>
      <c r="T42" s="9">
        <v>201</v>
      </c>
      <c r="U42" s="9">
        <v>53</v>
      </c>
      <c r="V42" s="9">
        <v>87</v>
      </c>
      <c r="W42" s="9">
        <v>156</v>
      </c>
      <c r="X42" s="9">
        <v>81</v>
      </c>
      <c r="Y42" s="9">
        <v>8</v>
      </c>
      <c r="Z42" s="9"/>
      <c r="AA42" s="9">
        <v>28</v>
      </c>
      <c r="AB42" s="9">
        <v>120</v>
      </c>
      <c r="AC42" s="9">
        <v>87</v>
      </c>
      <c r="AD42" s="9">
        <v>88</v>
      </c>
      <c r="AE42" s="9">
        <v>35</v>
      </c>
      <c r="AF42" s="9">
        <v>18</v>
      </c>
      <c r="AG42" s="9">
        <f t="shared" si="12"/>
        <v>2166</v>
      </c>
    </row>
    <row r="43" spans="1:33">
      <c r="A43" s="83" t="s">
        <v>648</v>
      </c>
      <c r="B43" s="9">
        <v>120</v>
      </c>
      <c r="C43" s="9">
        <v>47</v>
      </c>
      <c r="D43" s="9">
        <v>77</v>
      </c>
      <c r="E43" s="9"/>
      <c r="F43" s="9">
        <v>43</v>
      </c>
      <c r="G43" s="9">
        <v>155</v>
      </c>
      <c r="H43" s="9">
        <v>107</v>
      </c>
      <c r="I43" s="16">
        <v>90</v>
      </c>
      <c r="J43" s="16">
        <v>44</v>
      </c>
      <c r="K43" s="16">
        <v>48</v>
      </c>
      <c r="L43" s="16">
        <v>40</v>
      </c>
      <c r="M43" s="16">
        <v>19</v>
      </c>
      <c r="N43" s="9">
        <v>53</v>
      </c>
      <c r="O43" s="9">
        <v>51</v>
      </c>
      <c r="P43" s="9">
        <v>83</v>
      </c>
      <c r="Q43" s="9">
        <v>56</v>
      </c>
      <c r="R43" s="9">
        <v>145</v>
      </c>
      <c r="S43" s="9">
        <v>6</v>
      </c>
      <c r="T43" s="9">
        <v>75</v>
      </c>
      <c r="U43" s="9">
        <v>151</v>
      </c>
      <c r="V43" s="9">
        <v>104</v>
      </c>
      <c r="W43" s="9">
        <v>126</v>
      </c>
      <c r="X43" s="9">
        <v>84</v>
      </c>
      <c r="Y43" s="9">
        <v>54</v>
      </c>
      <c r="Z43" s="9"/>
      <c r="AA43" s="9">
        <v>64</v>
      </c>
      <c r="AB43" s="9">
        <v>116</v>
      </c>
      <c r="AC43" s="9">
        <v>83</v>
      </c>
      <c r="AD43" s="9">
        <v>98</v>
      </c>
      <c r="AE43" s="9">
        <v>122</v>
      </c>
      <c r="AF43" s="9">
        <v>25</v>
      </c>
      <c r="AG43" s="9">
        <f t="shared" si="12"/>
        <v>2286</v>
      </c>
    </row>
    <row r="44" spans="1:33">
      <c r="A44" s="83" t="s">
        <v>115</v>
      </c>
      <c r="B44" s="9">
        <v>126</v>
      </c>
      <c r="C44" s="9">
        <v>1</v>
      </c>
      <c r="D44" s="9">
        <v>116</v>
      </c>
      <c r="E44" s="9"/>
      <c r="F44" s="9">
        <v>11</v>
      </c>
      <c r="G44" s="9">
        <v>51</v>
      </c>
      <c r="H44" s="9">
        <v>34</v>
      </c>
      <c r="I44" s="16">
        <v>22</v>
      </c>
      <c r="J44" s="16">
        <v>20</v>
      </c>
      <c r="K44" s="16">
        <v>24</v>
      </c>
      <c r="L44" s="16">
        <v>4</v>
      </c>
      <c r="M44" s="16">
        <v>16</v>
      </c>
      <c r="N44" s="9">
        <v>14</v>
      </c>
      <c r="O44" s="9">
        <v>36</v>
      </c>
      <c r="P44" s="9">
        <v>26</v>
      </c>
      <c r="Q44" s="9">
        <v>79</v>
      </c>
      <c r="R44" s="9">
        <v>25</v>
      </c>
      <c r="S44" s="9">
        <v>5</v>
      </c>
      <c r="T44" s="9">
        <v>5</v>
      </c>
      <c r="U44" s="9">
        <v>15</v>
      </c>
      <c r="V44" s="9">
        <v>14</v>
      </c>
      <c r="W44" s="9">
        <v>119</v>
      </c>
      <c r="X44" s="9">
        <v>18</v>
      </c>
      <c r="Y44" s="9">
        <v>7</v>
      </c>
      <c r="Z44" s="9">
        <v>8</v>
      </c>
      <c r="AA44" s="9"/>
      <c r="AB44" s="9"/>
      <c r="AC44" s="9">
        <v>98</v>
      </c>
      <c r="AD44" s="9">
        <v>1</v>
      </c>
      <c r="AE44" s="9">
        <v>34</v>
      </c>
      <c r="AF44" s="9">
        <v>7</v>
      </c>
      <c r="AG44" s="9">
        <f t="shared" si="12"/>
        <v>936</v>
      </c>
    </row>
    <row r="45" spans="1:33">
      <c r="A45" s="83" t="s">
        <v>112</v>
      </c>
      <c r="B45" s="9"/>
      <c r="C45" s="9">
        <v>38</v>
      </c>
      <c r="D45" s="9">
        <v>66</v>
      </c>
      <c r="E45" s="9"/>
      <c r="F45" s="9">
        <v>19</v>
      </c>
      <c r="G45" s="9">
        <v>78</v>
      </c>
      <c r="H45" s="9">
        <v>3</v>
      </c>
      <c r="I45" s="9" t="s">
        <v>0</v>
      </c>
      <c r="J45" s="16">
        <v>54</v>
      </c>
      <c r="K45" s="9"/>
      <c r="L45" s="9"/>
      <c r="M45" s="16">
        <v>89</v>
      </c>
      <c r="N45" s="9">
        <v>4</v>
      </c>
      <c r="O45" s="9">
        <v>6</v>
      </c>
      <c r="P45" s="9">
        <v>33</v>
      </c>
      <c r="Q45" s="9">
        <v>56</v>
      </c>
      <c r="R45" s="9">
        <v>126</v>
      </c>
      <c r="S45" s="9">
        <v>29</v>
      </c>
      <c r="T45" s="9">
        <v>9</v>
      </c>
      <c r="U45" s="9">
        <v>8</v>
      </c>
      <c r="V45" s="9">
        <v>51</v>
      </c>
      <c r="W45" s="9">
        <v>39</v>
      </c>
      <c r="X45" s="9">
        <v>29</v>
      </c>
      <c r="Y45" s="9">
        <v>32</v>
      </c>
      <c r="Z45" s="9"/>
      <c r="AA45" s="9">
        <v>26</v>
      </c>
      <c r="AB45" s="9"/>
      <c r="AC45" s="9"/>
      <c r="AD45" s="9">
        <v>25</v>
      </c>
      <c r="AE45" s="9">
        <v>19</v>
      </c>
      <c r="AF45" s="9">
        <v>29</v>
      </c>
      <c r="AG45" s="9">
        <f t="shared" si="12"/>
        <v>868</v>
      </c>
    </row>
    <row r="46" spans="1:33">
      <c r="A46" s="83" t="s">
        <v>107</v>
      </c>
      <c r="B46" s="9">
        <v>34</v>
      </c>
      <c r="C46" s="9">
        <v>11</v>
      </c>
      <c r="D46" s="9">
        <v>17</v>
      </c>
      <c r="E46" s="9"/>
      <c r="F46" s="9">
        <v>26</v>
      </c>
      <c r="G46" s="9">
        <v>49</v>
      </c>
      <c r="H46" s="9">
        <v>29</v>
      </c>
      <c r="I46" s="16">
        <v>53</v>
      </c>
      <c r="J46" s="16">
        <v>12</v>
      </c>
      <c r="K46" s="16">
        <v>21</v>
      </c>
      <c r="L46" s="9"/>
      <c r="M46" s="16">
        <v>12</v>
      </c>
      <c r="N46" s="9">
        <v>22</v>
      </c>
      <c r="O46" s="9">
        <v>30</v>
      </c>
      <c r="P46" s="9">
        <v>6</v>
      </c>
      <c r="Q46" s="9">
        <v>43</v>
      </c>
      <c r="R46" s="9">
        <v>13</v>
      </c>
      <c r="S46" s="9">
        <v>4</v>
      </c>
      <c r="T46" s="9">
        <v>17</v>
      </c>
      <c r="U46" s="9">
        <v>29</v>
      </c>
      <c r="V46" s="9">
        <v>3</v>
      </c>
      <c r="W46" s="9">
        <v>47</v>
      </c>
      <c r="X46" s="9">
        <v>24</v>
      </c>
      <c r="Y46" s="9">
        <v>7</v>
      </c>
      <c r="Z46" s="9"/>
      <c r="AA46" s="9"/>
      <c r="AB46" s="9"/>
      <c r="AC46" s="9"/>
      <c r="AD46" s="9">
        <v>3</v>
      </c>
      <c r="AE46" s="9">
        <v>12</v>
      </c>
      <c r="AF46" s="9"/>
      <c r="AG46" s="9">
        <f t="shared" ref="AG46:AG49" si="13">SUM(B46:AE46)</f>
        <v>524</v>
      </c>
    </row>
    <row r="47" spans="1:33">
      <c r="A47" s="83" t="s">
        <v>463</v>
      </c>
      <c r="B47" s="9">
        <v>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 t="s">
        <v>0</v>
      </c>
      <c r="P47" s="9" t="s">
        <v>0</v>
      </c>
      <c r="Q47" s="9" t="s">
        <v>0</v>
      </c>
      <c r="R47" s="9" t="s">
        <v>0</v>
      </c>
      <c r="S47" s="9" t="s">
        <v>0</v>
      </c>
      <c r="T47" s="9" t="s">
        <v>0</v>
      </c>
      <c r="U47" s="9" t="s">
        <v>0</v>
      </c>
      <c r="V47" s="9" t="s">
        <v>0</v>
      </c>
      <c r="W47" s="9" t="s">
        <v>0</v>
      </c>
      <c r="X47" s="9" t="s">
        <v>0</v>
      </c>
      <c r="Y47" s="9" t="s">
        <v>0</v>
      </c>
      <c r="Z47" s="9"/>
      <c r="AA47" s="9"/>
      <c r="AB47" s="9"/>
      <c r="AC47" s="9"/>
      <c r="AD47" s="9"/>
      <c r="AE47" s="9"/>
      <c r="AF47" s="9"/>
      <c r="AG47" s="9">
        <f t="shared" si="13"/>
        <v>6</v>
      </c>
    </row>
    <row r="48" spans="1:33">
      <c r="A48" s="83" t="s">
        <v>454</v>
      </c>
      <c r="B48" s="9">
        <v>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 t="s">
        <v>0</v>
      </c>
      <c r="P48" s="9" t="s">
        <v>0</v>
      </c>
      <c r="Q48" s="9" t="s">
        <v>0</v>
      </c>
      <c r="R48" s="9" t="s">
        <v>0</v>
      </c>
      <c r="S48" s="9" t="s">
        <v>0</v>
      </c>
      <c r="T48" s="9" t="s">
        <v>0</v>
      </c>
      <c r="U48" s="9" t="s">
        <v>0</v>
      </c>
      <c r="V48" s="9" t="s">
        <v>0</v>
      </c>
      <c r="W48" s="9" t="s">
        <v>0</v>
      </c>
      <c r="X48" s="9" t="s">
        <v>0</v>
      </c>
      <c r="Y48" s="9" t="s">
        <v>0</v>
      </c>
      <c r="Z48" s="9"/>
      <c r="AA48" s="9"/>
      <c r="AB48" s="9"/>
      <c r="AC48" s="9"/>
      <c r="AD48" s="9"/>
      <c r="AE48" s="9"/>
      <c r="AF48" s="9"/>
      <c r="AG48" s="9">
        <f t="shared" si="13"/>
        <v>6</v>
      </c>
    </row>
    <row r="49" spans="1:33">
      <c r="A49" s="83" t="s">
        <v>654</v>
      </c>
      <c r="B49" s="9">
        <v>4</v>
      </c>
      <c r="C49" s="9"/>
      <c r="D49" s="9"/>
      <c r="E49" s="9"/>
      <c r="F49" s="9"/>
      <c r="G49" s="9"/>
      <c r="H49" s="9"/>
      <c r="I49" s="9">
        <v>2</v>
      </c>
      <c r="J49" s="9"/>
      <c r="K49" s="9"/>
      <c r="L49" s="9"/>
      <c r="M49" s="9"/>
      <c r="N49" s="9"/>
      <c r="O49" s="9" t="s">
        <v>0</v>
      </c>
      <c r="P49" s="9" t="s">
        <v>0</v>
      </c>
      <c r="Q49" s="9" t="s">
        <v>0</v>
      </c>
      <c r="R49" s="9" t="s">
        <v>0</v>
      </c>
      <c r="S49" s="9" t="s">
        <v>0</v>
      </c>
      <c r="T49" s="9" t="s">
        <v>0</v>
      </c>
      <c r="U49" s="9" t="s">
        <v>0</v>
      </c>
      <c r="V49" s="9" t="s">
        <v>0</v>
      </c>
      <c r="W49" s="9" t="s">
        <v>0</v>
      </c>
      <c r="X49" s="9" t="s">
        <v>0</v>
      </c>
      <c r="Y49" s="9" t="s">
        <v>0</v>
      </c>
      <c r="Z49" s="9"/>
      <c r="AA49" s="9"/>
      <c r="AB49" s="9"/>
      <c r="AC49" s="9"/>
      <c r="AD49" s="9"/>
      <c r="AE49" s="9"/>
      <c r="AF49" s="9"/>
      <c r="AG49" s="9">
        <f t="shared" si="13"/>
        <v>6</v>
      </c>
    </row>
    <row r="50" spans="1:33">
      <c r="A50" s="83" t="s">
        <v>649</v>
      </c>
      <c r="B50" s="9">
        <v>3</v>
      </c>
      <c r="C50" s="9"/>
      <c r="D50" s="9"/>
      <c r="E50" s="9"/>
      <c r="F50" s="9">
        <v>11</v>
      </c>
      <c r="G50" s="9">
        <v>1</v>
      </c>
      <c r="H50" s="9">
        <v>12</v>
      </c>
      <c r="I50" s="9"/>
      <c r="J50" s="9"/>
      <c r="K50" s="16">
        <v>8</v>
      </c>
      <c r="L50" s="9"/>
      <c r="M50" s="9"/>
      <c r="N50" s="9">
        <v>5</v>
      </c>
      <c r="O50" s="9" t="s">
        <v>0</v>
      </c>
      <c r="P50" s="9" t="s">
        <v>0</v>
      </c>
      <c r="Q50" s="9">
        <v>14</v>
      </c>
      <c r="R50" s="9" t="s">
        <v>0</v>
      </c>
      <c r="S50" s="9" t="s">
        <v>0</v>
      </c>
      <c r="T50" s="9" t="s">
        <v>0</v>
      </c>
      <c r="U50" s="9" t="s">
        <v>0</v>
      </c>
      <c r="V50" s="9" t="s">
        <v>0</v>
      </c>
      <c r="W50" s="9" t="s">
        <v>0</v>
      </c>
      <c r="X50" s="9">
        <v>5</v>
      </c>
      <c r="Y50" s="9" t="s">
        <v>0</v>
      </c>
      <c r="Z50" s="9"/>
      <c r="AA50" s="9"/>
      <c r="AB50" s="9">
        <v>2</v>
      </c>
      <c r="AC50" s="9">
        <v>2</v>
      </c>
      <c r="AD50" s="9"/>
      <c r="AE50" s="9">
        <v>4</v>
      </c>
      <c r="AF50" s="9">
        <v>24</v>
      </c>
      <c r="AG50" s="9">
        <f>SUM(B50:AF50)</f>
        <v>91</v>
      </c>
    </row>
    <row r="51" spans="1:33">
      <c r="A51" s="83" t="s">
        <v>513</v>
      </c>
      <c r="B51" s="9">
        <v>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 t="s">
        <v>0</v>
      </c>
      <c r="P51" s="9" t="s">
        <v>0</v>
      </c>
      <c r="Q51" s="9" t="s">
        <v>0</v>
      </c>
      <c r="R51" s="9" t="s">
        <v>0</v>
      </c>
      <c r="S51" s="9" t="s">
        <v>0</v>
      </c>
      <c r="T51" s="9" t="s">
        <v>0</v>
      </c>
      <c r="U51" s="9" t="s">
        <v>0</v>
      </c>
      <c r="V51" s="9" t="s">
        <v>0</v>
      </c>
      <c r="W51" s="9" t="s">
        <v>0</v>
      </c>
      <c r="X51" s="9" t="s">
        <v>0</v>
      </c>
      <c r="Y51" s="9" t="s">
        <v>0</v>
      </c>
      <c r="Z51" s="9"/>
      <c r="AA51" s="9"/>
      <c r="AB51" s="9"/>
      <c r="AC51" s="9"/>
      <c r="AD51" s="9"/>
      <c r="AE51" s="9"/>
      <c r="AF51" s="9"/>
      <c r="AG51" s="9">
        <f t="shared" ref="AG51:AG65" si="14">SUM(B51:AE51)</f>
        <v>2</v>
      </c>
    </row>
    <row r="52" spans="1:33">
      <c r="A52" s="83" t="s">
        <v>98</v>
      </c>
      <c r="B52" s="9">
        <v>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 t="s">
        <v>0</v>
      </c>
      <c r="P52" s="9" t="s">
        <v>0</v>
      </c>
      <c r="Q52" s="9" t="s">
        <v>0</v>
      </c>
      <c r="R52" s="9" t="s">
        <v>0</v>
      </c>
      <c r="S52" s="9" t="s">
        <v>0</v>
      </c>
      <c r="T52" s="9" t="s">
        <v>0</v>
      </c>
      <c r="U52" s="9" t="s">
        <v>0</v>
      </c>
      <c r="V52" s="9" t="s">
        <v>0</v>
      </c>
      <c r="W52" s="9" t="s">
        <v>0</v>
      </c>
      <c r="X52" s="9" t="s">
        <v>0</v>
      </c>
      <c r="Y52" s="9" t="s">
        <v>0</v>
      </c>
      <c r="Z52" s="9"/>
      <c r="AA52" s="9"/>
      <c r="AB52" s="9"/>
      <c r="AC52" s="9"/>
      <c r="AD52" s="9"/>
      <c r="AE52" s="9"/>
      <c r="AF52" s="9"/>
      <c r="AG52" s="9">
        <f t="shared" si="14"/>
        <v>1</v>
      </c>
    </row>
    <row r="53" spans="1:33">
      <c r="A53" s="83" t="s">
        <v>650</v>
      </c>
      <c r="B53" s="9">
        <v>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 t="s">
        <v>0</v>
      </c>
      <c r="P53" s="9" t="s">
        <v>0</v>
      </c>
      <c r="Q53" s="9" t="s">
        <v>0</v>
      </c>
      <c r="R53" s="9" t="s">
        <v>0</v>
      </c>
      <c r="S53" s="9" t="s">
        <v>0</v>
      </c>
      <c r="T53" s="9" t="s">
        <v>0</v>
      </c>
      <c r="U53" s="9" t="s">
        <v>0</v>
      </c>
      <c r="V53" s="9" t="s">
        <v>0</v>
      </c>
      <c r="W53" s="9" t="s">
        <v>0</v>
      </c>
      <c r="X53" s="9" t="s">
        <v>0</v>
      </c>
      <c r="Y53" s="9" t="s">
        <v>0</v>
      </c>
      <c r="Z53" s="9"/>
      <c r="AA53" s="9"/>
      <c r="AB53" s="9"/>
      <c r="AC53" s="9"/>
      <c r="AD53" s="9"/>
      <c r="AE53" s="9"/>
      <c r="AF53" s="9"/>
      <c r="AG53" s="9">
        <f t="shared" si="14"/>
        <v>1</v>
      </c>
    </row>
    <row r="54" spans="1:33">
      <c r="A54" s="83" t="s">
        <v>91</v>
      </c>
      <c r="B54" s="9"/>
      <c r="C54" s="9"/>
      <c r="D54" s="9"/>
      <c r="E54" s="9"/>
      <c r="F54" s="9"/>
      <c r="G54" s="9">
        <v>1</v>
      </c>
      <c r="H54" s="9"/>
      <c r="I54" s="9"/>
      <c r="J54" s="9"/>
      <c r="K54" s="9">
        <v>1</v>
      </c>
      <c r="L54" s="9"/>
      <c r="M54" s="9"/>
      <c r="N54" s="9"/>
      <c r="O54" s="9" t="s">
        <v>0</v>
      </c>
      <c r="P54" s="9" t="s">
        <v>0</v>
      </c>
      <c r="Q54" s="9" t="s">
        <v>0</v>
      </c>
      <c r="R54" s="9" t="s">
        <v>0</v>
      </c>
      <c r="S54" s="9" t="s">
        <v>0</v>
      </c>
      <c r="T54" s="9" t="s">
        <v>0</v>
      </c>
      <c r="U54" s="9" t="s">
        <v>0</v>
      </c>
      <c r="V54" s="9" t="s">
        <v>0</v>
      </c>
      <c r="W54" s="9" t="s">
        <v>0</v>
      </c>
      <c r="X54" s="9" t="s">
        <v>0</v>
      </c>
      <c r="Y54" s="9" t="s">
        <v>0</v>
      </c>
      <c r="Z54" s="9"/>
      <c r="AA54" s="9"/>
      <c r="AB54" s="9"/>
      <c r="AC54" s="9"/>
      <c r="AD54" s="9"/>
      <c r="AE54" s="9"/>
      <c r="AF54" s="9"/>
      <c r="AG54" s="9">
        <f t="shared" si="14"/>
        <v>2</v>
      </c>
    </row>
    <row r="55" spans="1:33">
      <c r="A55" s="83" t="s">
        <v>538</v>
      </c>
      <c r="B55" s="9"/>
      <c r="C55" s="9"/>
      <c r="D55" s="9"/>
      <c r="E55" s="9"/>
      <c r="F55" s="9"/>
      <c r="G55" s="9"/>
      <c r="H55" s="9"/>
      <c r="I55" s="9">
        <v>11</v>
      </c>
      <c r="J55" s="9"/>
      <c r="K55" s="9"/>
      <c r="L55" s="16">
        <v>1</v>
      </c>
      <c r="M55" s="9"/>
      <c r="N55" s="9"/>
      <c r="O55" s="9" t="s">
        <v>0</v>
      </c>
      <c r="P55" s="9" t="s">
        <v>0</v>
      </c>
      <c r="Q55" s="9" t="s">
        <v>0</v>
      </c>
      <c r="R55" s="9" t="s">
        <v>0</v>
      </c>
      <c r="S55" s="9" t="s">
        <v>0</v>
      </c>
      <c r="T55" s="9" t="s">
        <v>0</v>
      </c>
      <c r="U55" s="9" t="s">
        <v>0</v>
      </c>
      <c r="V55" s="9" t="s">
        <v>0</v>
      </c>
      <c r="W55" s="9" t="s">
        <v>0</v>
      </c>
      <c r="X55" s="9" t="s">
        <v>0</v>
      </c>
      <c r="Y55" s="9" t="s">
        <v>0</v>
      </c>
      <c r="Z55" s="9"/>
      <c r="AA55" s="9"/>
      <c r="AB55" s="9"/>
      <c r="AC55" s="9"/>
      <c r="AD55" s="9"/>
      <c r="AE55" s="9"/>
      <c r="AF55" s="9"/>
      <c r="AG55" s="9">
        <f t="shared" si="14"/>
        <v>12</v>
      </c>
    </row>
    <row r="56" spans="1:33">
      <c r="A56" s="83" t="s">
        <v>471</v>
      </c>
      <c r="B56" s="9"/>
      <c r="C56" s="9"/>
      <c r="D56" s="9"/>
      <c r="E56" s="9"/>
      <c r="F56" s="9"/>
      <c r="G56" s="9"/>
      <c r="H56" s="9"/>
      <c r="I56" s="9">
        <v>1</v>
      </c>
      <c r="J56" s="9"/>
      <c r="K56" s="9"/>
      <c r="L56" s="9"/>
      <c r="M56" s="9"/>
      <c r="N56" s="9">
        <v>1</v>
      </c>
      <c r="O56" s="9" t="s">
        <v>0</v>
      </c>
      <c r="P56" s="9" t="s">
        <v>0</v>
      </c>
      <c r="Q56" s="9" t="s">
        <v>0</v>
      </c>
      <c r="R56" s="9" t="s">
        <v>0</v>
      </c>
      <c r="S56" s="9" t="s">
        <v>0</v>
      </c>
      <c r="T56" s="9" t="s">
        <v>0</v>
      </c>
      <c r="U56" s="9" t="s">
        <v>0</v>
      </c>
      <c r="V56" s="9" t="s">
        <v>0</v>
      </c>
      <c r="W56" s="9" t="s">
        <v>0</v>
      </c>
      <c r="X56" s="9" t="s">
        <v>0</v>
      </c>
      <c r="Y56" s="9" t="s">
        <v>0</v>
      </c>
      <c r="Z56" s="9"/>
      <c r="AA56" s="9"/>
      <c r="AB56" s="9"/>
      <c r="AC56" s="9"/>
      <c r="AD56" s="9"/>
      <c r="AE56" s="9"/>
      <c r="AF56" s="9"/>
      <c r="AG56" s="9">
        <f t="shared" si="14"/>
        <v>2</v>
      </c>
    </row>
    <row r="57" spans="1:33">
      <c r="A57" s="83" t="s">
        <v>103</v>
      </c>
      <c r="B57" s="9"/>
      <c r="C57" s="9"/>
      <c r="D57" s="9"/>
      <c r="E57" s="9"/>
      <c r="F57" s="9"/>
      <c r="G57" s="9"/>
      <c r="H57" s="9">
        <v>6</v>
      </c>
      <c r="I57" s="9"/>
      <c r="J57" s="9"/>
      <c r="K57" s="9"/>
      <c r="L57" s="9"/>
      <c r="M57" s="9">
        <v>1</v>
      </c>
      <c r="N57" s="9"/>
      <c r="O57" s="9" t="s">
        <v>0</v>
      </c>
      <c r="P57" s="9" t="s">
        <v>0</v>
      </c>
      <c r="Q57" s="9" t="s">
        <v>0</v>
      </c>
      <c r="R57" s="9" t="s">
        <v>0</v>
      </c>
      <c r="S57" s="9" t="s">
        <v>0</v>
      </c>
      <c r="T57" s="9" t="s">
        <v>0</v>
      </c>
      <c r="U57" s="9" t="s">
        <v>0</v>
      </c>
      <c r="V57" s="9" t="s">
        <v>0</v>
      </c>
      <c r="W57" s="9" t="s">
        <v>0</v>
      </c>
      <c r="X57" s="9" t="s">
        <v>0</v>
      </c>
      <c r="Y57" s="9" t="s">
        <v>0</v>
      </c>
      <c r="Z57" s="9"/>
      <c r="AA57" s="9"/>
      <c r="AB57" s="9"/>
      <c r="AC57" s="9"/>
      <c r="AD57" s="9"/>
      <c r="AE57" s="9">
        <v>1</v>
      </c>
      <c r="AF57" s="9"/>
      <c r="AG57" s="9">
        <f t="shared" si="14"/>
        <v>8</v>
      </c>
    </row>
    <row r="58" spans="1:33">
      <c r="A58" s="83" t="s">
        <v>651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>
        <v>5</v>
      </c>
      <c r="N58" s="9"/>
      <c r="O58" s="9" t="s">
        <v>0</v>
      </c>
      <c r="P58" s="9" t="s">
        <v>0</v>
      </c>
      <c r="Q58" s="9" t="s">
        <v>0</v>
      </c>
      <c r="R58" s="9" t="s">
        <v>0</v>
      </c>
      <c r="S58" s="9" t="s">
        <v>0</v>
      </c>
      <c r="T58" s="9" t="s">
        <v>0</v>
      </c>
      <c r="U58" s="9" t="s">
        <v>0</v>
      </c>
      <c r="V58" s="9" t="s">
        <v>0</v>
      </c>
      <c r="W58" s="9" t="s">
        <v>0</v>
      </c>
      <c r="X58" s="9" t="s">
        <v>0</v>
      </c>
      <c r="Y58" s="9" t="s">
        <v>0</v>
      </c>
      <c r="Z58" s="9"/>
      <c r="AA58" s="9"/>
      <c r="AB58" s="9"/>
      <c r="AC58" s="9"/>
      <c r="AD58" s="9"/>
      <c r="AE58" s="9"/>
      <c r="AF58" s="9"/>
      <c r="AG58" s="9">
        <f t="shared" si="14"/>
        <v>5</v>
      </c>
    </row>
    <row r="59" spans="1:33">
      <c r="A59" s="83" t="s">
        <v>486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>
        <v>1</v>
      </c>
      <c r="N59" s="9"/>
      <c r="O59" s="9" t="s">
        <v>0</v>
      </c>
      <c r="P59" s="9" t="s">
        <v>0</v>
      </c>
      <c r="Q59" s="9" t="s">
        <v>0</v>
      </c>
      <c r="R59" s="9" t="s">
        <v>0</v>
      </c>
      <c r="S59" s="9" t="s">
        <v>0</v>
      </c>
      <c r="T59" s="9" t="s">
        <v>0</v>
      </c>
      <c r="U59" s="9" t="s">
        <v>0</v>
      </c>
      <c r="V59" s="9" t="s">
        <v>0</v>
      </c>
      <c r="W59" s="9" t="s">
        <v>0</v>
      </c>
      <c r="X59" s="9" t="s">
        <v>0</v>
      </c>
      <c r="Y59" s="9" t="s">
        <v>0</v>
      </c>
      <c r="Z59" s="9"/>
      <c r="AA59" s="9"/>
      <c r="AB59" s="9"/>
      <c r="AC59" s="9"/>
      <c r="AD59" s="9"/>
      <c r="AE59" s="9"/>
      <c r="AF59" s="9"/>
      <c r="AG59" s="9">
        <f t="shared" si="14"/>
        <v>1</v>
      </c>
    </row>
    <row r="60" spans="1:33">
      <c r="A60" s="83" t="s">
        <v>470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>
        <v>1</v>
      </c>
      <c r="N60" s="9"/>
      <c r="O60" s="9" t="s">
        <v>0</v>
      </c>
      <c r="P60" s="9" t="s">
        <v>0</v>
      </c>
      <c r="Q60" s="9" t="s">
        <v>0</v>
      </c>
      <c r="R60" s="9" t="s">
        <v>0</v>
      </c>
      <c r="S60" s="9" t="s">
        <v>0</v>
      </c>
      <c r="T60" s="9" t="s">
        <v>0</v>
      </c>
      <c r="U60" s="9" t="s">
        <v>0</v>
      </c>
      <c r="V60" s="9" t="s">
        <v>0</v>
      </c>
      <c r="W60" s="9" t="s">
        <v>0</v>
      </c>
      <c r="X60" s="9" t="s">
        <v>0</v>
      </c>
      <c r="Y60" s="9" t="s">
        <v>0</v>
      </c>
      <c r="Z60" s="9"/>
      <c r="AA60" s="9"/>
      <c r="AB60" s="9"/>
      <c r="AC60" s="9"/>
      <c r="AD60" s="9"/>
      <c r="AE60" s="9"/>
      <c r="AF60" s="9"/>
      <c r="AG60" s="9">
        <f t="shared" si="14"/>
        <v>1</v>
      </c>
    </row>
    <row r="61" spans="1:33">
      <c r="A61" s="83" t="s">
        <v>652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>
        <v>1</v>
      </c>
      <c r="M61" s="9"/>
      <c r="N61" s="9"/>
      <c r="O61" s="9" t="s">
        <v>0</v>
      </c>
      <c r="P61" s="9" t="s">
        <v>0</v>
      </c>
      <c r="Q61" s="9" t="s">
        <v>0</v>
      </c>
      <c r="R61" s="9" t="s">
        <v>0</v>
      </c>
      <c r="S61" s="9" t="s">
        <v>0</v>
      </c>
      <c r="T61" s="9" t="s">
        <v>0</v>
      </c>
      <c r="U61" s="9" t="s">
        <v>0</v>
      </c>
      <c r="V61" s="9" t="s">
        <v>0</v>
      </c>
      <c r="W61" s="9" t="s">
        <v>0</v>
      </c>
      <c r="X61" s="9" t="s">
        <v>0</v>
      </c>
      <c r="Y61" s="9" t="s">
        <v>0</v>
      </c>
      <c r="Z61" s="9"/>
      <c r="AA61" s="9"/>
      <c r="AB61" s="9"/>
      <c r="AC61" s="9"/>
      <c r="AD61" s="9"/>
      <c r="AE61" s="9"/>
      <c r="AF61" s="9"/>
      <c r="AG61" s="9">
        <f t="shared" si="14"/>
        <v>1</v>
      </c>
    </row>
    <row r="62" spans="1:33">
      <c r="A62" s="83" t="s">
        <v>450</v>
      </c>
      <c r="B62" s="9"/>
      <c r="C62" s="9"/>
      <c r="D62" s="9"/>
      <c r="E62" s="9"/>
      <c r="F62" s="9"/>
      <c r="G62" s="9"/>
      <c r="H62" s="9">
        <v>2</v>
      </c>
      <c r="I62" s="9"/>
      <c r="J62" s="9"/>
      <c r="K62" s="9"/>
      <c r="L62" s="16">
        <v>2</v>
      </c>
      <c r="M62" s="9"/>
      <c r="N62" s="9">
        <v>605</v>
      </c>
      <c r="O62" s="9" t="s">
        <v>0</v>
      </c>
      <c r="P62" s="9" t="s">
        <v>0</v>
      </c>
      <c r="Q62" s="9" t="s">
        <v>0</v>
      </c>
      <c r="R62" s="9" t="s">
        <v>0</v>
      </c>
      <c r="S62" s="9" t="s">
        <v>0</v>
      </c>
      <c r="T62" s="9" t="s">
        <v>0</v>
      </c>
      <c r="U62" s="9" t="s">
        <v>0</v>
      </c>
      <c r="V62" s="9" t="s">
        <v>0</v>
      </c>
      <c r="W62" s="9" t="s">
        <v>0</v>
      </c>
      <c r="X62" s="9" t="s">
        <v>0</v>
      </c>
      <c r="Y62" s="9" t="s">
        <v>0</v>
      </c>
      <c r="Z62" s="9"/>
      <c r="AA62" s="9"/>
      <c r="AB62" s="9"/>
      <c r="AC62" s="9"/>
      <c r="AD62" s="9"/>
      <c r="AE62" s="9"/>
      <c r="AF62" s="9"/>
      <c r="AG62" s="9">
        <f t="shared" si="14"/>
        <v>609</v>
      </c>
    </row>
    <row r="63" spans="1:33">
      <c r="A63" s="83" t="s">
        <v>485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9">
        <v>1</v>
      </c>
      <c r="R63" s="9" t="s">
        <v>0</v>
      </c>
      <c r="S63" s="9" t="s">
        <v>0</v>
      </c>
      <c r="T63" s="9" t="s">
        <v>0</v>
      </c>
      <c r="U63" s="9" t="s">
        <v>0</v>
      </c>
      <c r="V63" s="9" t="s">
        <v>0</v>
      </c>
      <c r="W63" s="9" t="s">
        <v>0</v>
      </c>
      <c r="X63" s="9" t="s">
        <v>0</v>
      </c>
      <c r="Y63" s="9" t="s">
        <v>0</v>
      </c>
      <c r="Z63" s="19"/>
      <c r="AA63" s="19"/>
      <c r="AB63" s="19"/>
      <c r="AC63" s="19"/>
      <c r="AD63" s="19"/>
      <c r="AE63" s="9"/>
      <c r="AF63" s="9"/>
      <c r="AG63" s="9">
        <f t="shared" si="14"/>
        <v>1</v>
      </c>
    </row>
    <row r="64" spans="1:33">
      <c r="A64" s="83" t="s">
        <v>488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9">
        <v>5</v>
      </c>
      <c r="AF64" s="19"/>
      <c r="AG64" s="9">
        <f t="shared" si="14"/>
        <v>5</v>
      </c>
    </row>
    <row r="65" spans="1:33">
      <c r="A65" s="83" t="s">
        <v>645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9"/>
      <c r="U65" s="19"/>
      <c r="V65" s="19"/>
      <c r="W65" s="19"/>
      <c r="X65" s="19"/>
      <c r="Y65" s="19"/>
      <c r="Z65" s="19"/>
      <c r="AA65" s="19"/>
      <c r="AB65" s="19"/>
      <c r="AC65" s="19"/>
      <c r="AD65" s="19">
        <v>1</v>
      </c>
      <c r="AE65" s="19"/>
      <c r="AF65" s="19"/>
      <c r="AG65" s="9">
        <f t="shared" si="14"/>
        <v>1</v>
      </c>
    </row>
    <row r="66" spans="1:33" ht="15.75" customHeight="1">
      <c r="T66" s="136"/>
    </row>
    <row r="67" spans="1:33" ht="15.75" customHeight="1">
      <c r="T67" s="136"/>
    </row>
    <row r="68" spans="1:33" ht="15.75" customHeight="1">
      <c r="T68" s="136"/>
    </row>
    <row r="69" spans="1:33" ht="15.75" customHeight="1">
      <c r="T69" s="136"/>
    </row>
    <row r="70" spans="1:33" ht="15.75" customHeight="1">
      <c r="T70" s="136"/>
    </row>
    <row r="71" spans="1:33" ht="15.75" customHeight="1">
      <c r="T71" s="136"/>
    </row>
    <row r="72" spans="1:33" ht="15.75" customHeight="1">
      <c r="T72" s="136"/>
    </row>
    <row r="73" spans="1:33" ht="15.75" customHeight="1">
      <c r="T73" s="136"/>
    </row>
    <row r="74" spans="1:33" ht="15.75" customHeight="1">
      <c r="T74" s="136"/>
    </row>
    <row r="75" spans="1:33" ht="15.75" customHeight="1">
      <c r="T75" s="136"/>
    </row>
    <row r="76" spans="1:33" ht="15.75" customHeight="1">
      <c r="T76" s="136"/>
    </row>
    <row r="77" spans="1:33" ht="15.75" customHeight="1">
      <c r="T77" s="136"/>
    </row>
    <row r="78" spans="1:33" ht="15.75" customHeight="1">
      <c r="T78" s="136"/>
    </row>
    <row r="79" spans="1:33" ht="15.75" customHeight="1">
      <c r="T79" s="136"/>
    </row>
    <row r="80" spans="1:33" ht="15.75" customHeight="1">
      <c r="T80" s="136"/>
    </row>
    <row r="81" spans="20:20" ht="15.75" customHeight="1">
      <c r="T81" s="136"/>
    </row>
    <row r="82" spans="20:20" ht="15.75" customHeight="1">
      <c r="T82" s="136"/>
    </row>
    <row r="83" spans="20:20" ht="15.75" customHeight="1">
      <c r="T83" s="136"/>
    </row>
    <row r="84" spans="20:20" ht="15.75" customHeight="1">
      <c r="T84" s="136"/>
    </row>
    <row r="85" spans="20:20" ht="15.75" customHeight="1">
      <c r="T85" s="136"/>
    </row>
    <row r="86" spans="20:20" ht="15.75" customHeight="1">
      <c r="T86" s="136"/>
    </row>
    <row r="87" spans="20:20" ht="15.75" customHeight="1">
      <c r="T87" s="136"/>
    </row>
    <row r="88" spans="20:20" ht="15.75" customHeight="1">
      <c r="T88" s="136"/>
    </row>
    <row r="89" spans="20:20" ht="15.75" customHeight="1">
      <c r="T89" s="136"/>
    </row>
    <row r="90" spans="20:20" ht="15.75" customHeight="1">
      <c r="T90" s="136"/>
    </row>
    <row r="91" spans="20:20" ht="15.75" customHeight="1">
      <c r="T91" s="136"/>
    </row>
    <row r="92" spans="20:20" ht="15.75" customHeight="1">
      <c r="T92" s="136"/>
    </row>
    <row r="93" spans="20:20" ht="15.75" customHeight="1">
      <c r="T93" s="136"/>
    </row>
    <row r="94" spans="20:20" ht="15.75" customHeight="1">
      <c r="T94" s="136"/>
    </row>
    <row r="95" spans="20:20" ht="15.75" customHeight="1">
      <c r="T95" s="136"/>
    </row>
    <row r="96" spans="20:20" ht="15.75" customHeight="1">
      <c r="T96" s="136"/>
    </row>
    <row r="97" spans="20:20" ht="15.75" customHeight="1">
      <c r="T97" s="136"/>
    </row>
    <row r="98" spans="20:20" ht="15.75" customHeight="1">
      <c r="T98" s="136"/>
    </row>
    <row r="99" spans="20:20" ht="15.75" customHeight="1">
      <c r="T99" s="136"/>
    </row>
    <row r="100" spans="20:20" ht="15.75" customHeight="1">
      <c r="T100" s="136"/>
    </row>
    <row r="101" spans="20:20" ht="15.75" customHeight="1">
      <c r="T101" s="136"/>
    </row>
    <row r="102" spans="20:20" ht="15.75" customHeight="1">
      <c r="T102" s="136"/>
    </row>
    <row r="103" spans="20:20" ht="15.75" customHeight="1">
      <c r="T103" s="136"/>
    </row>
    <row r="104" spans="20:20" ht="15.75" customHeight="1">
      <c r="T104" s="136"/>
    </row>
    <row r="105" spans="20:20" ht="15.75" customHeight="1">
      <c r="T105" s="136"/>
    </row>
    <row r="106" spans="20:20" ht="15.75" customHeight="1">
      <c r="T106" s="136"/>
    </row>
    <row r="107" spans="20:20" ht="15.75" customHeight="1">
      <c r="T107" s="136"/>
    </row>
    <row r="108" spans="20:20" ht="15.75" customHeight="1">
      <c r="T108" s="136"/>
    </row>
    <row r="109" spans="20:20" ht="15.75" customHeight="1">
      <c r="T109" s="136"/>
    </row>
    <row r="110" spans="20:20" ht="15.75" customHeight="1">
      <c r="T110" s="136"/>
    </row>
    <row r="111" spans="20:20" ht="15.75" customHeight="1">
      <c r="T111" s="136"/>
    </row>
    <row r="112" spans="20:20" ht="15.75" customHeight="1">
      <c r="T112" s="136"/>
    </row>
    <row r="113" spans="20:20" ht="15.75" customHeight="1">
      <c r="T113" s="136"/>
    </row>
    <row r="114" spans="20:20" ht="15.75" customHeight="1">
      <c r="T114" s="136"/>
    </row>
    <row r="115" spans="20:20" ht="15.75" customHeight="1">
      <c r="T115" s="136"/>
    </row>
    <row r="116" spans="20:20" ht="15.75" customHeight="1">
      <c r="T116" s="136"/>
    </row>
    <row r="117" spans="20:20" ht="15.75" customHeight="1">
      <c r="T117" s="136"/>
    </row>
    <row r="118" spans="20:20" ht="15.75" customHeight="1">
      <c r="T118" s="136"/>
    </row>
    <row r="119" spans="20:20" ht="15.75" customHeight="1">
      <c r="T119" s="136"/>
    </row>
    <row r="120" spans="20:20" ht="15.75" customHeight="1">
      <c r="T120" s="136"/>
    </row>
    <row r="121" spans="20:20" ht="15.75" customHeight="1">
      <c r="T121" s="136"/>
    </row>
    <row r="122" spans="20:20" ht="15.75" customHeight="1">
      <c r="T122" s="136"/>
    </row>
    <row r="123" spans="20:20" ht="15.75" customHeight="1">
      <c r="T123" s="136"/>
    </row>
    <row r="124" spans="20:20" ht="15.75" customHeight="1">
      <c r="T124" s="136"/>
    </row>
    <row r="125" spans="20:20" ht="15.75" customHeight="1">
      <c r="T125" s="136"/>
    </row>
    <row r="126" spans="20:20" ht="15.75" customHeight="1">
      <c r="T126" s="136"/>
    </row>
    <row r="127" spans="20:20" ht="15.75" customHeight="1">
      <c r="T127" s="136"/>
    </row>
    <row r="128" spans="20:20" ht="15.75" customHeight="1">
      <c r="T128" s="136"/>
    </row>
    <row r="129" spans="20:20" ht="15.75" customHeight="1">
      <c r="T129" s="136"/>
    </row>
    <row r="130" spans="20:20" ht="15.75" customHeight="1">
      <c r="T130" s="136"/>
    </row>
    <row r="131" spans="20:20" ht="15.75" customHeight="1">
      <c r="T131" s="136"/>
    </row>
    <row r="132" spans="20:20" ht="15.75" customHeight="1">
      <c r="T132" s="136"/>
    </row>
    <row r="133" spans="20:20" ht="15.75" customHeight="1">
      <c r="T133" s="136"/>
    </row>
    <row r="134" spans="20:20" ht="15.75" customHeight="1">
      <c r="T134" s="136"/>
    </row>
    <row r="135" spans="20:20" ht="15.75" customHeight="1">
      <c r="T135" s="136"/>
    </row>
    <row r="136" spans="20:20" ht="15.75" customHeight="1">
      <c r="T136" s="136"/>
    </row>
    <row r="137" spans="20:20" ht="15.75" customHeight="1">
      <c r="T137" s="136"/>
    </row>
    <row r="138" spans="20:20" ht="15.75" customHeight="1">
      <c r="T138" s="136"/>
    </row>
    <row r="139" spans="20:20" ht="15.75" customHeight="1">
      <c r="T139" s="136"/>
    </row>
    <row r="140" spans="20:20" ht="15.75" customHeight="1">
      <c r="T140" s="136"/>
    </row>
    <row r="141" spans="20:20" ht="15.75" customHeight="1">
      <c r="T141" s="136"/>
    </row>
    <row r="142" spans="20:20" ht="15.75" customHeight="1">
      <c r="T142" s="136"/>
    </row>
    <row r="143" spans="20:20" ht="15.75" customHeight="1">
      <c r="T143" s="136"/>
    </row>
    <row r="144" spans="20:20" ht="15.75" customHeight="1">
      <c r="T144" s="136"/>
    </row>
    <row r="145" spans="20:20" ht="15.75" customHeight="1">
      <c r="T145" s="136"/>
    </row>
    <row r="146" spans="20:20" ht="15.75" customHeight="1">
      <c r="T146" s="136"/>
    </row>
    <row r="147" spans="20:20" ht="15.75" customHeight="1">
      <c r="T147" s="136"/>
    </row>
    <row r="148" spans="20:20" ht="15.75" customHeight="1">
      <c r="T148" s="136"/>
    </row>
    <row r="149" spans="20:20" ht="15.75" customHeight="1">
      <c r="T149" s="136"/>
    </row>
    <row r="150" spans="20:20" ht="15.75" customHeight="1">
      <c r="T150" s="136"/>
    </row>
    <row r="151" spans="20:20" ht="15.75" customHeight="1">
      <c r="T151" s="136"/>
    </row>
    <row r="152" spans="20:20" ht="15.75" customHeight="1">
      <c r="T152" s="136"/>
    </row>
    <row r="153" spans="20:20" ht="15.75" customHeight="1">
      <c r="T153" s="136"/>
    </row>
    <row r="154" spans="20:20" ht="15.75" customHeight="1">
      <c r="T154" s="136"/>
    </row>
    <row r="155" spans="20:20" ht="15.75" customHeight="1">
      <c r="T155" s="136"/>
    </row>
    <row r="156" spans="20:20" ht="15.75" customHeight="1">
      <c r="T156" s="136"/>
    </row>
    <row r="157" spans="20:20" ht="15.75" customHeight="1">
      <c r="T157" s="136"/>
    </row>
    <row r="158" spans="20:20" ht="15.75" customHeight="1">
      <c r="T158" s="136"/>
    </row>
    <row r="159" spans="20:20" ht="15.75" customHeight="1">
      <c r="T159" s="136"/>
    </row>
    <row r="160" spans="20:20" ht="15.75" customHeight="1">
      <c r="T160" s="136"/>
    </row>
    <row r="161" spans="20:20" ht="15.75" customHeight="1">
      <c r="T161" s="136"/>
    </row>
    <row r="162" spans="20:20" ht="15.75" customHeight="1">
      <c r="T162" s="136"/>
    </row>
    <row r="163" spans="20:20" ht="15.75" customHeight="1">
      <c r="T163" s="136"/>
    </row>
    <row r="164" spans="20:20" ht="15.75" customHeight="1">
      <c r="T164" s="136"/>
    </row>
    <row r="165" spans="20:20" ht="15.75" customHeight="1">
      <c r="T165" s="136"/>
    </row>
    <row r="166" spans="20:20" ht="15.75" customHeight="1">
      <c r="T166" s="136"/>
    </row>
    <row r="167" spans="20:20" ht="15.75" customHeight="1">
      <c r="T167" s="136"/>
    </row>
    <row r="168" spans="20:20" ht="15.75" customHeight="1">
      <c r="T168" s="136"/>
    </row>
    <row r="169" spans="20:20" ht="15.75" customHeight="1">
      <c r="T169" s="136"/>
    </row>
    <row r="170" spans="20:20" ht="15.75" customHeight="1">
      <c r="T170" s="136"/>
    </row>
    <row r="171" spans="20:20" ht="15.75" customHeight="1">
      <c r="T171" s="136"/>
    </row>
    <row r="172" spans="20:20" ht="15.75" customHeight="1">
      <c r="T172" s="136"/>
    </row>
    <row r="173" spans="20:20" ht="15.75" customHeight="1">
      <c r="T173" s="136"/>
    </row>
    <row r="174" spans="20:20" ht="15.75" customHeight="1">
      <c r="T174" s="136"/>
    </row>
    <row r="175" spans="20:20" ht="15.75" customHeight="1">
      <c r="T175" s="136"/>
    </row>
    <row r="176" spans="20:20" ht="15.75" customHeight="1">
      <c r="T176" s="136"/>
    </row>
    <row r="177" spans="20:20" ht="15.75" customHeight="1">
      <c r="T177" s="136"/>
    </row>
    <row r="178" spans="20:20" ht="15.75" customHeight="1">
      <c r="T178" s="136"/>
    </row>
    <row r="179" spans="20:20" ht="15.75" customHeight="1">
      <c r="T179" s="136"/>
    </row>
    <row r="180" spans="20:20" ht="15.75" customHeight="1">
      <c r="T180" s="136"/>
    </row>
    <row r="181" spans="20:20" ht="15.75" customHeight="1">
      <c r="T181" s="136"/>
    </row>
    <row r="182" spans="20:20" ht="15.75" customHeight="1">
      <c r="T182" s="136"/>
    </row>
    <row r="183" spans="20:20" ht="15.75" customHeight="1">
      <c r="T183" s="136"/>
    </row>
    <row r="184" spans="20:20" ht="15.75" customHeight="1">
      <c r="T184" s="136"/>
    </row>
    <row r="185" spans="20:20" ht="15.75" customHeight="1">
      <c r="T185" s="136"/>
    </row>
    <row r="186" spans="20:20" ht="15.75" customHeight="1">
      <c r="T186" s="136"/>
    </row>
    <row r="187" spans="20:20" ht="15.75" customHeight="1">
      <c r="T187" s="136"/>
    </row>
    <row r="188" spans="20:20" ht="15.75" customHeight="1">
      <c r="T188" s="136"/>
    </row>
    <row r="189" spans="20:20" ht="15.75" customHeight="1">
      <c r="T189" s="136"/>
    </row>
    <row r="190" spans="20:20" ht="15.75" customHeight="1">
      <c r="T190" s="136"/>
    </row>
    <row r="191" spans="20:20" ht="15.75" customHeight="1">
      <c r="T191" s="136"/>
    </row>
    <row r="192" spans="20:20" ht="15.75" customHeight="1">
      <c r="T192" s="136"/>
    </row>
    <row r="193" spans="20:20" ht="15.75" customHeight="1">
      <c r="T193" s="136"/>
    </row>
    <row r="194" spans="20:20" ht="15.75" customHeight="1">
      <c r="T194" s="136"/>
    </row>
    <row r="195" spans="20:20" ht="15.75" customHeight="1">
      <c r="T195" s="136"/>
    </row>
    <row r="196" spans="20:20" ht="15.75" customHeight="1">
      <c r="T196" s="136"/>
    </row>
    <row r="197" spans="20:20" ht="15.75" customHeight="1">
      <c r="T197" s="136"/>
    </row>
    <row r="198" spans="20:20" ht="15.75" customHeight="1">
      <c r="T198" s="136"/>
    </row>
    <row r="199" spans="20:20" ht="15.75" customHeight="1">
      <c r="T199" s="136"/>
    </row>
    <row r="200" spans="20:20" ht="15.75" customHeight="1">
      <c r="T200" s="136"/>
    </row>
    <row r="201" spans="20:20" ht="15.75" customHeight="1">
      <c r="T201" s="136"/>
    </row>
    <row r="202" spans="20:20" ht="15.75" customHeight="1">
      <c r="T202" s="136"/>
    </row>
    <row r="203" spans="20:20" ht="15.75" customHeight="1">
      <c r="T203" s="136"/>
    </row>
    <row r="204" spans="20:20" ht="15.75" customHeight="1">
      <c r="T204" s="136"/>
    </row>
    <row r="205" spans="20:20" ht="15.75" customHeight="1">
      <c r="T205" s="136"/>
    </row>
    <row r="206" spans="20:20" ht="15.75" customHeight="1">
      <c r="T206" s="136"/>
    </row>
    <row r="207" spans="20:20" ht="15.75" customHeight="1">
      <c r="T207" s="136"/>
    </row>
    <row r="208" spans="20:20" ht="15.75" customHeight="1">
      <c r="T208" s="136"/>
    </row>
    <row r="209" spans="20:20" ht="15.75" customHeight="1">
      <c r="T209" s="136"/>
    </row>
    <row r="210" spans="20:20" ht="15.75" customHeight="1">
      <c r="T210" s="136"/>
    </row>
    <row r="211" spans="20:20" ht="15.75" customHeight="1">
      <c r="T211" s="136"/>
    </row>
    <row r="212" spans="20:20" ht="15.75" customHeight="1">
      <c r="T212" s="136"/>
    </row>
    <row r="213" spans="20:20" ht="15.75" customHeight="1">
      <c r="T213" s="136"/>
    </row>
    <row r="214" spans="20:20" ht="15.75" customHeight="1">
      <c r="T214" s="136"/>
    </row>
    <row r="215" spans="20:20" ht="15.75" customHeight="1">
      <c r="T215" s="136"/>
    </row>
    <row r="216" spans="20:20" ht="15.75" customHeight="1">
      <c r="T216" s="136"/>
    </row>
    <row r="217" spans="20:20" ht="15.75" customHeight="1">
      <c r="T217" s="136"/>
    </row>
    <row r="218" spans="20:20" ht="15.75" customHeight="1">
      <c r="T218" s="136"/>
    </row>
    <row r="219" spans="20:20" ht="15.75" customHeight="1">
      <c r="T219" s="136"/>
    </row>
    <row r="220" spans="20:20" ht="15.75" customHeight="1">
      <c r="T220" s="136"/>
    </row>
    <row r="221" spans="20:20" ht="15.75" customHeight="1">
      <c r="T221" s="136"/>
    </row>
    <row r="222" spans="20:20" ht="15.75" customHeight="1">
      <c r="T222" s="136"/>
    </row>
    <row r="223" spans="20:20" ht="15.75" customHeight="1">
      <c r="T223" s="136"/>
    </row>
    <row r="224" spans="20:20" ht="15.75" customHeight="1">
      <c r="T224" s="136"/>
    </row>
    <row r="225" spans="20:20" ht="15.75" customHeight="1">
      <c r="T225" s="136"/>
    </row>
    <row r="226" spans="20:20" ht="15.75" customHeight="1">
      <c r="T226" s="136"/>
    </row>
    <row r="227" spans="20:20" ht="15.75" customHeight="1">
      <c r="T227" s="136"/>
    </row>
    <row r="228" spans="20:20" ht="15.75" customHeight="1">
      <c r="T228" s="136"/>
    </row>
    <row r="229" spans="20:20" ht="15.75" customHeight="1">
      <c r="T229" s="136"/>
    </row>
    <row r="230" spans="20:20" ht="15.75" customHeight="1">
      <c r="T230" s="136"/>
    </row>
    <row r="231" spans="20:20" ht="15.75" customHeight="1">
      <c r="T231" s="136"/>
    </row>
    <row r="232" spans="20:20" ht="15.75" customHeight="1">
      <c r="T232" s="136"/>
    </row>
    <row r="233" spans="20:20" ht="15.75" customHeight="1">
      <c r="T233" s="136"/>
    </row>
    <row r="234" spans="20:20" ht="15.75" customHeight="1">
      <c r="T234" s="136"/>
    </row>
    <row r="235" spans="20:20" ht="15.75" customHeight="1">
      <c r="T235" s="136"/>
    </row>
    <row r="236" spans="20:20" ht="15.75" customHeight="1">
      <c r="T236" s="136"/>
    </row>
    <row r="237" spans="20:20" ht="15.75" customHeight="1">
      <c r="T237" s="136"/>
    </row>
    <row r="238" spans="20:20" ht="15.75" customHeight="1">
      <c r="T238" s="136"/>
    </row>
    <row r="239" spans="20:20" ht="15.75" customHeight="1">
      <c r="T239" s="136"/>
    </row>
    <row r="240" spans="20:20" ht="15.75" customHeight="1">
      <c r="T240" s="136"/>
    </row>
    <row r="241" spans="20:20" ht="15.75" customHeight="1">
      <c r="T241" s="136"/>
    </row>
    <row r="242" spans="20:20" ht="15.75" customHeight="1">
      <c r="T242" s="136"/>
    </row>
    <row r="243" spans="20:20" ht="15.75" customHeight="1">
      <c r="T243" s="136"/>
    </row>
    <row r="244" spans="20:20" ht="15.75" customHeight="1">
      <c r="T244" s="136"/>
    </row>
    <row r="245" spans="20:20" ht="15.75" customHeight="1">
      <c r="T245" s="136"/>
    </row>
    <row r="246" spans="20:20" ht="15.75" customHeight="1">
      <c r="T246" s="136"/>
    </row>
    <row r="247" spans="20:20" ht="15.75" customHeight="1">
      <c r="T247" s="136"/>
    </row>
    <row r="248" spans="20:20" ht="15.75" customHeight="1">
      <c r="T248" s="136"/>
    </row>
    <row r="249" spans="20:20" ht="15.75" customHeight="1">
      <c r="T249" s="136"/>
    </row>
    <row r="250" spans="20:20" ht="15.75" customHeight="1">
      <c r="T250" s="136"/>
    </row>
    <row r="251" spans="20:20" ht="15.75" customHeight="1">
      <c r="T251" s="136"/>
    </row>
    <row r="252" spans="20:20" ht="15.75" customHeight="1">
      <c r="T252" s="136"/>
    </row>
    <row r="253" spans="20:20" ht="15.75" customHeight="1">
      <c r="T253" s="136"/>
    </row>
    <row r="254" spans="20:20" ht="15.75" customHeight="1">
      <c r="T254" s="136"/>
    </row>
    <row r="255" spans="20:20" ht="15.75" customHeight="1">
      <c r="T255" s="136"/>
    </row>
    <row r="256" spans="20:20" ht="15.75" customHeight="1">
      <c r="T256" s="136"/>
    </row>
    <row r="257" spans="20:20" ht="15.75" customHeight="1">
      <c r="T257" s="136"/>
    </row>
    <row r="258" spans="20:20" ht="15.75" customHeight="1">
      <c r="T258" s="136"/>
    </row>
    <row r="259" spans="20:20" ht="15.75" customHeight="1">
      <c r="T259" s="136"/>
    </row>
    <row r="260" spans="20:20" ht="15.75" customHeight="1">
      <c r="T260" s="136"/>
    </row>
    <row r="261" spans="20:20" ht="15.75" customHeight="1">
      <c r="T261" s="136"/>
    </row>
    <row r="262" spans="20:20" ht="15.75" customHeight="1">
      <c r="T262" s="136"/>
    </row>
    <row r="263" spans="20:20" ht="15.75" customHeight="1">
      <c r="T263" s="136"/>
    </row>
    <row r="264" spans="20:20" ht="15.75" customHeight="1">
      <c r="T264" s="136"/>
    </row>
    <row r="265" spans="20:20" ht="15.75" customHeight="1">
      <c r="T265" s="136"/>
    </row>
    <row r="266" spans="20:20" ht="15.75" customHeight="1">
      <c r="T266" s="136"/>
    </row>
    <row r="267" spans="20:20" ht="15.75" customHeight="1">
      <c r="T267" s="136"/>
    </row>
    <row r="268" spans="20:20" ht="15.75" customHeight="1">
      <c r="T268" s="136"/>
    </row>
    <row r="269" spans="20:20" ht="15.75" customHeight="1">
      <c r="T269" s="136"/>
    </row>
    <row r="270" spans="20:20" ht="15.75" customHeight="1">
      <c r="T270" s="136"/>
    </row>
    <row r="271" spans="20:20" ht="15.75" customHeight="1">
      <c r="T271" s="136"/>
    </row>
    <row r="272" spans="20:20" ht="15.75" customHeight="1">
      <c r="T272" s="136"/>
    </row>
    <row r="273" spans="20:20" ht="15.75" customHeight="1">
      <c r="T273" s="136"/>
    </row>
    <row r="274" spans="20:20" ht="15.75" customHeight="1">
      <c r="T274" s="136"/>
    </row>
    <row r="275" spans="20:20" ht="15.75" customHeight="1">
      <c r="T275" s="136"/>
    </row>
    <row r="276" spans="20:20" ht="15.75" customHeight="1">
      <c r="T276" s="136"/>
    </row>
    <row r="277" spans="20:20" ht="15.75" customHeight="1">
      <c r="T277" s="136"/>
    </row>
    <row r="278" spans="20:20" ht="15.75" customHeight="1">
      <c r="T278" s="136"/>
    </row>
    <row r="279" spans="20:20" ht="15.75" customHeight="1">
      <c r="T279" s="136"/>
    </row>
    <row r="280" spans="20:20" ht="15.75" customHeight="1">
      <c r="T280" s="136"/>
    </row>
    <row r="281" spans="20:20" ht="15.75" customHeight="1">
      <c r="T281" s="136"/>
    </row>
    <row r="282" spans="20:20" ht="15.75" customHeight="1">
      <c r="T282" s="136"/>
    </row>
    <row r="283" spans="20:20" ht="15.75" customHeight="1">
      <c r="T283" s="136"/>
    </row>
    <row r="284" spans="20:20" ht="15.75" customHeight="1">
      <c r="T284" s="136"/>
    </row>
    <row r="285" spans="20:20" ht="15.75" customHeight="1">
      <c r="T285" s="136"/>
    </row>
    <row r="286" spans="20:20" ht="15.75" customHeight="1">
      <c r="T286" s="136"/>
    </row>
    <row r="287" spans="20:20" ht="15.75" customHeight="1">
      <c r="T287" s="136"/>
    </row>
    <row r="288" spans="20:20" ht="15.75" customHeight="1">
      <c r="T288" s="136"/>
    </row>
    <row r="289" spans="20:20" ht="15.75" customHeight="1">
      <c r="T289" s="136"/>
    </row>
    <row r="290" spans="20:20" ht="15.75" customHeight="1">
      <c r="T290" s="136"/>
    </row>
    <row r="291" spans="20:20" ht="15.75" customHeight="1">
      <c r="T291" s="136"/>
    </row>
    <row r="292" spans="20:20" ht="15.75" customHeight="1">
      <c r="T292" s="136"/>
    </row>
    <row r="293" spans="20:20" ht="15.75" customHeight="1">
      <c r="T293" s="136"/>
    </row>
    <row r="294" spans="20:20" ht="15.75" customHeight="1">
      <c r="T294" s="136"/>
    </row>
    <row r="295" spans="20:20" ht="15.75" customHeight="1">
      <c r="T295" s="136"/>
    </row>
    <row r="296" spans="20:20" ht="15.75" customHeight="1">
      <c r="T296" s="136"/>
    </row>
    <row r="297" spans="20:20" ht="15.75" customHeight="1">
      <c r="T297" s="136"/>
    </row>
    <row r="298" spans="20:20" ht="15.75" customHeight="1">
      <c r="T298" s="136"/>
    </row>
    <row r="299" spans="20:20" ht="15.75" customHeight="1">
      <c r="T299" s="136"/>
    </row>
    <row r="300" spans="20:20" ht="15.75" customHeight="1">
      <c r="T300" s="136"/>
    </row>
    <row r="301" spans="20:20" ht="15.75" customHeight="1">
      <c r="T301" s="136"/>
    </row>
    <row r="302" spans="20:20" ht="15.75" customHeight="1">
      <c r="T302" s="136"/>
    </row>
    <row r="303" spans="20:20" ht="15.75" customHeight="1">
      <c r="T303" s="136"/>
    </row>
    <row r="304" spans="20:20" ht="15.75" customHeight="1">
      <c r="T304" s="136"/>
    </row>
    <row r="305" spans="20:20" ht="15.75" customHeight="1">
      <c r="T305" s="136"/>
    </row>
    <row r="306" spans="20:20" ht="15.75" customHeight="1">
      <c r="T306" s="136"/>
    </row>
    <row r="307" spans="20:20" ht="15.75" customHeight="1">
      <c r="T307" s="136"/>
    </row>
    <row r="308" spans="20:20" ht="15.75" customHeight="1">
      <c r="T308" s="136"/>
    </row>
    <row r="309" spans="20:20" ht="15.75" customHeight="1">
      <c r="T309" s="136"/>
    </row>
    <row r="310" spans="20:20" ht="15.75" customHeight="1">
      <c r="T310" s="136"/>
    </row>
    <row r="311" spans="20:20" ht="15.75" customHeight="1">
      <c r="T311" s="136"/>
    </row>
    <row r="312" spans="20:20" ht="15.75" customHeight="1">
      <c r="T312" s="136"/>
    </row>
    <row r="313" spans="20:20" ht="15.75" customHeight="1">
      <c r="T313" s="136"/>
    </row>
    <row r="314" spans="20:20" ht="15.75" customHeight="1">
      <c r="T314" s="136"/>
    </row>
    <row r="315" spans="20:20" ht="15.75" customHeight="1">
      <c r="T315" s="136"/>
    </row>
    <row r="316" spans="20:20" ht="15.75" customHeight="1">
      <c r="T316" s="136"/>
    </row>
    <row r="317" spans="20:20" ht="15.75" customHeight="1">
      <c r="T317" s="136"/>
    </row>
    <row r="318" spans="20:20" ht="15.75" customHeight="1">
      <c r="T318" s="136"/>
    </row>
    <row r="319" spans="20:20" ht="15.75" customHeight="1">
      <c r="T319" s="136"/>
    </row>
    <row r="320" spans="20:20" ht="15.75" customHeight="1">
      <c r="T320" s="136"/>
    </row>
    <row r="321" spans="20:20" ht="15.75" customHeight="1">
      <c r="T321" s="136"/>
    </row>
    <row r="322" spans="20:20" ht="15.75" customHeight="1">
      <c r="T322" s="136"/>
    </row>
    <row r="323" spans="20:20" ht="15.75" customHeight="1">
      <c r="T323" s="136"/>
    </row>
    <row r="324" spans="20:20" ht="15.75" customHeight="1">
      <c r="T324" s="136"/>
    </row>
    <row r="325" spans="20:20" ht="15.75" customHeight="1">
      <c r="T325" s="136"/>
    </row>
    <row r="326" spans="20:20" ht="15.75" customHeight="1">
      <c r="T326" s="136"/>
    </row>
    <row r="327" spans="20:20" ht="15.75" customHeight="1">
      <c r="T327" s="136"/>
    </row>
    <row r="328" spans="20:20" ht="15.75" customHeight="1">
      <c r="T328" s="136"/>
    </row>
    <row r="329" spans="20:20" ht="15.75" customHeight="1">
      <c r="T329" s="136"/>
    </row>
    <row r="330" spans="20:20" ht="15.75" customHeight="1">
      <c r="T330" s="136"/>
    </row>
    <row r="331" spans="20:20" ht="15.75" customHeight="1">
      <c r="T331" s="136"/>
    </row>
    <row r="332" spans="20:20" ht="15.75" customHeight="1">
      <c r="T332" s="136"/>
    </row>
    <row r="333" spans="20:20" ht="15.75" customHeight="1">
      <c r="T333" s="136"/>
    </row>
    <row r="334" spans="20:20" ht="15.75" customHeight="1">
      <c r="T334" s="136"/>
    </row>
    <row r="335" spans="20:20" ht="15.75" customHeight="1">
      <c r="T335" s="136"/>
    </row>
    <row r="336" spans="20:20" ht="15.75" customHeight="1">
      <c r="T336" s="136"/>
    </row>
    <row r="337" spans="20:20" ht="15.75" customHeight="1">
      <c r="T337" s="136"/>
    </row>
    <row r="338" spans="20:20" ht="15.75" customHeight="1">
      <c r="T338" s="136"/>
    </row>
    <row r="339" spans="20:20" ht="15.75" customHeight="1">
      <c r="T339" s="136"/>
    </row>
    <row r="340" spans="20:20" ht="15.75" customHeight="1">
      <c r="T340" s="136"/>
    </row>
    <row r="341" spans="20:20" ht="15.75" customHeight="1">
      <c r="T341" s="136"/>
    </row>
    <row r="342" spans="20:20" ht="15.75" customHeight="1">
      <c r="T342" s="136"/>
    </row>
    <row r="343" spans="20:20" ht="15.75" customHeight="1">
      <c r="T343" s="136"/>
    </row>
    <row r="344" spans="20:20" ht="15.75" customHeight="1">
      <c r="T344" s="136"/>
    </row>
    <row r="345" spans="20:20" ht="15.75" customHeight="1">
      <c r="T345" s="136"/>
    </row>
    <row r="346" spans="20:20" ht="15.75" customHeight="1">
      <c r="T346" s="136"/>
    </row>
    <row r="347" spans="20:20" ht="15.75" customHeight="1">
      <c r="T347" s="136"/>
    </row>
    <row r="348" spans="20:20" ht="15.75" customHeight="1">
      <c r="T348" s="136"/>
    </row>
    <row r="349" spans="20:20" ht="15.75" customHeight="1">
      <c r="T349" s="136"/>
    </row>
    <row r="350" spans="20:20" ht="15.75" customHeight="1">
      <c r="T350" s="136"/>
    </row>
    <row r="351" spans="20:20" ht="15.75" customHeight="1">
      <c r="T351" s="136"/>
    </row>
    <row r="352" spans="20:20" ht="15.75" customHeight="1">
      <c r="T352" s="136"/>
    </row>
    <row r="353" spans="20:20" ht="15.75" customHeight="1">
      <c r="T353" s="136"/>
    </row>
    <row r="354" spans="20:20" ht="15.75" customHeight="1">
      <c r="T354" s="136"/>
    </row>
    <row r="355" spans="20:20" ht="15.75" customHeight="1">
      <c r="T355" s="136"/>
    </row>
    <row r="356" spans="20:20" ht="15.75" customHeight="1">
      <c r="T356" s="136"/>
    </row>
    <row r="357" spans="20:20" ht="15.75" customHeight="1">
      <c r="T357" s="136"/>
    </row>
    <row r="358" spans="20:20" ht="15.75" customHeight="1">
      <c r="T358" s="136"/>
    </row>
    <row r="359" spans="20:20" ht="15.75" customHeight="1">
      <c r="T359" s="136"/>
    </row>
    <row r="360" spans="20:20" ht="15.75" customHeight="1">
      <c r="T360" s="136"/>
    </row>
    <row r="361" spans="20:20" ht="15.75" customHeight="1">
      <c r="T361" s="136"/>
    </row>
    <row r="362" spans="20:20" ht="15.75" customHeight="1">
      <c r="T362" s="136"/>
    </row>
    <row r="363" spans="20:20" ht="15.75" customHeight="1">
      <c r="T363" s="136"/>
    </row>
    <row r="364" spans="20:20" ht="15.75" customHeight="1">
      <c r="T364" s="136"/>
    </row>
    <row r="365" spans="20:20" ht="15.75" customHeight="1">
      <c r="T365" s="136"/>
    </row>
    <row r="366" spans="20:20" ht="15.75" customHeight="1">
      <c r="T366" s="136"/>
    </row>
    <row r="367" spans="20:20" ht="15.75" customHeight="1">
      <c r="T367" s="136"/>
    </row>
    <row r="368" spans="20:20" ht="15.75" customHeight="1">
      <c r="T368" s="136"/>
    </row>
    <row r="369" spans="20:20" ht="15.75" customHeight="1">
      <c r="T369" s="136"/>
    </row>
    <row r="370" spans="20:20" ht="15.75" customHeight="1">
      <c r="T370" s="136"/>
    </row>
    <row r="371" spans="20:20" ht="15.75" customHeight="1">
      <c r="T371" s="136"/>
    </row>
    <row r="372" spans="20:20" ht="15.75" customHeight="1">
      <c r="T372" s="136"/>
    </row>
    <row r="373" spans="20:20" ht="15.75" customHeight="1">
      <c r="T373" s="136"/>
    </row>
    <row r="374" spans="20:20" ht="15.75" customHeight="1">
      <c r="T374" s="136"/>
    </row>
    <row r="375" spans="20:20" ht="15.75" customHeight="1">
      <c r="T375" s="136"/>
    </row>
    <row r="376" spans="20:20" ht="15.75" customHeight="1">
      <c r="T376" s="136"/>
    </row>
    <row r="377" spans="20:20" ht="15.75" customHeight="1">
      <c r="T377" s="136"/>
    </row>
    <row r="378" spans="20:20" ht="15.75" customHeight="1">
      <c r="T378" s="136"/>
    </row>
    <row r="379" spans="20:20" ht="15.75" customHeight="1">
      <c r="T379" s="136"/>
    </row>
    <row r="380" spans="20:20" ht="15.75" customHeight="1">
      <c r="T380" s="136"/>
    </row>
    <row r="381" spans="20:20" ht="15.75" customHeight="1">
      <c r="T381" s="136"/>
    </row>
    <row r="382" spans="20:20" ht="15.75" customHeight="1">
      <c r="T382" s="136"/>
    </row>
    <row r="383" spans="20:20" ht="15.75" customHeight="1">
      <c r="T383" s="136"/>
    </row>
    <row r="384" spans="20:20" ht="15.75" customHeight="1">
      <c r="T384" s="136"/>
    </row>
    <row r="385" spans="20:20" ht="15.75" customHeight="1">
      <c r="T385" s="136"/>
    </row>
    <row r="386" spans="20:20" ht="15.75" customHeight="1">
      <c r="T386" s="136"/>
    </row>
    <row r="387" spans="20:20" ht="15.75" customHeight="1">
      <c r="T387" s="136"/>
    </row>
    <row r="388" spans="20:20" ht="15.75" customHeight="1">
      <c r="T388" s="136"/>
    </row>
    <row r="389" spans="20:20" ht="15.75" customHeight="1">
      <c r="T389" s="136"/>
    </row>
    <row r="390" spans="20:20" ht="15.75" customHeight="1">
      <c r="T390" s="136"/>
    </row>
    <row r="391" spans="20:20" ht="15.75" customHeight="1">
      <c r="T391" s="136"/>
    </row>
    <row r="392" spans="20:20" ht="15.75" customHeight="1">
      <c r="T392" s="136"/>
    </row>
    <row r="393" spans="20:20" ht="15.75" customHeight="1">
      <c r="T393" s="136"/>
    </row>
    <row r="394" spans="20:20" ht="15.75" customHeight="1">
      <c r="T394" s="136"/>
    </row>
    <row r="395" spans="20:20" ht="15.75" customHeight="1">
      <c r="T395" s="136"/>
    </row>
    <row r="396" spans="20:20" ht="15.75" customHeight="1">
      <c r="T396" s="136"/>
    </row>
    <row r="397" spans="20:20" ht="15.75" customHeight="1">
      <c r="T397" s="136"/>
    </row>
    <row r="398" spans="20:20" ht="15.75" customHeight="1">
      <c r="T398" s="136"/>
    </row>
    <row r="399" spans="20:20" ht="15.75" customHeight="1">
      <c r="T399" s="136"/>
    </row>
    <row r="400" spans="20:20" ht="15.75" customHeight="1">
      <c r="T400" s="136"/>
    </row>
    <row r="401" spans="20:20" ht="15.75" customHeight="1">
      <c r="T401" s="136"/>
    </row>
    <row r="402" spans="20:20" ht="15.75" customHeight="1">
      <c r="T402" s="136"/>
    </row>
    <row r="403" spans="20:20" ht="15.75" customHeight="1">
      <c r="T403" s="136"/>
    </row>
    <row r="404" spans="20:20" ht="15.75" customHeight="1">
      <c r="T404" s="136"/>
    </row>
    <row r="405" spans="20:20" ht="15.75" customHeight="1">
      <c r="T405" s="136"/>
    </row>
    <row r="406" spans="20:20" ht="15.75" customHeight="1">
      <c r="T406" s="136"/>
    </row>
    <row r="407" spans="20:20" ht="15.75" customHeight="1">
      <c r="T407" s="136"/>
    </row>
    <row r="408" spans="20:20" ht="15.75" customHeight="1">
      <c r="T408" s="136"/>
    </row>
    <row r="409" spans="20:20" ht="15.75" customHeight="1">
      <c r="T409" s="136"/>
    </row>
    <row r="410" spans="20:20" ht="15.75" customHeight="1">
      <c r="T410" s="136"/>
    </row>
    <row r="411" spans="20:20" ht="15.75" customHeight="1">
      <c r="T411" s="136"/>
    </row>
    <row r="412" spans="20:20" ht="15.75" customHeight="1">
      <c r="T412" s="136"/>
    </row>
    <row r="413" spans="20:20" ht="15.75" customHeight="1">
      <c r="T413" s="136"/>
    </row>
    <row r="414" spans="20:20" ht="15.75" customHeight="1">
      <c r="T414" s="136"/>
    </row>
    <row r="415" spans="20:20" ht="15.75" customHeight="1">
      <c r="T415" s="136"/>
    </row>
    <row r="416" spans="20:20" ht="15.75" customHeight="1">
      <c r="T416" s="136"/>
    </row>
    <row r="417" spans="20:20" ht="15.75" customHeight="1">
      <c r="T417" s="136"/>
    </row>
    <row r="418" spans="20:20" ht="15.75" customHeight="1">
      <c r="T418" s="136"/>
    </row>
    <row r="419" spans="20:20" ht="15.75" customHeight="1">
      <c r="T419" s="136"/>
    </row>
    <row r="420" spans="20:20" ht="15.75" customHeight="1">
      <c r="T420" s="136"/>
    </row>
    <row r="421" spans="20:20" ht="15.75" customHeight="1">
      <c r="T421" s="136"/>
    </row>
    <row r="422" spans="20:20" ht="15.75" customHeight="1">
      <c r="T422" s="136"/>
    </row>
    <row r="423" spans="20:20" ht="15.75" customHeight="1">
      <c r="T423" s="136"/>
    </row>
    <row r="424" spans="20:20" ht="15.75" customHeight="1">
      <c r="T424" s="136"/>
    </row>
    <row r="425" spans="20:20" ht="15.75" customHeight="1">
      <c r="T425" s="136"/>
    </row>
    <row r="426" spans="20:20" ht="15.75" customHeight="1">
      <c r="T426" s="136"/>
    </row>
    <row r="427" spans="20:20" ht="15.75" customHeight="1">
      <c r="T427" s="136"/>
    </row>
    <row r="428" spans="20:20" ht="15.75" customHeight="1">
      <c r="T428" s="136"/>
    </row>
    <row r="429" spans="20:20" ht="15.75" customHeight="1">
      <c r="T429" s="136"/>
    </row>
    <row r="430" spans="20:20" ht="15.75" customHeight="1">
      <c r="T430" s="136"/>
    </row>
    <row r="431" spans="20:20" ht="15.75" customHeight="1">
      <c r="T431" s="136"/>
    </row>
    <row r="432" spans="20:20" ht="15.75" customHeight="1">
      <c r="T432" s="136"/>
    </row>
    <row r="433" spans="20:20" ht="15.75" customHeight="1">
      <c r="T433" s="136"/>
    </row>
    <row r="434" spans="20:20" ht="15.75" customHeight="1">
      <c r="T434" s="136"/>
    </row>
    <row r="435" spans="20:20" ht="15.75" customHeight="1">
      <c r="T435" s="136"/>
    </row>
    <row r="436" spans="20:20" ht="15.75" customHeight="1">
      <c r="T436" s="136"/>
    </row>
    <row r="437" spans="20:20" ht="15.75" customHeight="1">
      <c r="T437" s="136"/>
    </row>
    <row r="438" spans="20:20" ht="15.75" customHeight="1">
      <c r="T438" s="136"/>
    </row>
    <row r="439" spans="20:20" ht="15.75" customHeight="1">
      <c r="T439" s="136"/>
    </row>
    <row r="440" spans="20:20" ht="15.75" customHeight="1">
      <c r="T440" s="136"/>
    </row>
    <row r="441" spans="20:20" ht="15.75" customHeight="1">
      <c r="T441" s="136"/>
    </row>
    <row r="442" spans="20:20" ht="15.75" customHeight="1">
      <c r="T442" s="136"/>
    </row>
    <row r="443" spans="20:20" ht="15.75" customHeight="1">
      <c r="T443" s="136"/>
    </row>
    <row r="444" spans="20:20" ht="15.75" customHeight="1">
      <c r="T444" s="136"/>
    </row>
    <row r="445" spans="20:20" ht="15.75" customHeight="1">
      <c r="T445" s="136"/>
    </row>
    <row r="446" spans="20:20" ht="15.75" customHeight="1">
      <c r="T446" s="136"/>
    </row>
    <row r="447" spans="20:20" ht="15.75" customHeight="1">
      <c r="T447" s="136"/>
    </row>
    <row r="448" spans="20:20" ht="15.75" customHeight="1">
      <c r="T448" s="136"/>
    </row>
    <row r="449" spans="20:20" ht="15.75" customHeight="1">
      <c r="T449" s="136"/>
    </row>
    <row r="450" spans="20:20" ht="15.75" customHeight="1">
      <c r="T450" s="136"/>
    </row>
    <row r="451" spans="20:20" ht="15.75" customHeight="1">
      <c r="T451" s="136"/>
    </row>
    <row r="452" spans="20:20" ht="15.75" customHeight="1">
      <c r="T452" s="136"/>
    </row>
    <row r="453" spans="20:20" ht="15.75" customHeight="1">
      <c r="T453" s="136"/>
    </row>
    <row r="454" spans="20:20" ht="15.75" customHeight="1">
      <c r="T454" s="136"/>
    </row>
    <row r="455" spans="20:20" ht="15.75" customHeight="1">
      <c r="T455" s="136"/>
    </row>
    <row r="456" spans="20:20" ht="15.75" customHeight="1">
      <c r="T456" s="136"/>
    </row>
    <row r="457" spans="20:20" ht="15.75" customHeight="1">
      <c r="T457" s="136"/>
    </row>
    <row r="458" spans="20:20" ht="15.75" customHeight="1">
      <c r="T458" s="136"/>
    </row>
    <row r="459" spans="20:20" ht="15.75" customHeight="1">
      <c r="T459" s="136"/>
    </row>
    <row r="460" spans="20:20" ht="15.75" customHeight="1">
      <c r="T460" s="136"/>
    </row>
    <row r="461" spans="20:20" ht="15.75" customHeight="1">
      <c r="T461" s="136"/>
    </row>
    <row r="462" spans="20:20" ht="15.75" customHeight="1">
      <c r="T462" s="136"/>
    </row>
    <row r="463" spans="20:20" ht="15.75" customHeight="1">
      <c r="T463" s="136"/>
    </row>
    <row r="464" spans="20:20" ht="15.75" customHeight="1">
      <c r="T464" s="136"/>
    </row>
    <row r="465" spans="20:20" ht="15.75" customHeight="1">
      <c r="T465" s="136"/>
    </row>
    <row r="466" spans="20:20" ht="15.75" customHeight="1">
      <c r="T466" s="136"/>
    </row>
    <row r="467" spans="20:20" ht="15.75" customHeight="1">
      <c r="T467" s="136"/>
    </row>
    <row r="468" spans="20:20" ht="15.75" customHeight="1">
      <c r="T468" s="136"/>
    </row>
    <row r="469" spans="20:20" ht="15.75" customHeight="1">
      <c r="T469" s="136"/>
    </row>
    <row r="470" spans="20:20" ht="15.75" customHeight="1">
      <c r="T470" s="136"/>
    </row>
    <row r="471" spans="20:20" ht="15.75" customHeight="1">
      <c r="T471" s="136"/>
    </row>
    <row r="472" spans="20:20" ht="15.75" customHeight="1">
      <c r="T472" s="136"/>
    </row>
    <row r="473" spans="20:20" ht="15.75" customHeight="1">
      <c r="T473" s="136"/>
    </row>
    <row r="474" spans="20:20" ht="15.75" customHeight="1">
      <c r="T474" s="136"/>
    </row>
    <row r="475" spans="20:20" ht="15.75" customHeight="1">
      <c r="T475" s="136"/>
    </row>
    <row r="476" spans="20:20" ht="15.75" customHeight="1">
      <c r="T476" s="136"/>
    </row>
    <row r="477" spans="20:20" ht="15.75" customHeight="1">
      <c r="T477" s="136"/>
    </row>
    <row r="478" spans="20:20" ht="15.75" customHeight="1">
      <c r="T478" s="136"/>
    </row>
    <row r="479" spans="20:20" ht="15.75" customHeight="1">
      <c r="T479" s="136"/>
    </row>
    <row r="480" spans="20:20" ht="15.75" customHeight="1">
      <c r="T480" s="136"/>
    </row>
    <row r="481" spans="20:20" ht="15.75" customHeight="1">
      <c r="T481" s="136"/>
    </row>
    <row r="482" spans="20:20" ht="15.75" customHeight="1">
      <c r="T482" s="136"/>
    </row>
    <row r="483" spans="20:20" ht="15.75" customHeight="1">
      <c r="T483" s="136"/>
    </row>
    <row r="484" spans="20:20" ht="15.75" customHeight="1">
      <c r="T484" s="136"/>
    </row>
    <row r="485" spans="20:20" ht="15.75" customHeight="1">
      <c r="T485" s="136"/>
    </row>
    <row r="486" spans="20:20" ht="15.75" customHeight="1">
      <c r="T486" s="136"/>
    </row>
    <row r="487" spans="20:20" ht="15.75" customHeight="1">
      <c r="T487" s="136"/>
    </row>
    <row r="488" spans="20:20" ht="15.75" customHeight="1">
      <c r="T488" s="136"/>
    </row>
    <row r="489" spans="20:20" ht="15.75" customHeight="1">
      <c r="T489" s="136"/>
    </row>
    <row r="490" spans="20:20" ht="15.75" customHeight="1">
      <c r="T490" s="136"/>
    </row>
    <row r="491" spans="20:20" ht="15.75" customHeight="1">
      <c r="T491" s="136"/>
    </row>
    <row r="492" spans="20:20" ht="15.75" customHeight="1">
      <c r="T492" s="136"/>
    </row>
    <row r="493" spans="20:20" ht="15.75" customHeight="1">
      <c r="T493" s="136"/>
    </row>
    <row r="494" spans="20:20" ht="15.75" customHeight="1">
      <c r="T494" s="136"/>
    </row>
    <row r="495" spans="20:20" ht="15.75" customHeight="1">
      <c r="T495" s="136"/>
    </row>
    <row r="496" spans="20:20" ht="15.75" customHeight="1">
      <c r="T496" s="136"/>
    </row>
    <row r="497" spans="20:20" ht="15.75" customHeight="1">
      <c r="T497" s="136"/>
    </row>
    <row r="498" spans="20:20" ht="15.75" customHeight="1">
      <c r="T498" s="136"/>
    </row>
    <row r="499" spans="20:20" ht="15.75" customHeight="1">
      <c r="T499" s="136"/>
    </row>
    <row r="500" spans="20:20" ht="15.75" customHeight="1">
      <c r="T500" s="136"/>
    </row>
    <row r="501" spans="20:20" ht="15.75" customHeight="1">
      <c r="T501" s="136"/>
    </row>
    <row r="502" spans="20:20" ht="15.75" customHeight="1">
      <c r="T502" s="136"/>
    </row>
    <row r="503" spans="20:20" ht="15.75" customHeight="1">
      <c r="T503" s="136"/>
    </row>
    <row r="504" spans="20:20" ht="15.75" customHeight="1">
      <c r="T504" s="136"/>
    </row>
    <row r="505" spans="20:20" ht="15.75" customHeight="1">
      <c r="T505" s="136"/>
    </row>
    <row r="506" spans="20:20" ht="15.75" customHeight="1">
      <c r="T506" s="136"/>
    </row>
    <row r="507" spans="20:20" ht="15.75" customHeight="1">
      <c r="T507" s="136"/>
    </row>
    <row r="508" spans="20:20" ht="15.75" customHeight="1">
      <c r="T508" s="136"/>
    </row>
    <row r="509" spans="20:20" ht="15.75" customHeight="1">
      <c r="T509" s="136"/>
    </row>
    <row r="510" spans="20:20" ht="15.75" customHeight="1">
      <c r="T510" s="136"/>
    </row>
    <row r="511" spans="20:20" ht="15.75" customHeight="1">
      <c r="T511" s="136"/>
    </row>
    <row r="512" spans="20:20" ht="15.75" customHeight="1">
      <c r="T512" s="136"/>
    </row>
    <row r="513" spans="20:20" ht="15.75" customHeight="1">
      <c r="T513" s="136"/>
    </row>
    <row r="514" spans="20:20" ht="15.75" customHeight="1">
      <c r="T514" s="136"/>
    </row>
    <row r="515" spans="20:20" ht="15.75" customHeight="1">
      <c r="T515" s="136"/>
    </row>
    <row r="516" spans="20:20" ht="15.75" customHeight="1">
      <c r="T516" s="136"/>
    </row>
    <row r="517" spans="20:20" ht="15.75" customHeight="1">
      <c r="T517" s="136"/>
    </row>
    <row r="518" spans="20:20" ht="15.75" customHeight="1">
      <c r="T518" s="136"/>
    </row>
    <row r="519" spans="20:20" ht="15.75" customHeight="1">
      <c r="T519" s="136"/>
    </row>
    <row r="520" spans="20:20" ht="15.75" customHeight="1">
      <c r="T520" s="136"/>
    </row>
    <row r="521" spans="20:20" ht="15.75" customHeight="1">
      <c r="T521" s="136"/>
    </row>
    <row r="522" spans="20:20" ht="15.75" customHeight="1">
      <c r="T522" s="136"/>
    </row>
    <row r="523" spans="20:20" ht="15.75" customHeight="1">
      <c r="T523" s="136"/>
    </row>
    <row r="524" spans="20:20" ht="15.75" customHeight="1">
      <c r="T524" s="136"/>
    </row>
    <row r="525" spans="20:20" ht="15.75" customHeight="1">
      <c r="T525" s="136"/>
    </row>
    <row r="526" spans="20:20" ht="15.75" customHeight="1">
      <c r="T526" s="136"/>
    </row>
    <row r="527" spans="20:20" ht="15.75" customHeight="1">
      <c r="T527" s="136"/>
    </row>
    <row r="528" spans="20:20" ht="15.75" customHeight="1">
      <c r="T528" s="136"/>
    </row>
    <row r="529" spans="20:20" ht="15.75" customHeight="1">
      <c r="T529" s="136"/>
    </row>
    <row r="530" spans="20:20" ht="15.75" customHeight="1">
      <c r="T530" s="136"/>
    </row>
    <row r="531" spans="20:20" ht="15.75" customHeight="1">
      <c r="T531" s="136"/>
    </row>
    <row r="532" spans="20:20" ht="15.75" customHeight="1">
      <c r="T532" s="136"/>
    </row>
    <row r="533" spans="20:20" ht="15.75" customHeight="1">
      <c r="T533" s="136"/>
    </row>
    <row r="534" spans="20:20" ht="15.75" customHeight="1">
      <c r="T534" s="136"/>
    </row>
    <row r="535" spans="20:20" ht="15.75" customHeight="1">
      <c r="T535" s="136"/>
    </row>
    <row r="536" spans="20:20" ht="15.75" customHeight="1">
      <c r="T536" s="136"/>
    </row>
    <row r="537" spans="20:20" ht="15.75" customHeight="1">
      <c r="T537" s="136"/>
    </row>
    <row r="538" spans="20:20" ht="15.75" customHeight="1">
      <c r="T538" s="136"/>
    </row>
    <row r="539" spans="20:20" ht="15.75" customHeight="1">
      <c r="T539" s="136"/>
    </row>
    <row r="540" spans="20:20" ht="15.75" customHeight="1">
      <c r="T540" s="136"/>
    </row>
    <row r="541" spans="20:20" ht="15.75" customHeight="1">
      <c r="T541" s="136"/>
    </row>
    <row r="542" spans="20:20" ht="15.75" customHeight="1">
      <c r="T542" s="136"/>
    </row>
    <row r="543" spans="20:20" ht="15.75" customHeight="1">
      <c r="T543" s="136"/>
    </row>
    <row r="544" spans="20:20" ht="15.75" customHeight="1">
      <c r="T544" s="136"/>
    </row>
    <row r="545" spans="20:20" ht="15.75" customHeight="1">
      <c r="T545" s="136"/>
    </row>
    <row r="546" spans="20:20" ht="15.75" customHeight="1">
      <c r="T546" s="136"/>
    </row>
    <row r="547" spans="20:20" ht="15.75" customHeight="1">
      <c r="T547" s="136"/>
    </row>
    <row r="548" spans="20:20" ht="15.75" customHeight="1">
      <c r="T548" s="136"/>
    </row>
    <row r="549" spans="20:20" ht="15.75" customHeight="1">
      <c r="T549" s="136"/>
    </row>
    <row r="550" spans="20:20" ht="15.75" customHeight="1">
      <c r="T550" s="136"/>
    </row>
    <row r="551" spans="20:20" ht="15.75" customHeight="1">
      <c r="T551" s="136"/>
    </row>
    <row r="552" spans="20:20" ht="15.75" customHeight="1">
      <c r="T552" s="136"/>
    </row>
    <row r="553" spans="20:20" ht="15.75" customHeight="1">
      <c r="T553" s="136"/>
    </row>
    <row r="554" spans="20:20" ht="15.75" customHeight="1">
      <c r="T554" s="136"/>
    </row>
    <row r="555" spans="20:20" ht="15.75" customHeight="1">
      <c r="T555" s="136"/>
    </row>
    <row r="556" spans="20:20" ht="15.75" customHeight="1">
      <c r="T556" s="136"/>
    </row>
    <row r="557" spans="20:20" ht="15.75" customHeight="1">
      <c r="T557" s="136"/>
    </row>
    <row r="558" spans="20:20" ht="15.75" customHeight="1">
      <c r="T558" s="136"/>
    </row>
    <row r="559" spans="20:20" ht="15.75" customHeight="1">
      <c r="T559" s="136"/>
    </row>
    <row r="560" spans="20:20" ht="15.75" customHeight="1">
      <c r="T560" s="136"/>
    </row>
    <row r="561" spans="20:20" ht="15.75" customHeight="1">
      <c r="T561" s="136"/>
    </row>
    <row r="562" spans="20:20" ht="15.75" customHeight="1">
      <c r="T562" s="136"/>
    </row>
    <row r="563" spans="20:20" ht="15.75" customHeight="1">
      <c r="T563" s="136"/>
    </row>
    <row r="564" spans="20:20" ht="15.75" customHeight="1">
      <c r="T564" s="136"/>
    </row>
    <row r="565" spans="20:20" ht="15.75" customHeight="1">
      <c r="T565" s="136"/>
    </row>
    <row r="566" spans="20:20" ht="15.75" customHeight="1">
      <c r="T566" s="136"/>
    </row>
    <row r="567" spans="20:20" ht="15.75" customHeight="1">
      <c r="T567" s="136"/>
    </row>
    <row r="568" spans="20:20" ht="15.75" customHeight="1">
      <c r="T568" s="136"/>
    </row>
    <row r="569" spans="20:20" ht="15.75" customHeight="1">
      <c r="T569" s="136"/>
    </row>
    <row r="570" spans="20:20" ht="15.75" customHeight="1">
      <c r="T570" s="136"/>
    </row>
    <row r="571" spans="20:20" ht="15.75" customHeight="1">
      <c r="T571" s="136"/>
    </row>
    <row r="572" spans="20:20" ht="15.75" customHeight="1">
      <c r="T572" s="136"/>
    </row>
    <row r="573" spans="20:20" ht="15.75" customHeight="1">
      <c r="T573" s="136"/>
    </row>
    <row r="574" spans="20:20" ht="15.75" customHeight="1">
      <c r="T574" s="136"/>
    </row>
    <row r="575" spans="20:20" ht="15.75" customHeight="1">
      <c r="T575" s="136"/>
    </row>
    <row r="576" spans="20:20" ht="15.75" customHeight="1">
      <c r="T576" s="136"/>
    </row>
    <row r="577" spans="20:20" ht="15.75" customHeight="1">
      <c r="T577" s="136"/>
    </row>
    <row r="578" spans="20:20" ht="15.75" customHeight="1">
      <c r="T578" s="136"/>
    </row>
    <row r="579" spans="20:20" ht="15.75" customHeight="1">
      <c r="T579" s="136"/>
    </row>
    <row r="580" spans="20:20" ht="15.75" customHeight="1">
      <c r="T580" s="136"/>
    </row>
    <row r="581" spans="20:20" ht="15.75" customHeight="1">
      <c r="T581" s="136"/>
    </row>
    <row r="582" spans="20:20" ht="15.75" customHeight="1">
      <c r="T582" s="136"/>
    </row>
    <row r="583" spans="20:20" ht="15.75" customHeight="1">
      <c r="T583" s="136"/>
    </row>
    <row r="584" spans="20:20" ht="15.75" customHeight="1">
      <c r="T584" s="136"/>
    </row>
    <row r="585" spans="20:20" ht="15.75" customHeight="1">
      <c r="T585" s="136"/>
    </row>
    <row r="586" spans="20:20" ht="15.75" customHeight="1">
      <c r="T586" s="136"/>
    </row>
    <row r="587" spans="20:20" ht="15.75" customHeight="1">
      <c r="T587" s="136"/>
    </row>
    <row r="588" spans="20:20" ht="15.75" customHeight="1">
      <c r="T588" s="136"/>
    </row>
    <row r="589" spans="20:20" ht="15.75" customHeight="1">
      <c r="T589" s="136"/>
    </row>
    <row r="590" spans="20:20" ht="15.75" customHeight="1">
      <c r="T590" s="136"/>
    </row>
    <row r="591" spans="20:20" ht="15.75" customHeight="1">
      <c r="T591" s="136"/>
    </row>
    <row r="592" spans="20:20" ht="15.75" customHeight="1">
      <c r="T592" s="136"/>
    </row>
    <row r="593" spans="20:20" ht="15.75" customHeight="1">
      <c r="T593" s="136"/>
    </row>
    <row r="594" spans="20:20" ht="15.75" customHeight="1">
      <c r="T594" s="136"/>
    </row>
    <row r="595" spans="20:20" ht="15.75" customHeight="1">
      <c r="T595" s="136"/>
    </row>
    <row r="596" spans="20:20" ht="15.75" customHeight="1">
      <c r="T596" s="136"/>
    </row>
    <row r="597" spans="20:20" ht="15.75" customHeight="1">
      <c r="T597" s="136"/>
    </row>
    <row r="598" spans="20:20" ht="15.75" customHeight="1">
      <c r="T598" s="136"/>
    </row>
    <row r="599" spans="20:20" ht="15.75" customHeight="1">
      <c r="T599" s="136"/>
    </row>
    <row r="600" spans="20:20" ht="15.75" customHeight="1">
      <c r="T600" s="136"/>
    </row>
    <row r="601" spans="20:20" ht="15.75" customHeight="1">
      <c r="T601" s="136"/>
    </row>
    <row r="602" spans="20:20" ht="15.75" customHeight="1">
      <c r="T602" s="136"/>
    </row>
    <row r="603" spans="20:20" ht="15.75" customHeight="1">
      <c r="T603" s="136"/>
    </row>
    <row r="604" spans="20:20" ht="15.75" customHeight="1">
      <c r="T604" s="136"/>
    </row>
    <row r="605" spans="20:20" ht="15.75" customHeight="1">
      <c r="T605" s="136"/>
    </row>
    <row r="606" spans="20:20" ht="15.75" customHeight="1">
      <c r="T606" s="136"/>
    </row>
    <row r="607" spans="20:20" ht="15.75" customHeight="1">
      <c r="T607" s="136"/>
    </row>
    <row r="608" spans="20:20" ht="15.75" customHeight="1">
      <c r="T608" s="136"/>
    </row>
    <row r="609" spans="20:20" ht="15.75" customHeight="1">
      <c r="T609" s="136"/>
    </row>
    <row r="610" spans="20:20" ht="15.75" customHeight="1">
      <c r="T610" s="136"/>
    </row>
    <row r="611" spans="20:20" ht="15.75" customHeight="1">
      <c r="T611" s="136"/>
    </row>
    <row r="612" spans="20:20" ht="15.75" customHeight="1">
      <c r="T612" s="136"/>
    </row>
    <row r="613" spans="20:20" ht="15.75" customHeight="1">
      <c r="T613" s="136"/>
    </row>
    <row r="614" spans="20:20" ht="15.75" customHeight="1">
      <c r="T614" s="136"/>
    </row>
    <row r="615" spans="20:20" ht="15.75" customHeight="1">
      <c r="T615" s="136"/>
    </row>
    <row r="616" spans="20:20" ht="15.75" customHeight="1">
      <c r="T616" s="136"/>
    </row>
    <row r="617" spans="20:20" ht="15.75" customHeight="1">
      <c r="T617" s="136"/>
    </row>
    <row r="618" spans="20:20" ht="15.75" customHeight="1">
      <c r="T618" s="136"/>
    </row>
    <row r="619" spans="20:20" ht="15.75" customHeight="1">
      <c r="T619" s="136"/>
    </row>
    <row r="620" spans="20:20" ht="15.75" customHeight="1">
      <c r="T620" s="136"/>
    </row>
    <row r="621" spans="20:20" ht="15.75" customHeight="1">
      <c r="T621" s="136"/>
    </row>
    <row r="622" spans="20:20" ht="15.75" customHeight="1">
      <c r="T622" s="136"/>
    </row>
    <row r="623" spans="20:20" ht="15.75" customHeight="1">
      <c r="T623" s="136"/>
    </row>
    <row r="624" spans="20:20" ht="15.75" customHeight="1">
      <c r="T624" s="136"/>
    </row>
    <row r="625" spans="20:20" ht="15.75" customHeight="1">
      <c r="T625" s="136"/>
    </row>
    <row r="626" spans="20:20" ht="15.75" customHeight="1">
      <c r="T626" s="136"/>
    </row>
    <row r="627" spans="20:20" ht="15.75" customHeight="1">
      <c r="T627" s="136"/>
    </row>
    <row r="628" spans="20:20" ht="15.75" customHeight="1">
      <c r="T628" s="136"/>
    </row>
    <row r="629" spans="20:20" ht="15.75" customHeight="1">
      <c r="T629" s="136"/>
    </row>
    <row r="630" spans="20:20" ht="15.75" customHeight="1">
      <c r="T630" s="136"/>
    </row>
    <row r="631" spans="20:20" ht="15.75" customHeight="1">
      <c r="T631" s="136"/>
    </row>
    <row r="632" spans="20:20" ht="15.75" customHeight="1">
      <c r="T632" s="136"/>
    </row>
    <row r="633" spans="20:20" ht="15.75" customHeight="1">
      <c r="T633" s="136"/>
    </row>
    <row r="634" spans="20:20" ht="15.75" customHeight="1">
      <c r="T634" s="136"/>
    </row>
    <row r="635" spans="20:20" ht="15.75" customHeight="1">
      <c r="T635" s="136"/>
    </row>
    <row r="636" spans="20:20" ht="15.75" customHeight="1">
      <c r="T636" s="136"/>
    </row>
    <row r="637" spans="20:20" ht="15.75" customHeight="1">
      <c r="T637" s="136"/>
    </row>
    <row r="638" spans="20:20" ht="15.75" customHeight="1">
      <c r="T638" s="136"/>
    </row>
    <row r="639" spans="20:20" ht="15.75" customHeight="1">
      <c r="T639" s="136"/>
    </row>
    <row r="640" spans="20:20" ht="15.75" customHeight="1">
      <c r="T640" s="136"/>
    </row>
    <row r="641" spans="20:20" ht="15.75" customHeight="1">
      <c r="T641" s="136"/>
    </row>
    <row r="642" spans="20:20" ht="15.75" customHeight="1">
      <c r="T642" s="136"/>
    </row>
    <row r="643" spans="20:20" ht="15.75" customHeight="1">
      <c r="T643" s="136"/>
    </row>
    <row r="644" spans="20:20" ht="15.75" customHeight="1">
      <c r="T644" s="136"/>
    </row>
    <row r="645" spans="20:20" ht="15.75" customHeight="1">
      <c r="T645" s="136"/>
    </row>
    <row r="646" spans="20:20" ht="15.75" customHeight="1">
      <c r="T646" s="136"/>
    </row>
    <row r="647" spans="20:20" ht="15.75" customHeight="1">
      <c r="T647" s="136"/>
    </row>
    <row r="648" spans="20:20" ht="15.75" customHeight="1">
      <c r="T648" s="136"/>
    </row>
    <row r="649" spans="20:20" ht="15.75" customHeight="1">
      <c r="T649" s="136"/>
    </row>
    <row r="650" spans="20:20" ht="15.75" customHeight="1">
      <c r="T650" s="136"/>
    </row>
    <row r="651" spans="20:20" ht="15.75" customHeight="1">
      <c r="T651" s="136"/>
    </row>
    <row r="652" spans="20:20" ht="15.75" customHeight="1">
      <c r="T652" s="136"/>
    </row>
    <row r="653" spans="20:20" ht="15.75" customHeight="1">
      <c r="T653" s="136"/>
    </row>
    <row r="654" spans="20:20" ht="15.75" customHeight="1">
      <c r="T654" s="136"/>
    </row>
    <row r="655" spans="20:20" ht="15.75" customHeight="1">
      <c r="T655" s="136"/>
    </row>
    <row r="656" spans="20:20" ht="15.75" customHeight="1">
      <c r="T656" s="136"/>
    </row>
    <row r="657" spans="20:20" ht="15.75" customHeight="1">
      <c r="T657" s="136"/>
    </row>
    <row r="658" spans="20:20" ht="15.75" customHeight="1">
      <c r="T658" s="136"/>
    </row>
    <row r="659" spans="20:20" ht="15.75" customHeight="1">
      <c r="T659" s="136"/>
    </row>
    <row r="660" spans="20:20" ht="15.75" customHeight="1">
      <c r="T660" s="136"/>
    </row>
    <row r="661" spans="20:20" ht="15.75" customHeight="1">
      <c r="T661" s="136"/>
    </row>
    <row r="662" spans="20:20" ht="15.75" customHeight="1">
      <c r="T662" s="136"/>
    </row>
    <row r="663" spans="20:20" ht="15.75" customHeight="1">
      <c r="T663" s="136"/>
    </row>
    <row r="664" spans="20:20" ht="15.75" customHeight="1">
      <c r="T664" s="136"/>
    </row>
    <row r="665" spans="20:20" ht="15.75" customHeight="1">
      <c r="T665" s="136"/>
    </row>
    <row r="666" spans="20:20" ht="15.75" customHeight="1">
      <c r="T666" s="136"/>
    </row>
    <row r="667" spans="20:20" ht="15.75" customHeight="1">
      <c r="T667" s="136"/>
    </row>
    <row r="668" spans="20:20" ht="15.75" customHeight="1">
      <c r="T668" s="136"/>
    </row>
    <row r="669" spans="20:20" ht="15.75" customHeight="1">
      <c r="T669" s="136"/>
    </row>
    <row r="670" spans="20:20" ht="15.75" customHeight="1">
      <c r="T670" s="136"/>
    </row>
    <row r="671" spans="20:20" ht="15.75" customHeight="1">
      <c r="T671" s="136"/>
    </row>
    <row r="672" spans="20:20" ht="15.75" customHeight="1">
      <c r="T672" s="136"/>
    </row>
    <row r="673" spans="20:20" ht="15.75" customHeight="1">
      <c r="T673" s="136"/>
    </row>
    <row r="674" spans="20:20" ht="15.75" customHeight="1">
      <c r="T674" s="136"/>
    </row>
    <row r="675" spans="20:20" ht="15.75" customHeight="1">
      <c r="T675" s="136"/>
    </row>
    <row r="676" spans="20:20" ht="15.75" customHeight="1">
      <c r="T676" s="136"/>
    </row>
    <row r="677" spans="20:20" ht="15.75" customHeight="1">
      <c r="T677" s="136"/>
    </row>
    <row r="678" spans="20:20" ht="15.75" customHeight="1">
      <c r="T678" s="136"/>
    </row>
    <row r="679" spans="20:20" ht="15.75" customHeight="1">
      <c r="T679" s="136"/>
    </row>
    <row r="680" spans="20:20" ht="15.75" customHeight="1">
      <c r="T680" s="136"/>
    </row>
    <row r="681" spans="20:20" ht="15.75" customHeight="1">
      <c r="T681" s="136"/>
    </row>
    <row r="682" spans="20:20" ht="15.75" customHeight="1">
      <c r="T682" s="136"/>
    </row>
    <row r="683" spans="20:20" ht="15.75" customHeight="1">
      <c r="T683" s="136"/>
    </row>
    <row r="684" spans="20:20" ht="15.75" customHeight="1">
      <c r="T684" s="136"/>
    </row>
    <row r="685" spans="20:20" ht="15.75" customHeight="1">
      <c r="T685" s="136"/>
    </row>
    <row r="686" spans="20:20" ht="15.75" customHeight="1">
      <c r="T686" s="136"/>
    </row>
    <row r="687" spans="20:20" ht="15.75" customHeight="1">
      <c r="T687" s="136"/>
    </row>
    <row r="688" spans="20:20" ht="15.75" customHeight="1">
      <c r="T688" s="136"/>
    </row>
    <row r="689" spans="20:20" ht="15.75" customHeight="1">
      <c r="T689" s="136"/>
    </row>
    <row r="690" spans="20:20" ht="15.75" customHeight="1">
      <c r="T690" s="136"/>
    </row>
    <row r="691" spans="20:20" ht="15.75" customHeight="1">
      <c r="T691" s="136"/>
    </row>
    <row r="692" spans="20:20" ht="15.75" customHeight="1">
      <c r="T692" s="136"/>
    </row>
    <row r="693" spans="20:20" ht="15.75" customHeight="1">
      <c r="T693" s="136"/>
    </row>
    <row r="694" spans="20:20" ht="15.75" customHeight="1">
      <c r="T694" s="136"/>
    </row>
    <row r="695" spans="20:20" ht="15.75" customHeight="1">
      <c r="T695" s="136"/>
    </row>
    <row r="696" spans="20:20" ht="15.75" customHeight="1">
      <c r="T696" s="136"/>
    </row>
    <row r="697" spans="20:20" ht="15.75" customHeight="1">
      <c r="T697" s="136"/>
    </row>
    <row r="698" spans="20:20" ht="15.75" customHeight="1">
      <c r="T698" s="136"/>
    </row>
    <row r="699" spans="20:20" ht="15.75" customHeight="1">
      <c r="T699" s="136"/>
    </row>
    <row r="700" spans="20:20" ht="15.75" customHeight="1">
      <c r="T700" s="136"/>
    </row>
    <row r="701" spans="20:20" ht="15.75" customHeight="1">
      <c r="T701" s="136"/>
    </row>
    <row r="702" spans="20:20" ht="15.75" customHeight="1">
      <c r="T702" s="136"/>
    </row>
    <row r="703" spans="20:20" ht="15.75" customHeight="1">
      <c r="T703" s="136"/>
    </row>
    <row r="704" spans="20:20" ht="15.75" customHeight="1">
      <c r="T704" s="136"/>
    </row>
    <row r="705" spans="20:20" ht="15.75" customHeight="1">
      <c r="T705" s="136"/>
    </row>
    <row r="706" spans="20:20" ht="15.75" customHeight="1">
      <c r="T706" s="136"/>
    </row>
    <row r="707" spans="20:20" ht="15.75" customHeight="1">
      <c r="T707" s="136"/>
    </row>
    <row r="708" spans="20:20" ht="15.75" customHeight="1">
      <c r="T708" s="136"/>
    </row>
    <row r="709" spans="20:20" ht="15.75" customHeight="1">
      <c r="T709" s="136"/>
    </row>
    <row r="710" spans="20:20" ht="15.75" customHeight="1">
      <c r="T710" s="136"/>
    </row>
    <row r="711" spans="20:20" ht="15.75" customHeight="1">
      <c r="T711" s="136"/>
    </row>
    <row r="712" spans="20:20" ht="15.75" customHeight="1">
      <c r="T712" s="136"/>
    </row>
    <row r="713" spans="20:20" ht="15.75" customHeight="1">
      <c r="T713" s="136"/>
    </row>
    <row r="714" spans="20:20" ht="15.75" customHeight="1">
      <c r="T714" s="136"/>
    </row>
    <row r="715" spans="20:20" ht="15.75" customHeight="1">
      <c r="T715" s="136"/>
    </row>
    <row r="716" spans="20:20" ht="15.75" customHeight="1">
      <c r="T716" s="136"/>
    </row>
    <row r="717" spans="20:20" ht="15.75" customHeight="1">
      <c r="T717" s="136"/>
    </row>
    <row r="718" spans="20:20" ht="15.75" customHeight="1">
      <c r="T718" s="136"/>
    </row>
    <row r="719" spans="20:20" ht="15.75" customHeight="1">
      <c r="T719" s="136"/>
    </row>
    <row r="720" spans="20:20" ht="15.75" customHeight="1">
      <c r="T720" s="136"/>
    </row>
    <row r="721" spans="20:20" ht="15.75" customHeight="1">
      <c r="T721" s="136"/>
    </row>
    <row r="722" spans="20:20" ht="15.75" customHeight="1">
      <c r="T722" s="136"/>
    </row>
    <row r="723" spans="20:20" ht="15.75" customHeight="1">
      <c r="T723" s="136"/>
    </row>
    <row r="724" spans="20:20" ht="15.75" customHeight="1">
      <c r="T724" s="136"/>
    </row>
    <row r="725" spans="20:20" ht="15.75" customHeight="1">
      <c r="T725" s="136"/>
    </row>
    <row r="726" spans="20:20" ht="15.75" customHeight="1">
      <c r="T726" s="136"/>
    </row>
    <row r="727" spans="20:20" ht="15.75" customHeight="1">
      <c r="T727" s="136"/>
    </row>
    <row r="728" spans="20:20" ht="15.75" customHeight="1">
      <c r="T728" s="136"/>
    </row>
    <row r="729" spans="20:20" ht="15.75" customHeight="1">
      <c r="T729" s="136"/>
    </row>
    <row r="730" spans="20:20" ht="15.75" customHeight="1">
      <c r="T730" s="136"/>
    </row>
    <row r="731" spans="20:20" ht="15.75" customHeight="1">
      <c r="T731" s="136"/>
    </row>
    <row r="732" spans="20:20" ht="15.75" customHeight="1">
      <c r="T732" s="136"/>
    </row>
    <row r="733" spans="20:20" ht="15.75" customHeight="1">
      <c r="T733" s="136"/>
    </row>
    <row r="734" spans="20:20" ht="15.75" customHeight="1">
      <c r="T734" s="136"/>
    </row>
    <row r="735" spans="20:20" ht="15.75" customHeight="1">
      <c r="T735" s="136"/>
    </row>
    <row r="736" spans="20:20" ht="15.75" customHeight="1">
      <c r="T736" s="136"/>
    </row>
    <row r="737" spans="20:20" ht="15.75" customHeight="1">
      <c r="T737" s="136"/>
    </row>
    <row r="738" spans="20:20" ht="15.75" customHeight="1">
      <c r="T738" s="136"/>
    </row>
    <row r="739" spans="20:20" ht="15.75" customHeight="1">
      <c r="T739" s="136"/>
    </row>
    <row r="740" spans="20:20" ht="15.75" customHeight="1">
      <c r="T740" s="136"/>
    </row>
    <row r="741" spans="20:20" ht="15.75" customHeight="1">
      <c r="T741" s="136"/>
    </row>
    <row r="742" spans="20:20" ht="15.75" customHeight="1">
      <c r="T742" s="136"/>
    </row>
    <row r="743" spans="20:20" ht="15.75" customHeight="1">
      <c r="T743" s="136"/>
    </row>
    <row r="744" spans="20:20" ht="15.75" customHeight="1">
      <c r="T744" s="136"/>
    </row>
    <row r="745" spans="20:20" ht="15.75" customHeight="1">
      <c r="T745" s="136"/>
    </row>
    <row r="746" spans="20:20" ht="15.75" customHeight="1">
      <c r="T746" s="136"/>
    </row>
    <row r="747" spans="20:20" ht="15.75" customHeight="1">
      <c r="T747" s="136"/>
    </row>
    <row r="748" spans="20:20" ht="15.75" customHeight="1">
      <c r="T748" s="136"/>
    </row>
    <row r="749" spans="20:20" ht="15.75" customHeight="1">
      <c r="T749" s="136"/>
    </row>
    <row r="750" spans="20:20" ht="15.75" customHeight="1">
      <c r="T750" s="136"/>
    </row>
    <row r="751" spans="20:20" ht="15.75" customHeight="1">
      <c r="T751" s="136"/>
    </row>
    <row r="752" spans="20:20" ht="15.75" customHeight="1">
      <c r="T752" s="136"/>
    </row>
    <row r="753" spans="20:20" ht="15.75" customHeight="1">
      <c r="T753" s="136"/>
    </row>
    <row r="754" spans="20:20" ht="15.75" customHeight="1">
      <c r="T754" s="136"/>
    </row>
    <row r="755" spans="20:20" ht="15.75" customHeight="1">
      <c r="T755" s="136"/>
    </row>
    <row r="756" spans="20:20" ht="15.75" customHeight="1">
      <c r="T756" s="136"/>
    </row>
    <row r="757" spans="20:20" ht="15.75" customHeight="1">
      <c r="T757" s="136"/>
    </row>
    <row r="758" spans="20:20" ht="15.75" customHeight="1">
      <c r="T758" s="136"/>
    </row>
    <row r="759" spans="20:20" ht="15.75" customHeight="1">
      <c r="T759" s="136"/>
    </row>
    <row r="760" spans="20:20" ht="15.75" customHeight="1">
      <c r="T760" s="136"/>
    </row>
    <row r="761" spans="20:20" ht="15.75" customHeight="1">
      <c r="T761" s="136"/>
    </row>
    <row r="762" spans="20:20" ht="15.75" customHeight="1">
      <c r="T762" s="136"/>
    </row>
    <row r="763" spans="20:20" ht="15.75" customHeight="1">
      <c r="T763" s="136"/>
    </row>
    <row r="764" spans="20:20" ht="15.75" customHeight="1">
      <c r="T764" s="136"/>
    </row>
    <row r="765" spans="20:20" ht="15.75" customHeight="1">
      <c r="T765" s="136"/>
    </row>
    <row r="766" spans="20:20" ht="15.75" customHeight="1">
      <c r="T766" s="136"/>
    </row>
    <row r="767" spans="20:20" ht="15.75" customHeight="1">
      <c r="T767" s="136"/>
    </row>
    <row r="768" spans="20:20" ht="15.75" customHeight="1">
      <c r="T768" s="136"/>
    </row>
    <row r="769" spans="20:20" ht="15.75" customHeight="1">
      <c r="T769" s="136"/>
    </row>
    <row r="770" spans="20:20" ht="15.75" customHeight="1">
      <c r="T770" s="136"/>
    </row>
    <row r="771" spans="20:20" ht="15.75" customHeight="1">
      <c r="T771" s="136"/>
    </row>
    <row r="772" spans="20:20" ht="15.75" customHeight="1">
      <c r="T772" s="136"/>
    </row>
    <row r="773" spans="20:20" ht="15.75" customHeight="1">
      <c r="T773" s="136"/>
    </row>
    <row r="774" spans="20:20" ht="15.75" customHeight="1">
      <c r="T774" s="136"/>
    </row>
    <row r="775" spans="20:20" ht="15.75" customHeight="1">
      <c r="T775" s="136"/>
    </row>
    <row r="776" spans="20:20" ht="15.75" customHeight="1">
      <c r="T776" s="136"/>
    </row>
    <row r="777" spans="20:20" ht="15.75" customHeight="1">
      <c r="T777" s="136"/>
    </row>
    <row r="778" spans="20:20" ht="15.75" customHeight="1">
      <c r="T778" s="136"/>
    </row>
    <row r="779" spans="20:20" ht="15.75" customHeight="1">
      <c r="T779" s="136"/>
    </row>
    <row r="780" spans="20:20" ht="15.75" customHeight="1">
      <c r="T780" s="136"/>
    </row>
    <row r="781" spans="20:20" ht="15.75" customHeight="1">
      <c r="T781" s="136"/>
    </row>
    <row r="782" spans="20:20" ht="15.75" customHeight="1">
      <c r="T782" s="136"/>
    </row>
    <row r="783" spans="20:20" ht="15.75" customHeight="1">
      <c r="T783" s="136"/>
    </row>
    <row r="784" spans="20:20" ht="15.75" customHeight="1">
      <c r="T784" s="136"/>
    </row>
    <row r="785" spans="20:20" ht="15.75" customHeight="1">
      <c r="T785" s="136"/>
    </row>
    <row r="786" spans="20:20" ht="15.75" customHeight="1">
      <c r="T786" s="136"/>
    </row>
    <row r="787" spans="20:20" ht="15.75" customHeight="1">
      <c r="T787" s="136"/>
    </row>
    <row r="788" spans="20:20" ht="15.75" customHeight="1">
      <c r="T788" s="136"/>
    </row>
    <row r="789" spans="20:20" ht="15.75" customHeight="1">
      <c r="T789" s="136"/>
    </row>
    <row r="790" spans="20:20" ht="15.75" customHeight="1">
      <c r="T790" s="136"/>
    </row>
    <row r="791" spans="20:20" ht="15.75" customHeight="1">
      <c r="T791" s="136"/>
    </row>
    <row r="792" spans="20:20" ht="15.75" customHeight="1">
      <c r="T792" s="136"/>
    </row>
    <row r="793" spans="20:20" ht="15.75" customHeight="1">
      <c r="T793" s="136"/>
    </row>
    <row r="794" spans="20:20" ht="15.75" customHeight="1">
      <c r="T794" s="136"/>
    </row>
    <row r="795" spans="20:20" ht="15.75" customHeight="1">
      <c r="T795" s="136"/>
    </row>
    <row r="796" spans="20:20" ht="15.75" customHeight="1">
      <c r="T796" s="136"/>
    </row>
    <row r="797" spans="20:20" ht="15.75" customHeight="1">
      <c r="T797" s="136"/>
    </row>
    <row r="798" spans="20:20" ht="15.75" customHeight="1">
      <c r="T798" s="136"/>
    </row>
    <row r="799" spans="20:20" ht="15.75" customHeight="1">
      <c r="T799" s="136"/>
    </row>
    <row r="800" spans="20:20" ht="15.75" customHeight="1">
      <c r="T800" s="136"/>
    </row>
    <row r="801" spans="20:20" ht="15.75" customHeight="1">
      <c r="T801" s="136"/>
    </row>
    <row r="802" spans="20:20" ht="15.75" customHeight="1">
      <c r="T802" s="136"/>
    </row>
    <row r="803" spans="20:20" ht="15.75" customHeight="1">
      <c r="T803" s="136"/>
    </row>
    <row r="804" spans="20:20" ht="15.75" customHeight="1">
      <c r="T804" s="136"/>
    </row>
    <row r="805" spans="20:20" ht="15.75" customHeight="1">
      <c r="T805" s="136"/>
    </row>
    <row r="806" spans="20:20" ht="15.75" customHeight="1">
      <c r="T806" s="136"/>
    </row>
    <row r="807" spans="20:20" ht="15.75" customHeight="1">
      <c r="T807" s="136"/>
    </row>
    <row r="808" spans="20:20" ht="15.75" customHeight="1">
      <c r="T808" s="136"/>
    </row>
    <row r="809" spans="20:20" ht="15.75" customHeight="1">
      <c r="T809" s="136"/>
    </row>
    <row r="810" spans="20:20" ht="15.75" customHeight="1">
      <c r="T810" s="136"/>
    </row>
    <row r="811" spans="20:20" ht="15.75" customHeight="1">
      <c r="T811" s="136"/>
    </row>
    <row r="812" spans="20:20" ht="15.75" customHeight="1">
      <c r="T812" s="136"/>
    </row>
    <row r="813" spans="20:20" ht="15.75" customHeight="1">
      <c r="T813" s="136"/>
    </row>
    <row r="814" spans="20:20" ht="15.75" customHeight="1">
      <c r="T814" s="136"/>
    </row>
    <row r="815" spans="20:20" ht="15.75" customHeight="1">
      <c r="T815" s="136"/>
    </row>
    <row r="816" spans="20:20" ht="15.75" customHeight="1">
      <c r="T816" s="136"/>
    </row>
    <row r="817" spans="20:20" ht="15.75" customHeight="1">
      <c r="T817" s="136"/>
    </row>
    <row r="818" spans="20:20" ht="15.75" customHeight="1">
      <c r="T818" s="136"/>
    </row>
    <row r="819" spans="20:20" ht="15.75" customHeight="1">
      <c r="T819" s="136"/>
    </row>
    <row r="820" spans="20:20" ht="15.75" customHeight="1">
      <c r="T820" s="136"/>
    </row>
    <row r="821" spans="20:20" ht="15.75" customHeight="1">
      <c r="T821" s="136"/>
    </row>
    <row r="822" spans="20:20" ht="15.75" customHeight="1">
      <c r="T822" s="136"/>
    </row>
    <row r="823" spans="20:20" ht="15.75" customHeight="1">
      <c r="T823" s="136"/>
    </row>
    <row r="824" spans="20:20" ht="15.75" customHeight="1">
      <c r="T824" s="136"/>
    </row>
    <row r="825" spans="20:20" ht="15.75" customHeight="1">
      <c r="T825" s="136"/>
    </row>
    <row r="826" spans="20:20" ht="15.75" customHeight="1">
      <c r="T826" s="136"/>
    </row>
    <row r="827" spans="20:20" ht="15.75" customHeight="1">
      <c r="T827" s="136"/>
    </row>
    <row r="828" spans="20:20" ht="15.75" customHeight="1">
      <c r="T828" s="136"/>
    </row>
    <row r="829" spans="20:20" ht="15.75" customHeight="1">
      <c r="T829" s="136"/>
    </row>
    <row r="830" spans="20:20" ht="15.75" customHeight="1">
      <c r="T830" s="136"/>
    </row>
    <row r="831" spans="20:20" ht="15.75" customHeight="1">
      <c r="T831" s="136"/>
    </row>
    <row r="832" spans="20:20" ht="15.75" customHeight="1">
      <c r="T832" s="136"/>
    </row>
    <row r="833" spans="20:20" ht="15.75" customHeight="1">
      <c r="T833" s="136"/>
    </row>
    <row r="834" spans="20:20" ht="15.75" customHeight="1">
      <c r="T834" s="136"/>
    </row>
    <row r="835" spans="20:20" ht="15.75" customHeight="1">
      <c r="T835" s="136"/>
    </row>
    <row r="836" spans="20:20" ht="15.75" customHeight="1">
      <c r="T836" s="136"/>
    </row>
    <row r="837" spans="20:20" ht="15.75" customHeight="1">
      <c r="T837" s="136"/>
    </row>
    <row r="838" spans="20:20" ht="15.75" customHeight="1">
      <c r="T838" s="136"/>
    </row>
    <row r="839" spans="20:20" ht="15.75" customHeight="1">
      <c r="T839" s="136"/>
    </row>
    <row r="840" spans="20:20" ht="15.75" customHeight="1">
      <c r="T840" s="136"/>
    </row>
    <row r="841" spans="20:20" ht="15.75" customHeight="1">
      <c r="T841" s="136"/>
    </row>
    <row r="842" spans="20:20" ht="15.75" customHeight="1">
      <c r="T842" s="136"/>
    </row>
    <row r="843" spans="20:20" ht="15.75" customHeight="1">
      <c r="T843" s="136"/>
    </row>
    <row r="844" spans="20:20" ht="15.75" customHeight="1">
      <c r="T844" s="136"/>
    </row>
    <row r="845" spans="20:20" ht="15.75" customHeight="1">
      <c r="T845" s="136"/>
    </row>
    <row r="846" spans="20:20" ht="15.75" customHeight="1">
      <c r="T846" s="136"/>
    </row>
    <row r="847" spans="20:20" ht="15.75" customHeight="1">
      <c r="T847" s="136"/>
    </row>
    <row r="848" spans="20:20" ht="15.75" customHeight="1">
      <c r="T848" s="136"/>
    </row>
    <row r="849" spans="20:20" ht="15.75" customHeight="1">
      <c r="T849" s="136"/>
    </row>
    <row r="850" spans="20:20" ht="15.75" customHeight="1">
      <c r="T850" s="136"/>
    </row>
    <row r="851" spans="20:20" ht="15.75" customHeight="1">
      <c r="T851" s="136"/>
    </row>
    <row r="852" spans="20:20" ht="15.75" customHeight="1">
      <c r="T852" s="136"/>
    </row>
    <row r="853" spans="20:20" ht="15.75" customHeight="1">
      <c r="T853" s="136"/>
    </row>
    <row r="854" spans="20:20" ht="15.75" customHeight="1">
      <c r="T854" s="136"/>
    </row>
    <row r="855" spans="20:20" ht="15.75" customHeight="1">
      <c r="T855" s="136"/>
    </row>
    <row r="856" spans="20:20" ht="15.75" customHeight="1">
      <c r="T856" s="136"/>
    </row>
    <row r="857" spans="20:20" ht="15.75" customHeight="1">
      <c r="T857" s="136"/>
    </row>
    <row r="858" spans="20:20" ht="15.75" customHeight="1">
      <c r="T858" s="136"/>
    </row>
    <row r="859" spans="20:20" ht="15.75" customHeight="1">
      <c r="T859" s="136"/>
    </row>
    <row r="860" spans="20:20" ht="15.75" customHeight="1">
      <c r="T860" s="136"/>
    </row>
    <row r="861" spans="20:20" ht="15.75" customHeight="1">
      <c r="T861" s="136"/>
    </row>
    <row r="862" spans="20:20" ht="15.75" customHeight="1">
      <c r="T862" s="136"/>
    </row>
    <row r="863" spans="20:20" ht="15.75" customHeight="1">
      <c r="T863" s="136"/>
    </row>
    <row r="864" spans="20:20" ht="15.75" customHeight="1">
      <c r="T864" s="136"/>
    </row>
    <row r="865" spans="20:20" ht="15.75" customHeight="1">
      <c r="T865" s="136"/>
    </row>
    <row r="866" spans="20:20" ht="15.75" customHeight="1">
      <c r="T866" s="136"/>
    </row>
    <row r="867" spans="20:20" ht="15.75" customHeight="1">
      <c r="T867" s="136"/>
    </row>
    <row r="868" spans="20:20" ht="15.75" customHeight="1">
      <c r="T868" s="136"/>
    </row>
    <row r="869" spans="20:20" ht="15.75" customHeight="1">
      <c r="T869" s="136"/>
    </row>
    <row r="870" spans="20:20" ht="15.75" customHeight="1">
      <c r="T870" s="136"/>
    </row>
    <row r="871" spans="20:20" ht="15.75" customHeight="1">
      <c r="T871" s="136"/>
    </row>
    <row r="872" spans="20:20" ht="15.75" customHeight="1">
      <c r="T872" s="136"/>
    </row>
    <row r="873" spans="20:20" ht="15.75" customHeight="1">
      <c r="T873" s="136"/>
    </row>
    <row r="874" spans="20:20" ht="15.75" customHeight="1">
      <c r="T874" s="136"/>
    </row>
    <row r="875" spans="20:20" ht="15.75" customHeight="1">
      <c r="T875" s="136"/>
    </row>
    <row r="876" spans="20:20" ht="15.75" customHeight="1">
      <c r="T876" s="136"/>
    </row>
    <row r="877" spans="20:20" ht="15.75" customHeight="1">
      <c r="T877" s="136"/>
    </row>
    <row r="878" spans="20:20" ht="15.75" customHeight="1">
      <c r="T878" s="136"/>
    </row>
    <row r="879" spans="20:20" ht="15.75" customHeight="1">
      <c r="T879" s="136"/>
    </row>
    <row r="880" spans="20:20" ht="15.75" customHeight="1">
      <c r="T880" s="136"/>
    </row>
    <row r="881" spans="20:20" ht="15.75" customHeight="1">
      <c r="T881" s="136"/>
    </row>
    <row r="882" spans="20:20" ht="15.75" customHeight="1">
      <c r="T882" s="136"/>
    </row>
    <row r="883" spans="20:20" ht="15.75" customHeight="1">
      <c r="T883" s="136"/>
    </row>
    <row r="884" spans="20:20" ht="15.75" customHeight="1">
      <c r="T884" s="136"/>
    </row>
    <row r="885" spans="20:20" ht="15.75" customHeight="1">
      <c r="T885" s="136"/>
    </row>
    <row r="886" spans="20:20" ht="15.75" customHeight="1">
      <c r="T886" s="136"/>
    </row>
    <row r="887" spans="20:20" ht="15.75" customHeight="1">
      <c r="T887" s="136"/>
    </row>
    <row r="888" spans="20:20" ht="15.75" customHeight="1">
      <c r="T888" s="136"/>
    </row>
    <row r="889" spans="20:20" ht="15.75" customHeight="1">
      <c r="T889" s="136"/>
    </row>
    <row r="890" spans="20:20" ht="15.75" customHeight="1">
      <c r="T890" s="136"/>
    </row>
    <row r="891" spans="20:20" ht="15.75" customHeight="1">
      <c r="T891" s="136"/>
    </row>
    <row r="892" spans="20:20" ht="15.75" customHeight="1">
      <c r="T892" s="136"/>
    </row>
    <row r="893" spans="20:20" ht="15.75" customHeight="1">
      <c r="T893" s="136"/>
    </row>
    <row r="894" spans="20:20" ht="15.75" customHeight="1">
      <c r="T894" s="136"/>
    </row>
    <row r="895" spans="20:20" ht="15.75" customHeight="1">
      <c r="T895" s="136"/>
    </row>
    <row r="896" spans="20:20" ht="15.75" customHeight="1">
      <c r="T896" s="136"/>
    </row>
    <row r="897" spans="20:20" ht="15.75" customHeight="1">
      <c r="T897" s="136"/>
    </row>
    <row r="898" spans="20:20" ht="15.75" customHeight="1">
      <c r="T898" s="136"/>
    </row>
    <row r="899" spans="20:20" ht="15.75" customHeight="1">
      <c r="T899" s="136"/>
    </row>
    <row r="900" spans="20:20" ht="15.75" customHeight="1">
      <c r="T900" s="136"/>
    </row>
    <row r="901" spans="20:20" ht="15.75" customHeight="1">
      <c r="T901" s="136"/>
    </row>
    <row r="902" spans="20:20" ht="15.75" customHeight="1">
      <c r="T902" s="136"/>
    </row>
    <row r="903" spans="20:20" ht="15.75" customHeight="1">
      <c r="T903" s="136"/>
    </row>
    <row r="904" spans="20:20" ht="15.75" customHeight="1">
      <c r="T904" s="136"/>
    </row>
    <row r="905" spans="20:20" ht="15.75" customHeight="1">
      <c r="T905" s="136"/>
    </row>
    <row r="906" spans="20:20" ht="15.75" customHeight="1">
      <c r="T906" s="136"/>
    </row>
    <row r="907" spans="20:20" ht="15.75" customHeight="1">
      <c r="T907" s="136"/>
    </row>
    <row r="908" spans="20:20" ht="15.75" customHeight="1">
      <c r="T908" s="136"/>
    </row>
    <row r="909" spans="20:20" ht="15.75" customHeight="1">
      <c r="T909" s="136"/>
    </row>
    <row r="910" spans="20:20" ht="15.75" customHeight="1">
      <c r="T910" s="136"/>
    </row>
    <row r="911" spans="20:20" ht="15.75" customHeight="1">
      <c r="T911" s="136"/>
    </row>
    <row r="912" spans="20:20" ht="15.75" customHeight="1">
      <c r="T912" s="136"/>
    </row>
    <row r="913" spans="20:20" ht="15.75" customHeight="1">
      <c r="T913" s="136"/>
    </row>
    <row r="914" spans="20:20" ht="15.75" customHeight="1">
      <c r="T914" s="136"/>
    </row>
    <row r="915" spans="20:20" ht="15.75" customHeight="1">
      <c r="T915" s="136"/>
    </row>
    <row r="916" spans="20:20" ht="15.75" customHeight="1">
      <c r="T916" s="136"/>
    </row>
    <row r="917" spans="20:20" ht="15.75" customHeight="1">
      <c r="T917" s="136"/>
    </row>
    <row r="918" spans="20:20" ht="15.75" customHeight="1">
      <c r="T918" s="136"/>
    </row>
    <row r="919" spans="20:20" ht="15.75" customHeight="1">
      <c r="T919" s="136"/>
    </row>
    <row r="920" spans="20:20" ht="15.75" customHeight="1">
      <c r="T920" s="136"/>
    </row>
    <row r="921" spans="20:20" ht="15.75" customHeight="1">
      <c r="T921" s="136"/>
    </row>
    <row r="922" spans="20:20" ht="15.75" customHeight="1">
      <c r="T922" s="136"/>
    </row>
    <row r="923" spans="20:20" ht="15.75" customHeight="1">
      <c r="T923" s="136"/>
    </row>
    <row r="924" spans="20:20" ht="15.75" customHeight="1">
      <c r="T924" s="136"/>
    </row>
    <row r="925" spans="20:20" ht="15.75" customHeight="1">
      <c r="T925" s="136"/>
    </row>
    <row r="926" spans="20:20" ht="15.75" customHeight="1">
      <c r="T926" s="136"/>
    </row>
    <row r="927" spans="20:20" ht="15.75" customHeight="1">
      <c r="T927" s="136"/>
    </row>
    <row r="928" spans="20:20" ht="15.75" customHeight="1">
      <c r="T928" s="136"/>
    </row>
    <row r="929" spans="20:20" ht="15.75" customHeight="1">
      <c r="T929" s="136"/>
    </row>
    <row r="930" spans="20:20" ht="15.75" customHeight="1">
      <c r="T930" s="136"/>
    </row>
    <row r="931" spans="20:20" ht="15.75" customHeight="1">
      <c r="T931" s="136"/>
    </row>
    <row r="932" spans="20:20" ht="15.75" customHeight="1">
      <c r="T932" s="136"/>
    </row>
    <row r="933" spans="20:20" ht="15.75" customHeight="1">
      <c r="T933" s="136"/>
    </row>
    <row r="934" spans="20:20" ht="15.75" customHeight="1">
      <c r="T934" s="136"/>
    </row>
    <row r="935" spans="20:20" ht="15.75" customHeight="1">
      <c r="T935" s="136"/>
    </row>
    <row r="936" spans="20:20" ht="15.75" customHeight="1">
      <c r="T936" s="136"/>
    </row>
    <row r="937" spans="20:20" ht="15.75" customHeight="1">
      <c r="T937" s="136"/>
    </row>
    <row r="938" spans="20:20" ht="15.75" customHeight="1">
      <c r="T938" s="136"/>
    </row>
    <row r="939" spans="20:20" ht="15.75" customHeight="1">
      <c r="T939" s="136"/>
    </row>
    <row r="940" spans="20:20" ht="15.75" customHeight="1">
      <c r="T940" s="136"/>
    </row>
    <row r="941" spans="20:20" ht="15.75" customHeight="1">
      <c r="T941" s="136"/>
    </row>
    <row r="942" spans="20:20" ht="15.75" customHeight="1">
      <c r="T942" s="136"/>
    </row>
    <row r="943" spans="20:20" ht="15.75" customHeight="1">
      <c r="T943" s="136"/>
    </row>
    <row r="944" spans="20:20" ht="15.75" customHeight="1">
      <c r="T944" s="136"/>
    </row>
    <row r="945" spans="20:20" ht="15.75" customHeight="1">
      <c r="T945" s="136"/>
    </row>
    <row r="946" spans="20:20" ht="15.75" customHeight="1">
      <c r="T946" s="136"/>
    </row>
    <row r="947" spans="20:20" ht="15.75" customHeight="1">
      <c r="T947" s="136"/>
    </row>
    <row r="948" spans="20:20" ht="15.75" customHeight="1">
      <c r="T948" s="136"/>
    </row>
    <row r="949" spans="20:20" ht="15.75" customHeight="1">
      <c r="T949" s="136"/>
    </row>
    <row r="950" spans="20:20" ht="15.75" customHeight="1">
      <c r="T950" s="136"/>
    </row>
    <row r="951" spans="20:20" ht="15.75" customHeight="1">
      <c r="T951" s="136"/>
    </row>
    <row r="952" spans="20:20" ht="15.75" customHeight="1">
      <c r="T952" s="136"/>
    </row>
    <row r="953" spans="20:20" ht="15.75" customHeight="1">
      <c r="T953" s="136"/>
    </row>
    <row r="954" spans="20:20" ht="15.75" customHeight="1">
      <c r="T954" s="136"/>
    </row>
    <row r="955" spans="20:20" ht="15.75" customHeight="1">
      <c r="T955" s="136"/>
    </row>
    <row r="956" spans="20:20" ht="15.75" customHeight="1">
      <c r="T956" s="136"/>
    </row>
    <row r="957" spans="20:20" ht="15.75" customHeight="1">
      <c r="T957" s="136"/>
    </row>
    <row r="958" spans="20:20" ht="15.75" customHeight="1">
      <c r="T958" s="136"/>
    </row>
    <row r="959" spans="20:20" ht="15.75" customHeight="1">
      <c r="T959" s="136"/>
    </row>
    <row r="960" spans="20:20" ht="15.75" customHeight="1">
      <c r="T960" s="136"/>
    </row>
    <row r="961" spans="20:20" ht="15.75" customHeight="1">
      <c r="T961" s="136"/>
    </row>
    <row r="962" spans="20:20" ht="15.75" customHeight="1">
      <c r="T962" s="136"/>
    </row>
    <row r="963" spans="20:20" ht="15.75" customHeight="1">
      <c r="T963" s="136"/>
    </row>
    <row r="964" spans="20:20" ht="15.75" customHeight="1">
      <c r="T964" s="136"/>
    </row>
    <row r="965" spans="20:20" ht="15.75" customHeight="1">
      <c r="T965" s="136"/>
    </row>
    <row r="966" spans="20:20" ht="15.75" customHeight="1">
      <c r="T966" s="136"/>
    </row>
    <row r="967" spans="20:20" ht="15.75" customHeight="1">
      <c r="T967" s="136"/>
    </row>
    <row r="968" spans="20:20" ht="15.75" customHeight="1">
      <c r="T968" s="136"/>
    </row>
    <row r="969" spans="20:20" ht="15.75" customHeight="1">
      <c r="T969" s="136"/>
    </row>
    <row r="970" spans="20:20" ht="15.75" customHeight="1">
      <c r="T970" s="136"/>
    </row>
    <row r="971" spans="20:20" ht="15.75" customHeight="1">
      <c r="T971" s="136"/>
    </row>
    <row r="972" spans="20:20" ht="15.75" customHeight="1">
      <c r="T972" s="136"/>
    </row>
    <row r="973" spans="20:20" ht="15.75" customHeight="1">
      <c r="T973" s="136"/>
    </row>
    <row r="974" spans="20:20" ht="15.75" customHeight="1">
      <c r="T974" s="136"/>
    </row>
    <row r="975" spans="20:20" ht="15.75" customHeight="1">
      <c r="T975" s="136"/>
    </row>
    <row r="976" spans="20:20" ht="15.75" customHeight="1">
      <c r="T976" s="136"/>
    </row>
    <row r="977" spans="20:20" ht="15.75" customHeight="1">
      <c r="T977" s="136"/>
    </row>
    <row r="978" spans="20:20" ht="15.75" customHeight="1">
      <c r="T978" s="136"/>
    </row>
    <row r="979" spans="20:20" ht="15.75" customHeight="1">
      <c r="T979" s="136"/>
    </row>
    <row r="980" spans="20:20" ht="15.75" customHeight="1">
      <c r="T980" s="136"/>
    </row>
    <row r="981" spans="20:20" ht="15.75" customHeight="1">
      <c r="T981" s="136"/>
    </row>
    <row r="982" spans="20:20" ht="15.75" customHeight="1">
      <c r="T982" s="136"/>
    </row>
    <row r="983" spans="20:20" ht="15.75" customHeight="1">
      <c r="T983" s="136"/>
    </row>
    <row r="984" spans="20:20" ht="15.75" customHeight="1">
      <c r="T984" s="136"/>
    </row>
    <row r="985" spans="20:20" ht="15.75" customHeight="1">
      <c r="T985" s="136"/>
    </row>
    <row r="986" spans="20:20" ht="15.75" customHeight="1">
      <c r="T986" s="136"/>
    </row>
    <row r="987" spans="20:20" ht="15.75" customHeight="1">
      <c r="T987" s="136"/>
    </row>
    <row r="988" spans="20:20" ht="15.75" customHeight="1">
      <c r="T988" s="136"/>
    </row>
    <row r="989" spans="20:20" ht="15.75" customHeight="1">
      <c r="T989" s="136"/>
    </row>
    <row r="990" spans="20:20" ht="15.75" customHeight="1">
      <c r="T990" s="136"/>
    </row>
    <row r="991" spans="20:20" ht="15.75" customHeight="1">
      <c r="T991" s="136"/>
    </row>
    <row r="992" spans="20:20" ht="15.75" customHeight="1">
      <c r="T992" s="136"/>
    </row>
    <row r="993" spans="20:20" ht="15.75" customHeight="1">
      <c r="T993" s="136"/>
    </row>
    <row r="994" spans="20:20" ht="15.75" customHeight="1">
      <c r="T994" s="136"/>
    </row>
    <row r="995" spans="20:20" ht="15.75" customHeight="1">
      <c r="T995" s="136"/>
    </row>
    <row r="996" spans="20:20" ht="15.75" customHeight="1">
      <c r="T996" s="136"/>
    </row>
    <row r="997" spans="20:20" ht="15.75" customHeight="1">
      <c r="T997" s="136"/>
    </row>
    <row r="998" spans="20:20" ht="15.75" customHeight="1">
      <c r="T998" s="136"/>
    </row>
    <row r="999" spans="20:20" ht="15.75" customHeight="1">
      <c r="T999" s="136"/>
    </row>
    <row r="1000" spans="20:20" ht="15.75" customHeight="1">
      <c r="T1000" s="136"/>
    </row>
    <row r="1001" spans="20:20" ht="15.75" customHeight="1">
      <c r="T1001" s="136"/>
    </row>
    <row r="1002" spans="20:20" ht="15.75" customHeight="1">
      <c r="T1002" s="136"/>
    </row>
    <row r="1003" spans="20:20" ht="15.75" customHeight="1">
      <c r="T1003" s="136"/>
    </row>
    <row r="1004" spans="20:20" ht="15.75" customHeight="1">
      <c r="T1004" s="136"/>
    </row>
    <row r="1005" spans="20:20" ht="15.75" customHeight="1">
      <c r="T1005" s="136"/>
    </row>
    <row r="1006" spans="20:20" ht="15.75" customHeight="1">
      <c r="T1006" s="136"/>
    </row>
    <row r="1007" spans="20:20" ht="15.75" customHeight="1">
      <c r="T1007" s="136"/>
    </row>
  </sheetData>
  <mergeCells count="1">
    <mergeCell ref="AG33:AG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86"/>
  <sheetViews>
    <sheetView workbookViewId="0"/>
  </sheetViews>
  <sheetFormatPr defaultColWidth="12.6328125" defaultRowHeight="15.75" customHeight="1"/>
  <cols>
    <col min="2" max="2" width="51.6328125" customWidth="1"/>
    <col min="3" max="3" width="30.453125" customWidth="1"/>
  </cols>
  <sheetData>
    <row r="1" spans="1:12" ht="14">
      <c r="A1" s="138" t="s">
        <v>655</v>
      </c>
      <c r="B1" s="139" t="s">
        <v>496</v>
      </c>
      <c r="C1" s="139" t="s">
        <v>656</v>
      </c>
      <c r="D1" s="139" t="s">
        <v>657</v>
      </c>
      <c r="E1" s="139" t="s">
        <v>658</v>
      </c>
      <c r="F1" s="139" t="s">
        <v>659</v>
      </c>
      <c r="G1" s="139" t="s">
        <v>660</v>
      </c>
      <c r="H1" s="139" t="s">
        <v>661</v>
      </c>
      <c r="I1" s="139" t="s">
        <v>662</v>
      </c>
      <c r="J1" s="139" t="s">
        <v>663</v>
      </c>
      <c r="K1" s="139" t="s">
        <v>664</v>
      </c>
      <c r="L1" s="140" t="s">
        <v>448</v>
      </c>
    </row>
    <row r="2" spans="1:12" ht="14">
      <c r="A2" s="141">
        <v>7001643630</v>
      </c>
      <c r="B2" s="142" t="s">
        <v>665</v>
      </c>
      <c r="C2" s="142" t="s">
        <v>476</v>
      </c>
      <c r="D2" s="142" t="s">
        <v>510</v>
      </c>
      <c r="E2" s="142" t="s">
        <v>470</v>
      </c>
      <c r="F2" s="142" t="s">
        <v>471</v>
      </c>
      <c r="G2" s="142">
        <v>1</v>
      </c>
      <c r="H2" s="142">
        <v>0</v>
      </c>
      <c r="I2" s="142">
        <v>1</v>
      </c>
      <c r="J2" s="142" t="s">
        <v>666</v>
      </c>
      <c r="K2" s="142">
        <v>9</v>
      </c>
      <c r="L2" s="143" t="s">
        <v>667</v>
      </c>
    </row>
    <row r="3" spans="1:12" ht="23.25" customHeight="1">
      <c r="A3" s="141">
        <v>7001485888</v>
      </c>
      <c r="B3" s="142" t="s">
        <v>668</v>
      </c>
      <c r="C3" s="142" t="s">
        <v>474</v>
      </c>
      <c r="D3" s="142" t="s">
        <v>510</v>
      </c>
      <c r="E3" s="142" t="s">
        <v>470</v>
      </c>
      <c r="F3" s="142" t="s">
        <v>669</v>
      </c>
      <c r="G3" s="142">
        <v>1</v>
      </c>
      <c r="H3" s="142">
        <v>1</v>
      </c>
      <c r="I3" s="142">
        <v>1</v>
      </c>
      <c r="J3" s="142" t="s">
        <v>666</v>
      </c>
      <c r="K3" s="142">
        <v>15</v>
      </c>
      <c r="L3" s="143" t="s">
        <v>670</v>
      </c>
    </row>
    <row r="4" spans="1:12" ht="14">
      <c r="A4" s="141">
        <v>7001136973</v>
      </c>
      <c r="B4" s="142" t="s">
        <v>671</v>
      </c>
      <c r="C4" s="142" t="s">
        <v>476</v>
      </c>
      <c r="D4" s="142" t="s">
        <v>85</v>
      </c>
      <c r="E4" s="142" t="s">
        <v>470</v>
      </c>
      <c r="F4" s="142" t="s">
        <v>538</v>
      </c>
      <c r="G4" s="142">
        <v>1</v>
      </c>
      <c r="H4" s="142">
        <v>1</v>
      </c>
      <c r="I4" s="142">
        <v>1</v>
      </c>
      <c r="J4" s="142" t="s">
        <v>666</v>
      </c>
      <c r="K4" s="142">
        <v>41</v>
      </c>
      <c r="L4" s="143" t="s">
        <v>670</v>
      </c>
    </row>
    <row r="5" spans="1:12" ht="14">
      <c r="A5" s="141">
        <v>7001793182</v>
      </c>
      <c r="B5" s="142" t="s">
        <v>672</v>
      </c>
      <c r="C5" s="142" t="s">
        <v>479</v>
      </c>
      <c r="D5" s="142" t="s">
        <v>463</v>
      </c>
      <c r="E5" s="142" t="s">
        <v>470</v>
      </c>
      <c r="F5" s="142" t="s">
        <v>90</v>
      </c>
      <c r="G5" s="142">
        <v>1</v>
      </c>
      <c r="H5" s="142">
        <v>1</v>
      </c>
      <c r="I5" s="142">
        <v>1</v>
      </c>
      <c r="J5" s="142" t="s">
        <v>666</v>
      </c>
      <c r="K5" s="142">
        <v>3</v>
      </c>
      <c r="L5" s="143">
        <v>3</v>
      </c>
    </row>
    <row r="6" spans="1:12" ht="14">
      <c r="A6" s="141">
        <v>7000180397</v>
      </c>
      <c r="B6" s="142" t="s">
        <v>671</v>
      </c>
      <c r="C6" s="142" t="s">
        <v>476</v>
      </c>
      <c r="D6" s="142" t="s">
        <v>673</v>
      </c>
      <c r="E6" s="142" t="s">
        <v>470</v>
      </c>
      <c r="F6" s="142" t="s">
        <v>90</v>
      </c>
      <c r="G6" s="142">
        <v>1</v>
      </c>
      <c r="H6" s="142">
        <v>1</v>
      </c>
      <c r="I6" s="142">
        <v>1</v>
      </c>
      <c r="J6" s="142" t="s">
        <v>666</v>
      </c>
      <c r="K6" s="142">
        <v>42</v>
      </c>
      <c r="L6" s="143" t="s">
        <v>670</v>
      </c>
    </row>
    <row r="7" spans="1:12" ht="14">
      <c r="A7" s="141">
        <v>7000181067</v>
      </c>
      <c r="B7" s="142" t="s">
        <v>671</v>
      </c>
      <c r="C7" s="142" t="s">
        <v>476</v>
      </c>
      <c r="D7" s="142" t="s">
        <v>673</v>
      </c>
      <c r="E7" s="142" t="s">
        <v>470</v>
      </c>
      <c r="F7" s="142" t="s">
        <v>90</v>
      </c>
      <c r="G7" s="142">
        <v>1</v>
      </c>
      <c r="H7" s="142">
        <v>1</v>
      </c>
      <c r="I7" s="142">
        <v>1</v>
      </c>
      <c r="J7" s="142" t="s">
        <v>666</v>
      </c>
      <c r="K7" s="142">
        <v>42</v>
      </c>
      <c r="L7" s="143" t="s">
        <v>670</v>
      </c>
    </row>
    <row r="8" spans="1:12" ht="14">
      <c r="A8" s="141">
        <v>7000182505</v>
      </c>
      <c r="B8" s="142" t="s">
        <v>671</v>
      </c>
      <c r="C8" s="142" t="s">
        <v>476</v>
      </c>
      <c r="D8" s="142" t="s">
        <v>673</v>
      </c>
      <c r="E8" s="142" t="s">
        <v>470</v>
      </c>
      <c r="F8" s="142" t="s">
        <v>90</v>
      </c>
      <c r="G8" s="142">
        <v>2</v>
      </c>
      <c r="H8" s="142">
        <v>2</v>
      </c>
      <c r="I8" s="142">
        <v>2</v>
      </c>
      <c r="J8" s="142" t="s">
        <v>666</v>
      </c>
      <c r="K8" s="142">
        <v>42</v>
      </c>
      <c r="L8" s="143" t="s">
        <v>670</v>
      </c>
    </row>
    <row r="9" spans="1:12" ht="14">
      <c r="A9" s="141">
        <v>7000186130</v>
      </c>
      <c r="B9" s="142" t="s">
        <v>671</v>
      </c>
      <c r="C9" s="142" t="s">
        <v>476</v>
      </c>
      <c r="D9" s="142" t="s">
        <v>673</v>
      </c>
      <c r="E9" s="142" t="s">
        <v>470</v>
      </c>
      <c r="F9" s="142" t="s">
        <v>90</v>
      </c>
      <c r="G9" s="142">
        <v>1</v>
      </c>
      <c r="H9" s="142">
        <v>1</v>
      </c>
      <c r="I9" s="142">
        <v>1</v>
      </c>
      <c r="J9" s="142" t="s">
        <v>666</v>
      </c>
      <c r="K9" s="142">
        <v>42</v>
      </c>
      <c r="L9" s="143" t="s">
        <v>670</v>
      </c>
    </row>
    <row r="10" spans="1:12" ht="14">
      <c r="A10" s="141">
        <v>7000245001</v>
      </c>
      <c r="B10" s="142" t="s">
        <v>674</v>
      </c>
      <c r="C10" s="142" t="s">
        <v>495</v>
      </c>
      <c r="D10" s="142" t="s">
        <v>511</v>
      </c>
      <c r="E10" s="142" t="s">
        <v>470</v>
      </c>
      <c r="F10" s="142" t="s">
        <v>90</v>
      </c>
      <c r="G10" s="142">
        <v>3</v>
      </c>
      <c r="H10" s="142">
        <v>1</v>
      </c>
      <c r="I10" s="142">
        <v>3</v>
      </c>
      <c r="J10" s="142" t="s">
        <v>666</v>
      </c>
      <c r="K10" s="142">
        <v>26</v>
      </c>
      <c r="L10" s="143" t="s">
        <v>670</v>
      </c>
    </row>
    <row r="11" spans="1:12" ht="14">
      <c r="A11" s="141">
        <v>7000283116</v>
      </c>
      <c r="B11" s="142" t="s">
        <v>675</v>
      </c>
      <c r="C11" s="142" t="s">
        <v>476</v>
      </c>
      <c r="D11" s="142" t="s">
        <v>450</v>
      </c>
      <c r="E11" s="142" t="s">
        <v>470</v>
      </c>
      <c r="F11" s="142" t="s">
        <v>90</v>
      </c>
      <c r="G11" s="142">
        <v>4</v>
      </c>
      <c r="H11" s="142">
        <v>2</v>
      </c>
      <c r="I11" s="142">
        <v>4</v>
      </c>
      <c r="J11" s="142" t="s">
        <v>666</v>
      </c>
      <c r="K11" s="142">
        <v>15</v>
      </c>
      <c r="L11" s="143" t="s">
        <v>670</v>
      </c>
    </row>
    <row r="12" spans="1:12" ht="14">
      <c r="A12" s="141">
        <v>7000284257</v>
      </c>
      <c r="B12" s="142" t="s">
        <v>675</v>
      </c>
      <c r="C12" s="142" t="s">
        <v>478</v>
      </c>
      <c r="D12" s="142" t="s">
        <v>450</v>
      </c>
      <c r="E12" s="142" t="s">
        <v>470</v>
      </c>
      <c r="F12" s="142" t="s">
        <v>90</v>
      </c>
      <c r="G12" s="142">
        <v>2</v>
      </c>
      <c r="H12" s="142">
        <v>1</v>
      </c>
      <c r="I12" s="142">
        <v>2</v>
      </c>
      <c r="J12" s="142" t="s">
        <v>666</v>
      </c>
      <c r="K12" s="142">
        <v>46</v>
      </c>
      <c r="L12" s="143" t="s">
        <v>670</v>
      </c>
    </row>
    <row r="13" spans="1:12" ht="14">
      <c r="A13" s="141">
        <v>7000335964</v>
      </c>
      <c r="B13" s="144" t="s">
        <v>676</v>
      </c>
      <c r="C13" s="142" t="s">
        <v>478</v>
      </c>
      <c r="D13" s="142" t="s">
        <v>470</v>
      </c>
      <c r="E13" s="142" t="s">
        <v>470</v>
      </c>
      <c r="F13" s="142" t="s">
        <v>90</v>
      </c>
      <c r="G13" s="142">
        <v>1</v>
      </c>
      <c r="H13" s="142">
        <v>1</v>
      </c>
      <c r="I13" s="142">
        <v>1</v>
      </c>
      <c r="J13" s="142" t="s">
        <v>666</v>
      </c>
      <c r="K13" s="142">
        <v>16</v>
      </c>
      <c r="L13" s="143" t="s">
        <v>670</v>
      </c>
    </row>
    <row r="14" spans="1:12" ht="14">
      <c r="A14" s="141">
        <v>7000366606</v>
      </c>
      <c r="B14" s="142" t="s">
        <v>677</v>
      </c>
      <c r="C14" s="142" t="s">
        <v>495</v>
      </c>
      <c r="D14" s="142" t="s">
        <v>528</v>
      </c>
      <c r="E14" s="142" t="s">
        <v>470</v>
      </c>
      <c r="F14" s="142" t="s">
        <v>90</v>
      </c>
      <c r="G14" s="142">
        <v>6</v>
      </c>
      <c r="H14" s="142">
        <v>3</v>
      </c>
      <c r="I14" s="142">
        <v>6</v>
      </c>
      <c r="J14" s="142" t="s">
        <v>666</v>
      </c>
      <c r="K14" s="142">
        <v>15</v>
      </c>
      <c r="L14" s="143" t="s">
        <v>670</v>
      </c>
    </row>
    <row r="15" spans="1:12" ht="14">
      <c r="A15" s="141">
        <v>7000785818</v>
      </c>
      <c r="B15" s="142" t="s">
        <v>678</v>
      </c>
      <c r="C15" s="142" t="s">
        <v>476</v>
      </c>
      <c r="D15" s="142" t="s">
        <v>557</v>
      </c>
      <c r="E15" s="142" t="s">
        <v>470</v>
      </c>
      <c r="F15" s="142" t="s">
        <v>90</v>
      </c>
      <c r="G15" s="142">
        <v>8</v>
      </c>
      <c r="H15" s="142">
        <v>1</v>
      </c>
      <c r="I15" s="142">
        <v>8</v>
      </c>
      <c r="J15" s="142" t="s">
        <v>666</v>
      </c>
      <c r="K15" s="142">
        <v>39</v>
      </c>
      <c r="L15" s="143" t="s">
        <v>670</v>
      </c>
    </row>
    <row r="16" spans="1:12" ht="14">
      <c r="A16" s="141">
        <v>7000908997</v>
      </c>
      <c r="B16" s="145" t="s">
        <v>679</v>
      </c>
      <c r="C16" s="142" t="s">
        <v>478</v>
      </c>
      <c r="D16" s="142" t="s">
        <v>470</v>
      </c>
      <c r="E16" s="142" t="s">
        <v>470</v>
      </c>
      <c r="F16" s="142" t="s">
        <v>90</v>
      </c>
      <c r="G16" s="142">
        <v>143</v>
      </c>
      <c r="H16" s="142">
        <v>1</v>
      </c>
      <c r="I16" s="142">
        <v>143</v>
      </c>
      <c r="J16" s="142" t="s">
        <v>666</v>
      </c>
      <c r="K16" s="142">
        <v>16</v>
      </c>
      <c r="L16" s="143" t="s">
        <v>670</v>
      </c>
    </row>
    <row r="17" spans="1:12" ht="14">
      <c r="A17" s="141">
        <v>7000918024</v>
      </c>
      <c r="B17" s="145" t="s">
        <v>680</v>
      </c>
      <c r="C17" s="142" t="s">
        <v>478</v>
      </c>
      <c r="D17" s="142" t="s">
        <v>470</v>
      </c>
      <c r="E17" s="142" t="s">
        <v>470</v>
      </c>
      <c r="F17" s="142" t="s">
        <v>90</v>
      </c>
      <c r="G17" s="142">
        <v>46</v>
      </c>
      <c r="H17" s="142">
        <v>19</v>
      </c>
      <c r="I17" s="142">
        <v>46</v>
      </c>
      <c r="J17" s="142" t="s">
        <v>666</v>
      </c>
      <c r="K17" s="142">
        <v>41</v>
      </c>
      <c r="L17" s="143" t="s">
        <v>670</v>
      </c>
    </row>
    <row r="18" spans="1:12" ht="14">
      <c r="A18" s="141">
        <v>7001098626</v>
      </c>
      <c r="B18" s="142" t="s">
        <v>681</v>
      </c>
      <c r="C18" s="142" t="s">
        <v>474</v>
      </c>
      <c r="D18" s="142" t="s">
        <v>556</v>
      </c>
      <c r="E18" s="142" t="s">
        <v>470</v>
      </c>
      <c r="F18" s="142" t="s">
        <v>90</v>
      </c>
      <c r="G18" s="142">
        <v>3</v>
      </c>
      <c r="H18" s="142">
        <v>3</v>
      </c>
      <c r="I18" s="142">
        <v>3</v>
      </c>
      <c r="J18" s="142" t="s">
        <v>666</v>
      </c>
      <c r="K18" s="142">
        <v>25</v>
      </c>
      <c r="L18" s="143" t="s">
        <v>670</v>
      </c>
    </row>
    <row r="19" spans="1:12" ht="14">
      <c r="A19" s="141">
        <v>7001204815</v>
      </c>
      <c r="B19" s="142" t="s">
        <v>682</v>
      </c>
      <c r="C19" s="142" t="s">
        <v>474</v>
      </c>
      <c r="D19" s="142" t="s">
        <v>510</v>
      </c>
      <c r="E19" s="142" t="s">
        <v>470</v>
      </c>
      <c r="F19" s="142" t="s">
        <v>90</v>
      </c>
      <c r="G19" s="142">
        <v>1</v>
      </c>
      <c r="H19" s="142">
        <v>1</v>
      </c>
      <c r="I19" s="142">
        <v>1</v>
      </c>
      <c r="J19" s="142" t="s">
        <v>666</v>
      </c>
      <c r="K19" s="142">
        <v>15</v>
      </c>
      <c r="L19" s="143" t="s">
        <v>670</v>
      </c>
    </row>
    <row r="20" spans="1:12" ht="14">
      <c r="A20" s="141">
        <v>7001209358</v>
      </c>
      <c r="B20" s="142" t="s">
        <v>683</v>
      </c>
      <c r="C20" s="142" t="s">
        <v>495</v>
      </c>
      <c r="D20" s="142" t="s">
        <v>488</v>
      </c>
      <c r="E20" s="142" t="s">
        <v>470</v>
      </c>
      <c r="F20" s="142" t="s">
        <v>90</v>
      </c>
      <c r="G20" s="142">
        <v>18</v>
      </c>
      <c r="H20" s="142">
        <v>17</v>
      </c>
      <c r="I20" s="142">
        <v>18</v>
      </c>
      <c r="J20" s="142" t="s">
        <v>666</v>
      </c>
      <c r="K20" s="142">
        <v>15</v>
      </c>
      <c r="L20" s="143" t="s">
        <v>670</v>
      </c>
    </row>
    <row r="21" spans="1:12" ht="14">
      <c r="A21" s="141">
        <v>7001246118</v>
      </c>
      <c r="B21" s="142" t="s">
        <v>671</v>
      </c>
      <c r="C21" s="142" t="s">
        <v>476</v>
      </c>
      <c r="D21" s="142" t="s">
        <v>450</v>
      </c>
      <c r="E21" s="142" t="s">
        <v>470</v>
      </c>
      <c r="F21" s="142" t="s">
        <v>90</v>
      </c>
      <c r="G21" s="142">
        <v>1</v>
      </c>
      <c r="H21" s="142">
        <v>0</v>
      </c>
      <c r="I21" s="142">
        <v>1</v>
      </c>
      <c r="J21" s="142" t="s">
        <v>666</v>
      </c>
      <c r="K21" s="142">
        <v>30</v>
      </c>
      <c r="L21" s="143" t="s">
        <v>670</v>
      </c>
    </row>
    <row r="22" spans="1:12" ht="14">
      <c r="A22" s="141">
        <v>7001248366</v>
      </c>
      <c r="B22" s="142" t="s">
        <v>684</v>
      </c>
      <c r="C22" s="142" t="s">
        <v>478</v>
      </c>
      <c r="D22" s="142" t="s">
        <v>513</v>
      </c>
      <c r="E22" s="142" t="s">
        <v>470</v>
      </c>
      <c r="F22" s="142" t="s">
        <v>90</v>
      </c>
      <c r="G22" s="142">
        <v>5</v>
      </c>
      <c r="H22" s="142">
        <v>5</v>
      </c>
      <c r="I22" s="142">
        <v>5</v>
      </c>
      <c r="J22" s="142" t="s">
        <v>666</v>
      </c>
      <c r="K22" s="142">
        <v>18</v>
      </c>
      <c r="L22" s="143" t="s">
        <v>670</v>
      </c>
    </row>
    <row r="23" spans="1:12" ht="14">
      <c r="A23" s="141">
        <v>7001401381</v>
      </c>
      <c r="B23" s="142" t="s">
        <v>671</v>
      </c>
      <c r="C23" s="142" t="s">
        <v>476</v>
      </c>
      <c r="D23" s="142" t="s">
        <v>450</v>
      </c>
      <c r="E23" s="142" t="s">
        <v>470</v>
      </c>
      <c r="F23" s="142" t="s">
        <v>90</v>
      </c>
      <c r="G23" s="142">
        <v>1</v>
      </c>
      <c r="H23" s="142">
        <v>0</v>
      </c>
      <c r="I23" s="142">
        <v>1</v>
      </c>
      <c r="J23" s="142" t="s">
        <v>666</v>
      </c>
      <c r="K23" s="142">
        <v>20</v>
      </c>
      <c r="L23" s="143" t="s">
        <v>670</v>
      </c>
    </row>
    <row r="24" spans="1:12" ht="14">
      <c r="A24" s="141">
        <v>7000857971</v>
      </c>
      <c r="B24" s="142" t="s">
        <v>671</v>
      </c>
      <c r="C24" s="142" t="s">
        <v>474</v>
      </c>
      <c r="D24" s="142" t="s">
        <v>450</v>
      </c>
      <c r="E24" s="142" t="s">
        <v>470</v>
      </c>
      <c r="F24" s="142" t="s">
        <v>90</v>
      </c>
      <c r="G24" s="142">
        <v>1</v>
      </c>
      <c r="H24" s="142">
        <v>0</v>
      </c>
      <c r="I24" s="142">
        <v>1</v>
      </c>
      <c r="J24" s="142" t="s">
        <v>666</v>
      </c>
      <c r="K24" s="142">
        <v>14</v>
      </c>
      <c r="L24" s="143" t="s">
        <v>667</v>
      </c>
    </row>
    <row r="25" spans="1:12" ht="14">
      <c r="A25" s="141">
        <v>7000874786</v>
      </c>
      <c r="B25" s="142" t="s">
        <v>671</v>
      </c>
      <c r="C25" s="142" t="s">
        <v>474</v>
      </c>
      <c r="D25" s="142" t="s">
        <v>450</v>
      </c>
      <c r="E25" s="142" t="s">
        <v>470</v>
      </c>
      <c r="F25" s="142" t="s">
        <v>90</v>
      </c>
      <c r="G25" s="142">
        <v>1</v>
      </c>
      <c r="H25" s="142">
        <v>0</v>
      </c>
      <c r="I25" s="142">
        <v>1</v>
      </c>
      <c r="J25" s="142" t="s">
        <v>666</v>
      </c>
      <c r="K25" s="142">
        <v>14</v>
      </c>
      <c r="L25" s="143" t="s">
        <v>667</v>
      </c>
    </row>
    <row r="26" spans="1:12" ht="14">
      <c r="A26" s="141">
        <v>7000878783</v>
      </c>
      <c r="B26" s="142" t="s">
        <v>671</v>
      </c>
      <c r="C26" s="142" t="s">
        <v>474</v>
      </c>
      <c r="D26" s="142" t="s">
        <v>450</v>
      </c>
      <c r="E26" s="142" t="s">
        <v>470</v>
      </c>
      <c r="F26" s="142" t="s">
        <v>90</v>
      </c>
      <c r="G26" s="142">
        <v>1</v>
      </c>
      <c r="H26" s="142">
        <v>0</v>
      </c>
      <c r="I26" s="142">
        <v>1</v>
      </c>
      <c r="J26" s="142" t="s">
        <v>666</v>
      </c>
      <c r="K26" s="142">
        <v>14</v>
      </c>
      <c r="L26" s="143" t="s">
        <v>667</v>
      </c>
    </row>
    <row r="27" spans="1:12" ht="14">
      <c r="A27" s="141">
        <v>7001606418</v>
      </c>
      <c r="B27" s="142" t="s">
        <v>685</v>
      </c>
      <c r="C27" s="142" t="s">
        <v>476</v>
      </c>
      <c r="D27" s="142" t="s">
        <v>452</v>
      </c>
      <c r="E27" s="142" t="s">
        <v>470</v>
      </c>
      <c r="F27" s="142" t="s">
        <v>90</v>
      </c>
      <c r="G27" s="142">
        <v>1</v>
      </c>
      <c r="H27" s="142">
        <v>0</v>
      </c>
      <c r="I27" s="142">
        <v>1</v>
      </c>
      <c r="J27" s="142" t="s">
        <v>666</v>
      </c>
      <c r="K27" s="142">
        <v>9</v>
      </c>
      <c r="L27" s="143" t="s">
        <v>667</v>
      </c>
    </row>
    <row r="28" spans="1:12" ht="14">
      <c r="A28" s="141">
        <v>7001623882</v>
      </c>
      <c r="B28" s="142" t="s">
        <v>685</v>
      </c>
      <c r="C28" s="142" t="s">
        <v>476</v>
      </c>
      <c r="D28" s="142" t="s">
        <v>452</v>
      </c>
      <c r="E28" s="142" t="s">
        <v>470</v>
      </c>
      <c r="F28" s="142" t="s">
        <v>90</v>
      </c>
      <c r="G28" s="142">
        <v>1</v>
      </c>
      <c r="H28" s="142">
        <v>0</v>
      </c>
      <c r="I28" s="142">
        <v>1</v>
      </c>
      <c r="J28" s="142" t="s">
        <v>666</v>
      </c>
      <c r="K28" s="142">
        <v>9</v>
      </c>
      <c r="L28" s="143" t="s">
        <v>667</v>
      </c>
    </row>
    <row r="29" spans="1:12" ht="14">
      <c r="A29" s="141">
        <v>7001727096</v>
      </c>
      <c r="B29" s="142" t="s">
        <v>672</v>
      </c>
      <c r="C29" s="142" t="s">
        <v>474</v>
      </c>
      <c r="D29" s="142" t="s">
        <v>454</v>
      </c>
      <c r="E29" s="142" t="s">
        <v>470</v>
      </c>
      <c r="F29" s="142" t="s">
        <v>90</v>
      </c>
      <c r="G29" s="142">
        <v>2</v>
      </c>
      <c r="H29" s="142">
        <v>1</v>
      </c>
      <c r="I29" s="142">
        <v>2</v>
      </c>
      <c r="J29" s="142" t="s">
        <v>666</v>
      </c>
      <c r="K29" s="142">
        <v>7</v>
      </c>
      <c r="L29" s="143" t="s">
        <v>667</v>
      </c>
    </row>
    <row r="30" spans="1:12" ht="14">
      <c r="A30" s="141">
        <v>7001425446</v>
      </c>
      <c r="B30" s="142" t="s">
        <v>685</v>
      </c>
      <c r="C30" s="142" t="s">
        <v>476</v>
      </c>
      <c r="D30" s="142" t="s">
        <v>85</v>
      </c>
      <c r="E30" s="142" t="s">
        <v>470</v>
      </c>
      <c r="F30" s="142" t="s">
        <v>115</v>
      </c>
      <c r="G30" s="142">
        <v>1</v>
      </c>
      <c r="H30" s="142">
        <v>0</v>
      </c>
      <c r="I30" s="142">
        <v>1</v>
      </c>
      <c r="J30" s="142" t="s">
        <v>666</v>
      </c>
      <c r="K30" s="142">
        <v>22</v>
      </c>
      <c r="L30" s="143" t="s">
        <v>670</v>
      </c>
    </row>
    <row r="31" spans="1:12" ht="14">
      <c r="A31" s="141">
        <v>7001767145</v>
      </c>
      <c r="B31" s="142" t="s">
        <v>671</v>
      </c>
      <c r="C31" s="142" t="s">
        <v>686</v>
      </c>
      <c r="D31" s="142" t="s">
        <v>470</v>
      </c>
      <c r="E31" s="142" t="s">
        <v>470</v>
      </c>
      <c r="F31" s="142" t="s">
        <v>108</v>
      </c>
      <c r="G31" s="142">
        <v>8</v>
      </c>
      <c r="H31" s="142"/>
      <c r="I31" s="142">
        <v>8</v>
      </c>
      <c r="J31" s="142" t="s">
        <v>666</v>
      </c>
      <c r="K31" s="142">
        <v>2</v>
      </c>
      <c r="L31" s="143">
        <v>2</v>
      </c>
    </row>
    <row r="32" spans="1:12" ht="14">
      <c r="A32" s="141">
        <v>7000673522</v>
      </c>
      <c r="B32" s="142" t="s">
        <v>687</v>
      </c>
      <c r="C32" s="142" t="s">
        <v>688</v>
      </c>
      <c r="D32" s="142" t="s">
        <v>645</v>
      </c>
      <c r="E32" s="142" t="s">
        <v>470</v>
      </c>
      <c r="F32" s="142" t="s">
        <v>470</v>
      </c>
      <c r="G32" s="142">
        <v>5</v>
      </c>
      <c r="H32" s="142">
        <v>5</v>
      </c>
      <c r="I32" s="142">
        <v>5</v>
      </c>
      <c r="J32" s="142" t="s">
        <v>666</v>
      </c>
      <c r="K32" s="142">
        <v>53</v>
      </c>
      <c r="L32" s="143" t="s">
        <v>670</v>
      </c>
    </row>
    <row r="33" spans="1:12" ht="14">
      <c r="A33" s="141">
        <v>7001197601</v>
      </c>
      <c r="B33" s="142" t="s">
        <v>671</v>
      </c>
      <c r="C33" s="142" t="s">
        <v>476</v>
      </c>
      <c r="D33" s="142" t="s">
        <v>510</v>
      </c>
      <c r="E33" s="142" t="s">
        <v>470</v>
      </c>
      <c r="F33" s="142" t="s">
        <v>470</v>
      </c>
      <c r="G33" s="142">
        <v>1</v>
      </c>
      <c r="H33" s="142">
        <v>0</v>
      </c>
      <c r="I33" s="142">
        <v>1</v>
      </c>
      <c r="J33" s="142" t="s">
        <v>666</v>
      </c>
      <c r="K33" s="142">
        <v>32</v>
      </c>
      <c r="L33" s="143" t="s">
        <v>670</v>
      </c>
    </row>
    <row r="34" spans="1:12" ht="14">
      <c r="A34" s="141">
        <v>7001203816</v>
      </c>
      <c r="B34" s="142" t="s">
        <v>687</v>
      </c>
      <c r="C34" s="142" t="s">
        <v>689</v>
      </c>
      <c r="D34" s="142" t="s">
        <v>528</v>
      </c>
      <c r="E34" s="142" t="s">
        <v>470</v>
      </c>
      <c r="F34" s="142" t="s">
        <v>470</v>
      </c>
      <c r="G34" s="142">
        <v>5</v>
      </c>
      <c r="H34" s="142">
        <v>5</v>
      </c>
      <c r="I34" s="142">
        <v>5</v>
      </c>
      <c r="J34" s="142" t="s">
        <v>666</v>
      </c>
      <c r="K34" s="142">
        <v>36</v>
      </c>
      <c r="L34" s="143" t="s">
        <v>670</v>
      </c>
    </row>
    <row r="35" spans="1:12" ht="14">
      <c r="A35" s="141">
        <v>7001205811</v>
      </c>
      <c r="B35" s="142" t="s">
        <v>671</v>
      </c>
      <c r="C35" s="142" t="s">
        <v>476</v>
      </c>
      <c r="D35" s="142" t="s">
        <v>510</v>
      </c>
      <c r="E35" s="142" t="s">
        <v>470</v>
      </c>
      <c r="F35" s="142" t="s">
        <v>470</v>
      </c>
      <c r="G35" s="142">
        <v>1</v>
      </c>
      <c r="H35" s="142">
        <v>0</v>
      </c>
      <c r="I35" s="142">
        <v>1</v>
      </c>
      <c r="J35" s="142" t="s">
        <v>666</v>
      </c>
      <c r="K35" s="142">
        <v>32</v>
      </c>
      <c r="L35" s="143" t="s">
        <v>670</v>
      </c>
    </row>
    <row r="36" spans="1:12" ht="14">
      <c r="A36" s="141">
        <v>8000007051</v>
      </c>
      <c r="B36" s="142" t="s">
        <v>690</v>
      </c>
      <c r="C36" s="142" t="s">
        <v>689</v>
      </c>
      <c r="D36" s="142" t="s">
        <v>488</v>
      </c>
      <c r="E36" s="142" t="s">
        <v>470</v>
      </c>
      <c r="F36" s="142" t="s">
        <v>470</v>
      </c>
      <c r="G36" s="142">
        <v>5</v>
      </c>
      <c r="H36" s="142">
        <v>5</v>
      </c>
      <c r="I36" s="142">
        <v>5</v>
      </c>
      <c r="J36" s="142" t="s">
        <v>666</v>
      </c>
      <c r="K36" s="142">
        <v>35</v>
      </c>
      <c r="L36" s="143" t="s">
        <v>670</v>
      </c>
    </row>
    <row r="37" spans="1:12" ht="14">
      <c r="A37" s="141">
        <v>7001455124</v>
      </c>
      <c r="B37" s="142" t="s">
        <v>671</v>
      </c>
      <c r="C37" s="142" t="s">
        <v>476</v>
      </c>
      <c r="D37" s="142" t="s">
        <v>488</v>
      </c>
      <c r="E37" s="142" t="s">
        <v>470</v>
      </c>
      <c r="F37" s="142" t="s">
        <v>470</v>
      </c>
      <c r="G37" s="142">
        <v>10</v>
      </c>
      <c r="H37" s="142">
        <v>0</v>
      </c>
      <c r="I37" s="142">
        <v>10</v>
      </c>
      <c r="J37" s="142" t="s">
        <v>666</v>
      </c>
      <c r="K37" s="142">
        <v>21</v>
      </c>
      <c r="L37" s="143" t="s">
        <v>670</v>
      </c>
    </row>
    <row r="38" spans="1:12" ht="14">
      <c r="A38" s="141">
        <v>7001486889</v>
      </c>
      <c r="B38" s="142" t="s">
        <v>691</v>
      </c>
      <c r="C38" s="142" t="s">
        <v>689</v>
      </c>
      <c r="D38" s="142" t="s">
        <v>510</v>
      </c>
      <c r="E38" s="142" t="s">
        <v>470</v>
      </c>
      <c r="F38" s="142" t="s">
        <v>470</v>
      </c>
      <c r="G38" s="142">
        <v>1</v>
      </c>
      <c r="H38" s="142">
        <v>1</v>
      </c>
      <c r="I38" s="142">
        <v>1</v>
      </c>
      <c r="J38" s="142" t="s">
        <v>666</v>
      </c>
      <c r="K38" s="142">
        <v>15</v>
      </c>
      <c r="L38" s="143" t="s">
        <v>670</v>
      </c>
    </row>
    <row r="39" spans="1:12" ht="14">
      <c r="A39" s="141">
        <v>7001487871</v>
      </c>
      <c r="B39" s="142" t="s">
        <v>691</v>
      </c>
      <c r="C39" s="142" t="s">
        <v>689</v>
      </c>
      <c r="D39" s="142" t="s">
        <v>510</v>
      </c>
      <c r="E39" s="142" t="s">
        <v>470</v>
      </c>
      <c r="F39" s="142" t="s">
        <v>470</v>
      </c>
      <c r="G39" s="142">
        <v>1</v>
      </c>
      <c r="H39" s="142">
        <v>1</v>
      </c>
      <c r="I39" s="142">
        <v>1</v>
      </c>
      <c r="J39" s="142" t="s">
        <v>666</v>
      </c>
      <c r="K39" s="142">
        <v>15</v>
      </c>
      <c r="L39" s="143" t="s">
        <v>670</v>
      </c>
    </row>
    <row r="40" spans="1:12" ht="14">
      <c r="A40" s="141">
        <v>7001522318</v>
      </c>
      <c r="B40" s="142" t="s">
        <v>691</v>
      </c>
      <c r="C40" s="142" t="s">
        <v>689</v>
      </c>
      <c r="D40" s="142" t="s">
        <v>510</v>
      </c>
      <c r="E40" s="142" t="s">
        <v>470</v>
      </c>
      <c r="F40" s="142" t="s">
        <v>470</v>
      </c>
      <c r="G40" s="142">
        <v>3</v>
      </c>
      <c r="H40" s="142">
        <v>3</v>
      </c>
      <c r="I40" s="142">
        <v>3</v>
      </c>
      <c r="J40" s="142" t="s">
        <v>666</v>
      </c>
      <c r="K40" s="142">
        <v>15</v>
      </c>
      <c r="L40" s="143" t="s">
        <v>670</v>
      </c>
    </row>
    <row r="41" spans="1:12" ht="14">
      <c r="A41" s="141">
        <v>7001632843</v>
      </c>
      <c r="B41" s="142" t="s">
        <v>671</v>
      </c>
      <c r="C41" s="142" t="s">
        <v>476</v>
      </c>
      <c r="D41" s="142" t="s">
        <v>510</v>
      </c>
      <c r="E41" s="142" t="s">
        <v>470</v>
      </c>
      <c r="F41" s="142" t="s">
        <v>470</v>
      </c>
      <c r="G41" s="142">
        <v>1</v>
      </c>
      <c r="H41" s="142">
        <v>0</v>
      </c>
      <c r="I41" s="142">
        <v>1</v>
      </c>
      <c r="J41" s="142" t="s">
        <v>666</v>
      </c>
      <c r="K41" s="142">
        <v>9</v>
      </c>
      <c r="L41" s="143" t="s">
        <v>667</v>
      </c>
    </row>
    <row r="42" spans="1:12" ht="14">
      <c r="A42" s="141">
        <v>8000005117</v>
      </c>
      <c r="B42" s="142" t="s">
        <v>671</v>
      </c>
      <c r="C42" s="142" t="s">
        <v>476</v>
      </c>
      <c r="D42" s="142" t="s">
        <v>510</v>
      </c>
      <c r="E42" s="142" t="s">
        <v>470</v>
      </c>
      <c r="F42" s="142" t="s">
        <v>470</v>
      </c>
      <c r="G42" s="142">
        <v>5</v>
      </c>
      <c r="H42" s="142">
        <v>0</v>
      </c>
      <c r="I42" s="142">
        <v>5</v>
      </c>
      <c r="J42" s="142" t="s">
        <v>666</v>
      </c>
      <c r="K42" s="142">
        <v>9</v>
      </c>
      <c r="L42" s="143" t="s">
        <v>667</v>
      </c>
    </row>
    <row r="43" spans="1:12" ht="14">
      <c r="A43" s="141">
        <v>7001642631</v>
      </c>
      <c r="B43" s="142" t="s">
        <v>671</v>
      </c>
      <c r="C43" s="142" t="s">
        <v>476</v>
      </c>
      <c r="D43" s="142" t="s">
        <v>510</v>
      </c>
      <c r="E43" s="142" t="s">
        <v>470</v>
      </c>
      <c r="F43" s="142" t="s">
        <v>470</v>
      </c>
      <c r="G43" s="142">
        <v>1</v>
      </c>
      <c r="H43" s="142">
        <v>0</v>
      </c>
      <c r="I43" s="142">
        <v>1</v>
      </c>
      <c r="J43" s="142" t="s">
        <v>666</v>
      </c>
      <c r="K43" s="142">
        <v>9</v>
      </c>
      <c r="L43" s="143" t="s">
        <v>667</v>
      </c>
    </row>
    <row r="44" spans="1:12" ht="14">
      <c r="A44" s="146">
        <v>7001865068</v>
      </c>
      <c r="B44" s="142" t="s">
        <v>671</v>
      </c>
      <c r="C44" s="146" t="s">
        <v>476</v>
      </c>
      <c r="D44" s="146" t="s">
        <v>461</v>
      </c>
      <c r="E44" s="146" t="s">
        <v>470</v>
      </c>
      <c r="F44" s="146" t="s">
        <v>108</v>
      </c>
      <c r="G44" s="142">
        <v>1</v>
      </c>
      <c r="H44" s="142">
        <v>0</v>
      </c>
      <c r="I44" s="146"/>
      <c r="J44" s="146"/>
      <c r="K44" s="146">
        <v>2</v>
      </c>
      <c r="L44" s="146"/>
    </row>
    <row r="45" spans="1:12" ht="12.5">
      <c r="A45" s="136">
        <v>7001856907</v>
      </c>
      <c r="B45" s="136" t="s">
        <v>692</v>
      </c>
      <c r="C45" s="136" t="s">
        <v>495</v>
      </c>
      <c r="D45" s="136" t="s">
        <v>450</v>
      </c>
      <c r="E45" s="136" t="s">
        <v>470</v>
      </c>
      <c r="F45" s="136" t="s">
        <v>90</v>
      </c>
      <c r="G45" s="136">
        <v>5</v>
      </c>
      <c r="H45" s="136">
        <v>4</v>
      </c>
      <c r="I45" s="136">
        <v>5</v>
      </c>
      <c r="J45" s="136"/>
    </row>
    <row r="46" spans="1:12" ht="14">
      <c r="A46" s="124">
        <v>7001855910</v>
      </c>
      <c r="B46" s="142" t="s">
        <v>671</v>
      </c>
      <c r="C46" s="124" t="s">
        <v>476</v>
      </c>
      <c r="D46" s="124" t="s">
        <v>450</v>
      </c>
      <c r="E46" s="124" t="s">
        <v>470</v>
      </c>
      <c r="F46" s="124" t="s">
        <v>90</v>
      </c>
      <c r="G46" s="124">
        <v>1</v>
      </c>
      <c r="H46" s="124">
        <v>0</v>
      </c>
      <c r="I46" s="124">
        <v>1</v>
      </c>
    </row>
    <row r="47" spans="1:12" ht="14">
      <c r="A47" s="147">
        <v>7001828300</v>
      </c>
      <c r="B47" s="142" t="s">
        <v>671</v>
      </c>
      <c r="C47" s="124" t="s">
        <v>476</v>
      </c>
      <c r="D47" s="147" t="s">
        <v>452</v>
      </c>
      <c r="E47" s="147" t="s">
        <v>470</v>
      </c>
      <c r="F47" s="147" t="s">
        <v>90</v>
      </c>
      <c r="G47" s="147">
        <v>1</v>
      </c>
      <c r="H47" s="147">
        <v>0</v>
      </c>
      <c r="I47" s="147">
        <v>1</v>
      </c>
    </row>
    <row r="48" spans="1:12" ht="14">
      <c r="A48" s="148"/>
      <c r="B48" s="149"/>
      <c r="C48" s="148"/>
      <c r="D48" s="148"/>
      <c r="E48" s="148"/>
      <c r="F48" s="148"/>
      <c r="G48" s="148"/>
      <c r="H48" s="148"/>
      <c r="I48" s="148"/>
    </row>
    <row r="49" spans="1:9" ht="14">
      <c r="A49" s="148"/>
      <c r="B49" s="149"/>
      <c r="C49" s="148"/>
      <c r="D49" s="148"/>
      <c r="E49" s="148"/>
      <c r="F49" s="148"/>
      <c r="G49" s="148"/>
      <c r="H49" s="148"/>
      <c r="I49" s="148"/>
    </row>
    <row r="50" spans="1:9" ht="14">
      <c r="A50" s="148"/>
      <c r="B50" s="149"/>
      <c r="C50" s="148"/>
      <c r="D50" s="148"/>
      <c r="E50" s="148"/>
      <c r="F50" s="148"/>
      <c r="G50" s="148"/>
      <c r="H50" s="148"/>
      <c r="I50" s="148"/>
    </row>
    <row r="51" spans="1:9" ht="14">
      <c r="A51" s="150" t="s">
        <v>693</v>
      </c>
      <c r="B51" s="151" t="s">
        <v>446</v>
      </c>
      <c r="C51" s="151" t="s">
        <v>658</v>
      </c>
      <c r="D51" s="151" t="s">
        <v>659</v>
      </c>
      <c r="E51" s="151" t="s">
        <v>660</v>
      </c>
      <c r="F51" s="151" t="s">
        <v>661</v>
      </c>
      <c r="G51" s="151" t="s">
        <v>694</v>
      </c>
      <c r="H51" s="151" t="s">
        <v>664</v>
      </c>
      <c r="I51" s="152" t="s">
        <v>695</v>
      </c>
    </row>
    <row r="52" spans="1:9" ht="14">
      <c r="A52" s="153">
        <v>7001623882</v>
      </c>
      <c r="B52" s="154" t="s">
        <v>696</v>
      </c>
      <c r="C52" s="154" t="s">
        <v>470</v>
      </c>
      <c r="D52" s="154" t="s">
        <v>90</v>
      </c>
      <c r="E52" s="155">
        <v>1</v>
      </c>
      <c r="F52" s="155">
        <v>0</v>
      </c>
      <c r="G52" s="156">
        <v>46238.551388888889</v>
      </c>
      <c r="H52" s="155">
        <v>21</v>
      </c>
      <c r="I52" s="157" t="s">
        <v>451</v>
      </c>
    </row>
    <row r="53" spans="1:9" ht="14">
      <c r="A53" s="158">
        <v>7001606418</v>
      </c>
      <c r="B53" s="159" t="s">
        <v>696</v>
      </c>
      <c r="C53" s="159" t="s">
        <v>470</v>
      </c>
      <c r="D53" s="159" t="s">
        <v>90</v>
      </c>
      <c r="E53" s="160">
        <v>1</v>
      </c>
      <c r="F53" s="160">
        <v>0</v>
      </c>
      <c r="G53" s="161">
        <v>46238.551388888889</v>
      </c>
      <c r="H53" s="160">
        <v>21</v>
      </c>
      <c r="I53" s="162" t="s">
        <v>451</v>
      </c>
    </row>
    <row r="54" spans="1:9" ht="14">
      <c r="A54" s="153">
        <v>7001401381</v>
      </c>
      <c r="B54" s="154" t="s">
        <v>696</v>
      </c>
      <c r="C54" s="154" t="s">
        <v>470</v>
      </c>
      <c r="D54" s="154" t="s">
        <v>90</v>
      </c>
      <c r="E54" s="155">
        <v>1</v>
      </c>
      <c r="F54" s="155">
        <v>0</v>
      </c>
      <c r="G54" s="155" t="s">
        <v>697</v>
      </c>
      <c r="H54" s="155">
        <v>32</v>
      </c>
      <c r="I54" s="157" t="s">
        <v>451</v>
      </c>
    </row>
    <row r="55" spans="1:9" ht="14">
      <c r="A55" s="158">
        <v>7001246118</v>
      </c>
      <c r="B55" s="159" t="s">
        <v>696</v>
      </c>
      <c r="C55" s="159" t="s">
        <v>470</v>
      </c>
      <c r="D55" s="159" t="s">
        <v>90</v>
      </c>
      <c r="E55" s="160">
        <v>1</v>
      </c>
      <c r="F55" s="160">
        <v>0</v>
      </c>
      <c r="G55" s="160" t="s">
        <v>698</v>
      </c>
      <c r="H55" s="160">
        <v>42</v>
      </c>
      <c r="I55" s="162" t="s">
        <v>451</v>
      </c>
    </row>
    <row r="56" spans="1:9" ht="14">
      <c r="A56" s="153">
        <v>7000918024</v>
      </c>
      <c r="B56" s="154" t="s">
        <v>680</v>
      </c>
      <c r="C56" s="154" t="s">
        <v>470</v>
      </c>
      <c r="D56" s="154" t="s">
        <v>90</v>
      </c>
      <c r="E56" s="155">
        <v>46</v>
      </c>
      <c r="F56" s="155">
        <v>19</v>
      </c>
      <c r="G56" s="156">
        <v>46206.618055555555</v>
      </c>
      <c r="H56" s="155">
        <v>53</v>
      </c>
      <c r="I56" s="157" t="s">
        <v>451</v>
      </c>
    </row>
    <row r="57" spans="1:9" ht="14">
      <c r="A57" s="158">
        <v>7000908997</v>
      </c>
      <c r="B57" s="159" t="s">
        <v>699</v>
      </c>
      <c r="C57" s="159" t="s">
        <v>470</v>
      </c>
      <c r="D57" s="159" t="s">
        <v>90</v>
      </c>
      <c r="E57" s="160">
        <v>143</v>
      </c>
      <c r="F57" s="160">
        <v>1</v>
      </c>
      <c r="G57" s="161">
        <v>46026.058333333334</v>
      </c>
      <c r="H57" s="160">
        <v>28</v>
      </c>
      <c r="I57" s="162" t="s">
        <v>451</v>
      </c>
    </row>
    <row r="58" spans="1:9" ht="14">
      <c r="A58" s="153">
        <v>7000878783</v>
      </c>
      <c r="B58" s="154" t="s">
        <v>696</v>
      </c>
      <c r="C58" s="154" t="s">
        <v>470</v>
      </c>
      <c r="D58" s="154" t="s">
        <v>90</v>
      </c>
      <c r="E58" s="155">
        <v>1</v>
      </c>
      <c r="F58" s="155">
        <v>0</v>
      </c>
      <c r="G58" s="156">
        <v>46085.51666666667</v>
      </c>
      <c r="H58" s="155">
        <v>26</v>
      </c>
      <c r="I58" s="157" t="s">
        <v>451</v>
      </c>
    </row>
    <row r="59" spans="1:9" ht="14">
      <c r="A59" s="158">
        <v>7000874786</v>
      </c>
      <c r="B59" s="159" t="s">
        <v>696</v>
      </c>
      <c r="C59" s="159" t="s">
        <v>470</v>
      </c>
      <c r="D59" s="159" t="s">
        <v>90</v>
      </c>
      <c r="E59" s="160">
        <v>1</v>
      </c>
      <c r="F59" s="160">
        <v>0</v>
      </c>
      <c r="G59" s="161">
        <v>46085.51666666667</v>
      </c>
      <c r="H59" s="160">
        <v>26</v>
      </c>
      <c r="I59" s="162" t="s">
        <v>451</v>
      </c>
    </row>
    <row r="60" spans="1:9" ht="14">
      <c r="A60" s="153">
        <v>7000857971</v>
      </c>
      <c r="B60" s="154" t="s">
        <v>696</v>
      </c>
      <c r="C60" s="154" t="s">
        <v>470</v>
      </c>
      <c r="D60" s="154" t="s">
        <v>90</v>
      </c>
      <c r="E60" s="155">
        <v>1</v>
      </c>
      <c r="F60" s="155">
        <v>0</v>
      </c>
      <c r="G60" s="156">
        <v>46085.51666666667</v>
      </c>
      <c r="H60" s="155">
        <v>26</v>
      </c>
      <c r="I60" s="157" t="s">
        <v>451</v>
      </c>
    </row>
    <row r="62" spans="1:9" ht="12.5">
      <c r="A62" s="163">
        <v>7002113024</v>
      </c>
      <c r="B62" s="124" t="s">
        <v>700</v>
      </c>
    </row>
    <row r="63" spans="1:9" ht="12.5">
      <c r="A63" s="163">
        <v>7002109116</v>
      </c>
      <c r="B63" s="124" t="s">
        <v>700</v>
      </c>
    </row>
    <row r="64" spans="1:9" ht="12.5">
      <c r="A64" s="163">
        <v>7002107745</v>
      </c>
      <c r="B64" s="124" t="s">
        <v>700</v>
      </c>
    </row>
    <row r="65" spans="1:2" ht="12.5">
      <c r="A65" s="163">
        <v>7002105614</v>
      </c>
      <c r="B65" s="124" t="s">
        <v>700</v>
      </c>
    </row>
    <row r="66" spans="1:2" ht="12.5">
      <c r="A66" s="163">
        <v>7002102635</v>
      </c>
      <c r="B66" s="124" t="s">
        <v>700</v>
      </c>
    </row>
    <row r="67" spans="1:2" ht="12.5">
      <c r="A67" s="163">
        <v>7002102603</v>
      </c>
      <c r="B67" s="124" t="s">
        <v>700</v>
      </c>
    </row>
    <row r="68" spans="1:2" ht="12.5">
      <c r="A68" s="163">
        <v>7002101627</v>
      </c>
      <c r="B68" s="124" t="s">
        <v>700</v>
      </c>
    </row>
    <row r="69" spans="1:2" ht="12.5">
      <c r="A69" s="163">
        <v>7002097918</v>
      </c>
      <c r="B69" s="124" t="s">
        <v>700</v>
      </c>
    </row>
    <row r="70" spans="1:2" ht="12.5">
      <c r="A70" s="163">
        <v>7002095331</v>
      </c>
      <c r="B70" s="124" t="s">
        <v>700</v>
      </c>
    </row>
    <row r="71" spans="1:2" ht="12.5">
      <c r="A71" s="163">
        <v>7002094430</v>
      </c>
      <c r="B71" s="124" t="s">
        <v>700</v>
      </c>
    </row>
    <row r="72" spans="1:2" ht="12.5">
      <c r="A72" s="163">
        <v>7002093298</v>
      </c>
      <c r="B72" s="124" t="s">
        <v>700</v>
      </c>
    </row>
    <row r="73" spans="1:2" ht="12.5">
      <c r="A73" s="163">
        <v>7002092450</v>
      </c>
      <c r="B73" s="124" t="s">
        <v>700</v>
      </c>
    </row>
    <row r="74" spans="1:2" ht="12.5">
      <c r="A74" s="163">
        <v>7002088588</v>
      </c>
      <c r="B74" s="124" t="s">
        <v>700</v>
      </c>
    </row>
    <row r="75" spans="1:2" ht="12.5">
      <c r="A75" s="163">
        <v>7002079971</v>
      </c>
      <c r="B75" s="124" t="s">
        <v>700</v>
      </c>
    </row>
    <row r="76" spans="1:2" ht="12.5">
      <c r="A76" s="163">
        <v>7002077460</v>
      </c>
      <c r="B76" s="124" t="s">
        <v>700</v>
      </c>
    </row>
    <row r="77" spans="1:2" ht="12.5">
      <c r="A77" s="163">
        <v>7002076956</v>
      </c>
      <c r="B77" s="124" t="s">
        <v>700</v>
      </c>
    </row>
    <row r="78" spans="1:2" ht="12.5">
      <c r="A78" s="163">
        <v>7002070978</v>
      </c>
      <c r="B78" s="124" t="s">
        <v>700</v>
      </c>
    </row>
    <row r="79" spans="1:2" ht="12.5">
      <c r="A79" s="163">
        <v>7002054061</v>
      </c>
      <c r="B79" s="124" t="s">
        <v>700</v>
      </c>
    </row>
    <row r="80" spans="1:2" ht="12.5">
      <c r="A80" s="163">
        <v>7001830923</v>
      </c>
      <c r="B80" s="124" t="s">
        <v>700</v>
      </c>
    </row>
    <row r="81" spans="1:2" ht="12.5">
      <c r="A81" s="163">
        <v>7002087316</v>
      </c>
      <c r="B81" s="124" t="s">
        <v>700</v>
      </c>
    </row>
    <row r="82" spans="1:2" ht="12.5">
      <c r="A82" s="163">
        <v>7002083313</v>
      </c>
      <c r="B82" s="124" t="s">
        <v>700</v>
      </c>
    </row>
    <row r="83" spans="1:2" ht="12.5">
      <c r="A83" s="163">
        <v>7002075511</v>
      </c>
      <c r="B83" s="124" t="s">
        <v>700</v>
      </c>
    </row>
    <row r="84" spans="1:2" ht="12.5">
      <c r="A84" s="163">
        <v>7002079506</v>
      </c>
      <c r="B84" s="124" t="s">
        <v>700</v>
      </c>
    </row>
    <row r="85" spans="1:2" ht="12.5">
      <c r="A85" s="163">
        <v>7002076723</v>
      </c>
      <c r="B85" s="124" t="s">
        <v>700</v>
      </c>
    </row>
    <row r="86" spans="1:2" ht="12.5">
      <c r="A86" s="163">
        <v>7002047211</v>
      </c>
      <c r="B86" s="124" t="s">
        <v>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N100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2.6328125" defaultRowHeight="15.75" customHeight="1"/>
  <cols>
    <col min="1" max="1" width="17.08984375" customWidth="1"/>
  </cols>
  <sheetData>
    <row r="1" spans="1:66">
      <c r="A1" s="83" t="s">
        <v>641</v>
      </c>
      <c r="B1" s="132">
        <f t="shared" ref="B1:F1" si="0">SUM(B7:B42)</f>
        <v>6816</v>
      </c>
      <c r="C1" s="132">
        <f t="shared" si="0"/>
        <v>7711</v>
      </c>
      <c r="D1" s="132">
        <f t="shared" si="0"/>
        <v>6840</v>
      </c>
      <c r="E1" s="132">
        <f t="shared" si="0"/>
        <v>11410</v>
      </c>
      <c r="F1" s="132">
        <f t="shared" si="0"/>
        <v>2254</v>
      </c>
      <c r="G1" s="132">
        <f t="shared" ref="G1:H1" si="1">SUM(G5:G35)</f>
        <v>9875</v>
      </c>
      <c r="H1" s="132">
        <f t="shared" si="1"/>
        <v>9489</v>
      </c>
      <c r="I1" s="132">
        <f>SUM(I5:I37)</f>
        <v>8539</v>
      </c>
      <c r="J1" s="132">
        <f t="shared" ref="J1:W1" si="2">SUM(J7:J43)</f>
        <v>10345</v>
      </c>
      <c r="K1" s="132">
        <f t="shared" si="2"/>
        <v>7806</v>
      </c>
      <c r="L1" s="132">
        <f t="shared" si="2"/>
        <v>10286</v>
      </c>
      <c r="M1" s="132">
        <f t="shared" si="2"/>
        <v>5043</v>
      </c>
      <c r="N1" s="132">
        <f t="shared" si="2"/>
        <v>9815</v>
      </c>
      <c r="O1" s="132">
        <f t="shared" si="2"/>
        <v>11999</v>
      </c>
      <c r="P1" s="132">
        <f t="shared" si="2"/>
        <v>10460</v>
      </c>
      <c r="Q1" s="132">
        <f t="shared" si="2"/>
        <v>11480</v>
      </c>
      <c r="R1" s="132">
        <f t="shared" si="2"/>
        <v>9661</v>
      </c>
      <c r="S1" s="132">
        <f t="shared" si="2"/>
        <v>9983</v>
      </c>
      <c r="T1" s="132">
        <f t="shared" si="2"/>
        <v>6164</v>
      </c>
      <c r="U1" s="132">
        <f t="shared" si="2"/>
        <v>12276</v>
      </c>
      <c r="V1" s="132">
        <f t="shared" si="2"/>
        <v>9244</v>
      </c>
      <c r="W1" s="132">
        <f t="shared" si="2"/>
        <v>10256</v>
      </c>
      <c r="X1" s="132">
        <f>SUM(X5:X35)</f>
        <v>10178</v>
      </c>
      <c r="Y1" s="132">
        <f>SUM(Y4:Y36)</f>
        <v>9318</v>
      </c>
      <c r="Z1" s="132">
        <f t="shared" ref="Z1:AE1" si="3">SUM(Z7:Z43)</f>
        <v>12699</v>
      </c>
      <c r="AA1" s="132">
        <f t="shared" si="3"/>
        <v>6048</v>
      </c>
      <c r="AB1" s="132">
        <f t="shared" si="3"/>
        <v>10229</v>
      </c>
      <c r="AC1" s="132">
        <f t="shared" si="3"/>
        <v>9934</v>
      </c>
      <c r="AD1" s="132">
        <f t="shared" si="3"/>
        <v>8768</v>
      </c>
      <c r="AE1" s="132">
        <f t="shared" si="3"/>
        <v>9694</v>
      </c>
      <c r="AF1" s="164" t="s">
        <v>84</v>
      </c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</row>
    <row r="2" spans="1:66">
      <c r="A2" s="83" t="s">
        <v>70</v>
      </c>
      <c r="B2" s="134">
        <v>46113</v>
      </c>
      <c r="C2" s="134">
        <v>46114</v>
      </c>
      <c r="D2" s="134">
        <v>46115</v>
      </c>
      <c r="E2" s="134">
        <v>46116</v>
      </c>
      <c r="F2" s="134">
        <v>46117</v>
      </c>
      <c r="G2" s="134">
        <v>46118</v>
      </c>
      <c r="H2" s="134">
        <v>46119</v>
      </c>
      <c r="I2" s="134">
        <v>46120</v>
      </c>
      <c r="J2" s="134">
        <v>46121</v>
      </c>
      <c r="K2" s="134">
        <v>46122</v>
      </c>
      <c r="L2" s="134">
        <v>46123</v>
      </c>
      <c r="M2" s="134">
        <v>46124</v>
      </c>
      <c r="N2" s="134">
        <v>46125</v>
      </c>
      <c r="O2" s="134">
        <v>46126</v>
      </c>
      <c r="P2" s="134">
        <v>46127</v>
      </c>
      <c r="Q2" s="134">
        <v>46128</v>
      </c>
      <c r="R2" s="134">
        <v>46129</v>
      </c>
      <c r="S2" s="134">
        <v>46130</v>
      </c>
      <c r="T2" s="134">
        <v>46131</v>
      </c>
      <c r="U2" s="134">
        <v>46132</v>
      </c>
      <c r="V2" s="134">
        <v>46133</v>
      </c>
      <c r="W2" s="134">
        <v>46134</v>
      </c>
      <c r="X2" s="134">
        <v>46135</v>
      </c>
      <c r="Y2" s="134">
        <v>46136</v>
      </c>
      <c r="Z2" s="134">
        <v>46137</v>
      </c>
      <c r="AA2" s="134">
        <v>46138</v>
      </c>
      <c r="AB2" s="134">
        <v>46139</v>
      </c>
      <c r="AC2" s="134">
        <v>46140</v>
      </c>
      <c r="AD2" s="134">
        <v>46141</v>
      </c>
      <c r="AE2" s="134">
        <v>46142</v>
      </c>
      <c r="AF2" s="164" t="s">
        <v>5</v>
      </c>
      <c r="AG2" s="134">
        <v>46143</v>
      </c>
      <c r="AH2" s="134">
        <v>46144</v>
      </c>
      <c r="AI2" s="134">
        <v>46145</v>
      </c>
      <c r="AJ2" s="134">
        <v>46146</v>
      </c>
      <c r="AK2" s="134">
        <v>46147</v>
      </c>
      <c r="AL2" s="134">
        <v>46148</v>
      </c>
      <c r="AM2" s="134">
        <v>46149</v>
      </c>
      <c r="AN2" s="134">
        <v>46150</v>
      </c>
      <c r="AO2" s="134">
        <v>46151</v>
      </c>
      <c r="AP2" s="134">
        <v>46152</v>
      </c>
      <c r="AQ2" s="134">
        <v>46153</v>
      </c>
      <c r="AR2" s="134">
        <v>46154</v>
      </c>
      <c r="AS2" s="134">
        <v>46155</v>
      </c>
      <c r="AT2" s="134">
        <v>46156</v>
      </c>
      <c r="AU2" s="134">
        <v>46157</v>
      </c>
      <c r="AV2" s="134">
        <v>46158</v>
      </c>
      <c r="AW2" s="134">
        <v>46159</v>
      </c>
      <c r="AX2" s="134">
        <v>46160</v>
      </c>
      <c r="AY2" s="134">
        <v>46161</v>
      </c>
      <c r="AZ2" s="134">
        <v>46162</v>
      </c>
      <c r="BA2" s="134">
        <v>46163</v>
      </c>
      <c r="BB2" s="134">
        <v>46164</v>
      </c>
      <c r="BC2" s="134">
        <v>46165</v>
      </c>
      <c r="BD2" s="134">
        <v>46166</v>
      </c>
      <c r="BE2" s="134">
        <v>46167</v>
      </c>
      <c r="BF2" s="134">
        <v>46168</v>
      </c>
      <c r="BG2" s="134">
        <v>46169</v>
      </c>
      <c r="BH2" s="134">
        <v>46170</v>
      </c>
      <c r="BI2" s="134">
        <v>46171</v>
      </c>
      <c r="BJ2" s="134">
        <v>46172</v>
      </c>
      <c r="BK2" s="134">
        <v>46173</v>
      </c>
      <c r="BL2" s="136"/>
      <c r="BM2" s="136"/>
      <c r="BN2" s="136"/>
    </row>
    <row r="3" spans="1:66">
      <c r="A3" s="83" t="s">
        <v>642</v>
      </c>
      <c r="B3" s="135">
        <f t="shared" ref="B3:AE3" si="4">B1/9800</f>
        <v>0.69551020408163267</v>
      </c>
      <c r="C3" s="135">
        <f t="shared" si="4"/>
        <v>0.7868367346938776</v>
      </c>
      <c r="D3" s="135">
        <f t="shared" si="4"/>
        <v>0.69795918367346943</v>
      </c>
      <c r="E3" s="135">
        <f t="shared" si="4"/>
        <v>1.1642857142857144</v>
      </c>
      <c r="F3" s="135">
        <f t="shared" si="4"/>
        <v>0.23</v>
      </c>
      <c r="G3" s="135">
        <f t="shared" si="4"/>
        <v>1.0076530612244898</v>
      </c>
      <c r="H3" s="135">
        <f t="shared" si="4"/>
        <v>0.96826530612244899</v>
      </c>
      <c r="I3" s="135">
        <f t="shared" si="4"/>
        <v>0.87132653061224485</v>
      </c>
      <c r="J3" s="135">
        <f t="shared" si="4"/>
        <v>1.0556122448979592</v>
      </c>
      <c r="K3" s="135">
        <f t="shared" si="4"/>
        <v>0.79653061224489796</v>
      </c>
      <c r="L3" s="135">
        <f t="shared" si="4"/>
        <v>1.0495918367346939</v>
      </c>
      <c r="M3" s="135">
        <f t="shared" si="4"/>
        <v>0.51459183673469389</v>
      </c>
      <c r="N3" s="135">
        <f t="shared" si="4"/>
        <v>1.0015306122448979</v>
      </c>
      <c r="O3" s="135">
        <f t="shared" si="4"/>
        <v>1.2243877551020408</v>
      </c>
      <c r="P3" s="135">
        <f t="shared" si="4"/>
        <v>1.0673469387755101</v>
      </c>
      <c r="Q3" s="135">
        <f t="shared" si="4"/>
        <v>1.1714285714285715</v>
      </c>
      <c r="R3" s="135">
        <f t="shared" si="4"/>
        <v>0.98581632653061224</v>
      </c>
      <c r="S3" s="135">
        <f t="shared" si="4"/>
        <v>1.018673469387755</v>
      </c>
      <c r="T3" s="135">
        <f t="shared" si="4"/>
        <v>0.62897959183673469</v>
      </c>
      <c r="U3" s="135">
        <f t="shared" si="4"/>
        <v>1.2526530612244897</v>
      </c>
      <c r="V3" s="135">
        <f t="shared" si="4"/>
        <v>0.94326530612244897</v>
      </c>
      <c r="W3" s="135">
        <f t="shared" si="4"/>
        <v>1.0465306122448979</v>
      </c>
      <c r="X3" s="135">
        <f t="shared" si="4"/>
        <v>1.0385714285714285</v>
      </c>
      <c r="Y3" s="135">
        <f t="shared" si="4"/>
        <v>0.95081632653061221</v>
      </c>
      <c r="Z3" s="135">
        <f t="shared" si="4"/>
        <v>1.2958163265306122</v>
      </c>
      <c r="AA3" s="135">
        <f t="shared" si="4"/>
        <v>0.6171428571428571</v>
      </c>
      <c r="AB3" s="135">
        <f t="shared" si="4"/>
        <v>1.0437755102040815</v>
      </c>
      <c r="AC3" s="135">
        <f t="shared" si="4"/>
        <v>1.0136734693877552</v>
      </c>
      <c r="AD3" s="135">
        <f t="shared" si="4"/>
        <v>0.89469387755102037</v>
      </c>
      <c r="AE3" s="135">
        <f t="shared" si="4"/>
        <v>0.98918367346938774</v>
      </c>
      <c r="AF3" s="165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</row>
    <row r="4" spans="1:66">
      <c r="A4" s="83" t="s">
        <v>525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>
        <v>156</v>
      </c>
      <c r="Z4" s="9"/>
      <c r="AA4" s="9"/>
      <c r="AB4" s="9"/>
      <c r="AC4" s="9"/>
      <c r="AD4" s="9"/>
      <c r="AE4" s="9"/>
      <c r="AF4" s="165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</row>
    <row r="5" spans="1:66">
      <c r="A5" s="83" t="s">
        <v>513</v>
      </c>
      <c r="B5" s="9" t="s">
        <v>0</v>
      </c>
      <c r="C5" s="9" t="s">
        <v>0</v>
      </c>
      <c r="D5" s="9" t="s">
        <v>0</v>
      </c>
      <c r="E5" s="9" t="s">
        <v>0</v>
      </c>
      <c r="F5" s="9" t="s">
        <v>0</v>
      </c>
      <c r="G5" s="9">
        <v>474</v>
      </c>
      <c r="H5" s="9">
        <v>100</v>
      </c>
      <c r="I5" s="9" t="s">
        <v>0</v>
      </c>
      <c r="J5" s="9"/>
      <c r="K5" s="9"/>
      <c r="L5" s="9" t="s">
        <v>0</v>
      </c>
      <c r="M5" s="9" t="s">
        <v>0</v>
      </c>
      <c r="N5" s="9"/>
      <c r="O5" s="9"/>
      <c r="P5" s="9"/>
      <c r="Q5" s="9"/>
      <c r="R5" s="9"/>
      <c r="S5" s="9"/>
      <c r="T5" s="9"/>
      <c r="U5" s="9"/>
      <c r="V5" s="9"/>
      <c r="W5" s="9"/>
      <c r="X5" s="9">
        <v>62</v>
      </c>
      <c r="Y5" s="9"/>
      <c r="Z5" s="9"/>
      <c r="AA5" s="9"/>
      <c r="AB5" s="9"/>
      <c r="AC5" s="9"/>
      <c r="AD5" s="9"/>
      <c r="AE5" s="9"/>
      <c r="AF5" s="165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</row>
    <row r="6" spans="1:66">
      <c r="A6" s="83" t="s">
        <v>554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>
        <v>2</v>
      </c>
      <c r="Y6" s="9"/>
      <c r="Z6" s="9"/>
      <c r="AA6" s="9"/>
      <c r="AB6" s="9"/>
      <c r="AC6" s="9"/>
      <c r="AD6" s="9"/>
      <c r="AE6" s="9"/>
      <c r="AF6" s="165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</row>
    <row r="7" spans="1:66">
      <c r="A7" s="83" t="s">
        <v>471</v>
      </c>
      <c r="B7" s="9">
        <v>85</v>
      </c>
      <c r="C7" s="9">
        <v>66</v>
      </c>
      <c r="D7" s="9">
        <v>256</v>
      </c>
      <c r="E7" s="9">
        <v>29</v>
      </c>
      <c r="F7" s="9" t="s">
        <v>0</v>
      </c>
      <c r="G7" s="9">
        <v>393</v>
      </c>
      <c r="H7" s="9"/>
      <c r="I7" s="9">
        <v>470</v>
      </c>
      <c r="J7" s="9">
        <v>319</v>
      </c>
      <c r="K7" s="9">
        <v>297</v>
      </c>
      <c r="L7" s="9" t="s">
        <v>0</v>
      </c>
      <c r="M7" s="9">
        <v>419</v>
      </c>
      <c r="N7" s="9">
        <v>171</v>
      </c>
      <c r="O7" s="9" t="s">
        <v>0</v>
      </c>
      <c r="P7" s="9">
        <v>340</v>
      </c>
      <c r="Q7" s="9">
        <v>231</v>
      </c>
      <c r="R7" s="9">
        <v>151</v>
      </c>
      <c r="S7" s="9">
        <v>594</v>
      </c>
      <c r="T7" s="9">
        <v>144</v>
      </c>
      <c r="U7" s="9">
        <v>195</v>
      </c>
      <c r="V7" s="9"/>
      <c r="W7" s="9"/>
      <c r="X7" s="9"/>
      <c r="Y7" s="9">
        <v>764</v>
      </c>
      <c r="Z7" s="9">
        <v>773</v>
      </c>
      <c r="AA7" s="9">
        <v>382</v>
      </c>
      <c r="AB7" s="9"/>
      <c r="AC7" s="9">
        <v>125</v>
      </c>
      <c r="AD7" s="9">
        <v>107</v>
      </c>
      <c r="AE7" s="9">
        <v>150</v>
      </c>
      <c r="AF7" s="9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</row>
    <row r="8" spans="1:66">
      <c r="A8" s="83" t="s">
        <v>539</v>
      </c>
      <c r="B8" s="9">
        <v>1</v>
      </c>
      <c r="C8" s="9">
        <v>3</v>
      </c>
      <c r="D8" s="9">
        <v>12</v>
      </c>
      <c r="E8" s="9">
        <v>12</v>
      </c>
      <c r="F8" s="9" t="s">
        <v>0</v>
      </c>
      <c r="G8" s="9">
        <v>86</v>
      </c>
      <c r="H8" s="9">
        <v>4</v>
      </c>
      <c r="I8" s="9">
        <v>67</v>
      </c>
      <c r="J8" s="9">
        <v>41</v>
      </c>
      <c r="K8" s="9">
        <v>103</v>
      </c>
      <c r="L8" s="9" t="s">
        <v>0</v>
      </c>
      <c r="M8" s="9">
        <v>124</v>
      </c>
      <c r="N8" s="9">
        <v>7</v>
      </c>
      <c r="O8" s="9">
        <v>43</v>
      </c>
      <c r="P8" s="9" t="s">
        <v>0</v>
      </c>
      <c r="Q8" s="9">
        <v>42</v>
      </c>
      <c r="R8" s="9">
        <v>65</v>
      </c>
      <c r="S8" s="9">
        <v>60</v>
      </c>
      <c r="T8" s="9"/>
      <c r="U8" s="9"/>
      <c r="V8" s="9">
        <v>230</v>
      </c>
      <c r="W8" s="9">
        <v>52</v>
      </c>
      <c r="X8" s="9">
        <v>31</v>
      </c>
      <c r="Y8" s="9">
        <v>27</v>
      </c>
      <c r="Z8" s="9">
        <v>37</v>
      </c>
      <c r="AA8" s="9"/>
      <c r="AB8" s="9"/>
      <c r="AC8" s="9">
        <v>86</v>
      </c>
      <c r="AD8" s="9">
        <v>43</v>
      </c>
      <c r="AE8" s="9">
        <v>56</v>
      </c>
      <c r="AF8" s="9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</row>
    <row r="9" spans="1:66">
      <c r="A9" s="83" t="s">
        <v>103</v>
      </c>
      <c r="B9" s="9">
        <v>731</v>
      </c>
      <c r="C9" s="9">
        <v>478</v>
      </c>
      <c r="D9" s="9">
        <v>336</v>
      </c>
      <c r="E9" s="9">
        <v>2370</v>
      </c>
      <c r="F9" s="9" t="s">
        <v>0</v>
      </c>
      <c r="G9" s="9">
        <v>931</v>
      </c>
      <c r="H9" s="9">
        <v>1543</v>
      </c>
      <c r="I9" s="9">
        <v>441</v>
      </c>
      <c r="J9" s="9">
        <v>459</v>
      </c>
      <c r="K9" s="9">
        <v>739</v>
      </c>
      <c r="L9" s="9">
        <v>1017</v>
      </c>
      <c r="M9" s="9" t="s">
        <v>0</v>
      </c>
      <c r="N9" s="9">
        <v>1497</v>
      </c>
      <c r="O9" s="9">
        <v>69</v>
      </c>
      <c r="P9" s="9">
        <v>1667</v>
      </c>
      <c r="Q9" s="9">
        <v>1809</v>
      </c>
      <c r="R9" s="9">
        <v>1972</v>
      </c>
      <c r="S9" s="9">
        <v>971</v>
      </c>
      <c r="T9" s="9"/>
      <c r="U9" s="9">
        <v>1227</v>
      </c>
      <c r="V9" s="9">
        <v>354</v>
      </c>
      <c r="W9" s="9">
        <v>1416</v>
      </c>
      <c r="X9" s="9">
        <v>349</v>
      </c>
      <c r="Y9" s="9">
        <v>1092</v>
      </c>
      <c r="Z9" s="9">
        <v>869</v>
      </c>
      <c r="AA9" s="9"/>
      <c r="AB9" s="9">
        <v>693</v>
      </c>
      <c r="AC9" s="9">
        <v>109</v>
      </c>
      <c r="AD9" s="9">
        <v>982</v>
      </c>
      <c r="AE9" s="9">
        <v>1404</v>
      </c>
      <c r="AF9" s="9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</row>
    <row r="10" spans="1:66">
      <c r="A10" s="83" t="s">
        <v>98</v>
      </c>
      <c r="B10" s="9">
        <v>1326</v>
      </c>
      <c r="C10" s="9">
        <v>1017</v>
      </c>
      <c r="D10" s="9">
        <v>647</v>
      </c>
      <c r="E10" s="9">
        <v>1354</v>
      </c>
      <c r="F10" s="9">
        <v>184</v>
      </c>
      <c r="G10" s="9">
        <v>1104</v>
      </c>
      <c r="H10" s="9">
        <v>546</v>
      </c>
      <c r="I10" s="9">
        <v>579</v>
      </c>
      <c r="J10" s="9">
        <v>1324</v>
      </c>
      <c r="K10" s="9">
        <v>961</v>
      </c>
      <c r="L10" s="9">
        <v>1347</v>
      </c>
      <c r="M10" s="9">
        <v>896</v>
      </c>
      <c r="N10" s="9">
        <v>327</v>
      </c>
      <c r="O10" s="9">
        <v>1725</v>
      </c>
      <c r="P10" s="9">
        <v>1357</v>
      </c>
      <c r="Q10" s="9">
        <v>778</v>
      </c>
      <c r="R10" s="9">
        <v>948</v>
      </c>
      <c r="S10" s="9">
        <v>366</v>
      </c>
      <c r="T10" s="9">
        <v>1268</v>
      </c>
      <c r="U10" s="9">
        <v>922</v>
      </c>
      <c r="V10" s="9">
        <v>772</v>
      </c>
      <c r="W10" s="9">
        <v>985</v>
      </c>
      <c r="X10" s="9">
        <v>661</v>
      </c>
      <c r="Y10" s="9">
        <v>789</v>
      </c>
      <c r="Z10" s="9">
        <v>1448</v>
      </c>
      <c r="AA10" s="9">
        <v>225</v>
      </c>
      <c r="AB10" s="9">
        <v>950</v>
      </c>
      <c r="AC10" s="9">
        <v>1156</v>
      </c>
      <c r="AD10" s="9">
        <v>1451</v>
      </c>
      <c r="AE10" s="9">
        <v>604</v>
      </c>
      <c r="AF10" s="9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</row>
    <row r="11" spans="1:66">
      <c r="A11" s="83" t="s">
        <v>91</v>
      </c>
      <c r="B11" s="9">
        <v>901</v>
      </c>
      <c r="C11" s="9">
        <v>1261</v>
      </c>
      <c r="D11" s="9">
        <v>825</v>
      </c>
      <c r="E11" s="9">
        <v>1447</v>
      </c>
      <c r="F11" s="9">
        <v>173</v>
      </c>
      <c r="G11" s="9">
        <v>698</v>
      </c>
      <c r="H11" s="9">
        <v>1662</v>
      </c>
      <c r="I11" s="9">
        <v>1658</v>
      </c>
      <c r="J11" s="9">
        <v>1662</v>
      </c>
      <c r="K11" s="9">
        <v>1126</v>
      </c>
      <c r="L11" s="9">
        <v>1053</v>
      </c>
      <c r="M11" s="9">
        <v>59</v>
      </c>
      <c r="N11" s="9">
        <v>1763</v>
      </c>
      <c r="O11" s="9">
        <v>1798</v>
      </c>
      <c r="P11" s="9">
        <v>526</v>
      </c>
      <c r="Q11" s="9">
        <v>1806</v>
      </c>
      <c r="R11" s="9">
        <v>836</v>
      </c>
      <c r="S11" s="9">
        <v>1892</v>
      </c>
      <c r="T11" s="9">
        <v>479</v>
      </c>
      <c r="U11" s="9">
        <v>2623</v>
      </c>
      <c r="V11" s="9">
        <v>1369</v>
      </c>
      <c r="W11" s="9">
        <v>899</v>
      </c>
      <c r="X11" s="9">
        <v>622</v>
      </c>
      <c r="Y11" s="9">
        <v>644</v>
      </c>
      <c r="Z11" s="9">
        <v>1351</v>
      </c>
      <c r="AA11" s="9">
        <v>516</v>
      </c>
      <c r="AB11" s="9">
        <v>1148</v>
      </c>
      <c r="AC11" s="9">
        <v>936</v>
      </c>
      <c r="AD11" s="9">
        <v>1303</v>
      </c>
      <c r="AE11" s="9">
        <v>2065</v>
      </c>
      <c r="AF11" s="9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</row>
    <row r="12" spans="1:66">
      <c r="A12" s="83" t="s">
        <v>538</v>
      </c>
      <c r="B12" s="9">
        <v>16</v>
      </c>
      <c r="C12" s="9">
        <v>49</v>
      </c>
      <c r="D12" s="9" t="s">
        <v>0</v>
      </c>
      <c r="E12" s="9">
        <v>213</v>
      </c>
      <c r="F12" s="9" t="s">
        <v>0</v>
      </c>
      <c r="G12" s="9"/>
      <c r="H12" s="9">
        <v>348</v>
      </c>
      <c r="I12" s="9">
        <v>102</v>
      </c>
      <c r="J12" s="9">
        <v>88</v>
      </c>
      <c r="K12" s="9">
        <v>209</v>
      </c>
      <c r="L12" s="9">
        <v>202</v>
      </c>
      <c r="M12" s="9" t="s">
        <v>0</v>
      </c>
      <c r="N12" s="9" t="s">
        <v>0</v>
      </c>
      <c r="O12" s="9">
        <v>453</v>
      </c>
      <c r="P12" s="9">
        <v>49</v>
      </c>
      <c r="Q12" s="9">
        <v>173</v>
      </c>
      <c r="R12" s="9">
        <v>123</v>
      </c>
      <c r="S12" s="9">
        <v>297</v>
      </c>
      <c r="T12" s="9"/>
      <c r="U12" s="9">
        <v>100</v>
      </c>
      <c r="V12" s="9">
        <v>66</v>
      </c>
      <c r="W12" s="9">
        <v>132</v>
      </c>
      <c r="X12" s="9">
        <v>149</v>
      </c>
      <c r="Y12" s="9">
        <v>201</v>
      </c>
      <c r="Z12" s="9">
        <v>137</v>
      </c>
      <c r="AA12" s="9"/>
      <c r="AB12" s="9">
        <v>119</v>
      </c>
      <c r="AC12" s="9">
        <v>96</v>
      </c>
      <c r="AD12" s="9">
        <v>86</v>
      </c>
      <c r="AE12" s="9">
        <v>27</v>
      </c>
      <c r="AF12" s="9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</row>
    <row r="13" spans="1:66">
      <c r="A13" s="83" t="s">
        <v>463</v>
      </c>
      <c r="B13" s="9">
        <v>842</v>
      </c>
      <c r="C13" s="9">
        <v>523</v>
      </c>
      <c r="D13" s="9">
        <v>1090</v>
      </c>
      <c r="E13" s="9">
        <v>952</v>
      </c>
      <c r="F13" s="9">
        <v>274</v>
      </c>
      <c r="G13" s="9">
        <v>506</v>
      </c>
      <c r="H13" s="9">
        <v>1263</v>
      </c>
      <c r="I13" s="9">
        <v>740</v>
      </c>
      <c r="J13" s="9">
        <v>724</v>
      </c>
      <c r="K13" s="9">
        <v>467</v>
      </c>
      <c r="L13" s="9">
        <v>702</v>
      </c>
      <c r="M13" s="9">
        <v>1404</v>
      </c>
      <c r="N13" s="9">
        <v>1349</v>
      </c>
      <c r="O13" s="9">
        <v>1020</v>
      </c>
      <c r="P13" s="9">
        <v>1618</v>
      </c>
      <c r="Q13" s="9">
        <v>1150</v>
      </c>
      <c r="R13" s="9">
        <v>952</v>
      </c>
      <c r="S13" s="9">
        <v>710</v>
      </c>
      <c r="T13" s="9">
        <v>477</v>
      </c>
      <c r="U13" s="9">
        <v>1241</v>
      </c>
      <c r="V13" s="9">
        <v>1045</v>
      </c>
      <c r="W13" s="9">
        <v>948</v>
      </c>
      <c r="X13" s="9">
        <v>788</v>
      </c>
      <c r="Y13" s="9">
        <v>1060</v>
      </c>
      <c r="Z13" s="9">
        <v>1236</v>
      </c>
      <c r="AA13" s="9">
        <v>1444</v>
      </c>
      <c r="AB13" s="9">
        <v>756</v>
      </c>
      <c r="AC13" s="9">
        <v>1021</v>
      </c>
      <c r="AD13" s="9">
        <v>761</v>
      </c>
      <c r="AE13" s="9">
        <v>293</v>
      </c>
      <c r="AF13" s="9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</row>
    <row r="14" spans="1:66">
      <c r="A14" s="83" t="s">
        <v>547</v>
      </c>
      <c r="B14" s="9">
        <v>1</v>
      </c>
      <c r="C14" s="9">
        <v>24</v>
      </c>
      <c r="D14" s="9" t="s">
        <v>0</v>
      </c>
      <c r="E14" s="9">
        <v>47</v>
      </c>
      <c r="F14" s="9">
        <v>152</v>
      </c>
      <c r="G14" s="9">
        <v>177</v>
      </c>
      <c r="H14" s="9"/>
      <c r="I14" s="9">
        <v>171</v>
      </c>
      <c r="J14" s="9">
        <v>194</v>
      </c>
      <c r="K14" s="9">
        <v>103</v>
      </c>
      <c r="L14" s="9">
        <v>15</v>
      </c>
      <c r="M14" s="9" t="s">
        <v>0</v>
      </c>
      <c r="N14" s="9">
        <v>34</v>
      </c>
      <c r="O14" s="9">
        <v>107</v>
      </c>
      <c r="P14" s="9">
        <v>58</v>
      </c>
      <c r="Q14" s="9">
        <v>58</v>
      </c>
      <c r="R14" s="9">
        <v>35</v>
      </c>
      <c r="S14" s="9">
        <v>36</v>
      </c>
      <c r="T14" s="9"/>
      <c r="U14" s="9">
        <v>111</v>
      </c>
      <c r="V14" s="9"/>
      <c r="W14" s="9">
        <v>121</v>
      </c>
      <c r="X14" s="9">
        <v>88</v>
      </c>
      <c r="Y14" s="9">
        <v>31</v>
      </c>
      <c r="Z14" s="9">
        <v>44</v>
      </c>
      <c r="AA14" s="9"/>
      <c r="AB14" s="9">
        <v>92</v>
      </c>
      <c r="AC14" s="9">
        <v>23</v>
      </c>
      <c r="AD14" s="9">
        <v>7</v>
      </c>
      <c r="AE14" s="9">
        <v>11</v>
      </c>
      <c r="AF14" s="9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</row>
    <row r="15" spans="1:66">
      <c r="A15" s="83" t="s">
        <v>454</v>
      </c>
      <c r="B15" s="9">
        <v>602</v>
      </c>
      <c r="C15" s="9">
        <v>558</v>
      </c>
      <c r="D15" s="9">
        <v>403</v>
      </c>
      <c r="E15" s="9">
        <v>980</v>
      </c>
      <c r="F15" s="9" t="s">
        <v>0</v>
      </c>
      <c r="G15" s="9"/>
      <c r="H15" s="9">
        <v>1538</v>
      </c>
      <c r="I15" s="9">
        <v>478</v>
      </c>
      <c r="J15" s="9">
        <v>1922</v>
      </c>
      <c r="K15" s="9">
        <v>786</v>
      </c>
      <c r="L15" s="9">
        <v>1207</v>
      </c>
      <c r="M15" s="9" t="s">
        <v>0</v>
      </c>
      <c r="N15" s="9">
        <v>350</v>
      </c>
      <c r="O15" s="9">
        <v>601</v>
      </c>
      <c r="P15" s="9">
        <v>777</v>
      </c>
      <c r="Q15" s="9">
        <v>1238</v>
      </c>
      <c r="R15" s="9">
        <v>544</v>
      </c>
      <c r="S15" s="9">
        <v>285</v>
      </c>
      <c r="T15" s="9">
        <v>1316</v>
      </c>
      <c r="U15" s="9">
        <v>244</v>
      </c>
      <c r="V15" s="9">
        <v>1225</v>
      </c>
      <c r="W15" s="9">
        <v>587</v>
      </c>
      <c r="X15" s="9">
        <v>1497</v>
      </c>
      <c r="Y15" s="9">
        <v>388</v>
      </c>
      <c r="Z15" s="9">
        <v>1397</v>
      </c>
      <c r="AA15" s="136">
        <v>300</v>
      </c>
      <c r="AB15" s="9">
        <v>347</v>
      </c>
      <c r="AC15" s="9">
        <v>1476</v>
      </c>
      <c r="AD15" s="9">
        <v>620</v>
      </c>
      <c r="AE15" s="9">
        <v>730</v>
      </c>
      <c r="AF15" s="9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</row>
    <row r="16" spans="1:66">
      <c r="A16" s="83" t="s">
        <v>528</v>
      </c>
      <c r="B16" s="9">
        <v>125</v>
      </c>
      <c r="C16" s="9">
        <v>211</v>
      </c>
      <c r="D16" s="9">
        <v>135</v>
      </c>
      <c r="E16" s="9">
        <v>136</v>
      </c>
      <c r="F16" s="9" t="s">
        <v>0</v>
      </c>
      <c r="G16" s="9">
        <v>267</v>
      </c>
      <c r="H16" s="9"/>
      <c r="I16" s="9">
        <v>197</v>
      </c>
      <c r="J16" s="9">
        <v>566</v>
      </c>
      <c r="K16" s="9">
        <v>184</v>
      </c>
      <c r="L16" s="9">
        <v>308</v>
      </c>
      <c r="M16" s="9" t="s">
        <v>0</v>
      </c>
      <c r="N16" s="9">
        <v>66</v>
      </c>
      <c r="O16" s="9">
        <v>311</v>
      </c>
      <c r="P16" s="9">
        <v>198</v>
      </c>
      <c r="Q16" s="9">
        <v>361</v>
      </c>
      <c r="R16" s="9">
        <v>426</v>
      </c>
      <c r="S16" s="9">
        <v>415</v>
      </c>
      <c r="T16" s="9">
        <v>198</v>
      </c>
      <c r="U16" s="9">
        <v>386</v>
      </c>
      <c r="V16" s="136">
        <v>602</v>
      </c>
      <c r="W16" s="9">
        <v>288</v>
      </c>
      <c r="X16" s="9">
        <v>422</v>
      </c>
      <c r="Y16" s="9">
        <v>201</v>
      </c>
      <c r="Z16" s="9">
        <v>329</v>
      </c>
      <c r="AA16" s="9"/>
      <c r="AB16" s="9">
        <v>458</v>
      </c>
      <c r="AC16" s="9">
        <v>279</v>
      </c>
      <c r="AD16" s="9">
        <v>135</v>
      </c>
      <c r="AE16" s="9"/>
      <c r="AF16" s="9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</row>
    <row r="17" spans="1:66">
      <c r="A17" s="83" t="s">
        <v>470</v>
      </c>
      <c r="B17" s="9">
        <v>1912</v>
      </c>
      <c r="C17" s="9">
        <v>2123</v>
      </c>
      <c r="D17" s="9">
        <v>2004</v>
      </c>
      <c r="E17" s="9">
        <v>3351</v>
      </c>
      <c r="F17" s="9">
        <v>325</v>
      </c>
      <c r="G17" s="9">
        <v>3865</v>
      </c>
      <c r="H17" s="9">
        <v>2134</v>
      </c>
      <c r="I17" s="9">
        <v>1630</v>
      </c>
      <c r="J17" s="9">
        <v>2686</v>
      </c>
      <c r="K17" s="9">
        <v>1746</v>
      </c>
      <c r="L17" s="9">
        <v>2753</v>
      </c>
      <c r="M17" s="9">
        <v>143</v>
      </c>
      <c r="N17" s="9">
        <v>3110</v>
      </c>
      <c r="O17" s="9">
        <v>2352</v>
      </c>
      <c r="P17" s="9">
        <v>2926</v>
      </c>
      <c r="Q17" s="9">
        <v>1993</v>
      </c>
      <c r="R17" s="9">
        <v>2198</v>
      </c>
      <c r="S17" s="9">
        <v>2495</v>
      </c>
      <c r="T17" s="9">
        <v>331</v>
      </c>
      <c r="U17" s="9">
        <v>3478</v>
      </c>
      <c r="V17" s="9">
        <v>2583</v>
      </c>
      <c r="W17" s="9">
        <v>2093</v>
      </c>
      <c r="X17" s="9">
        <v>3989</v>
      </c>
      <c r="Y17" s="9">
        <v>2901</v>
      </c>
      <c r="Z17" s="9">
        <v>2883</v>
      </c>
      <c r="AA17" s="9">
        <v>1581</v>
      </c>
      <c r="AB17" s="9">
        <v>4484</v>
      </c>
      <c r="AC17" s="9">
        <v>2154</v>
      </c>
      <c r="AD17" s="9">
        <v>1781</v>
      </c>
      <c r="AE17" s="9">
        <v>3015</v>
      </c>
      <c r="AF17" s="9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</row>
    <row r="18" spans="1:66">
      <c r="A18" s="83" t="s">
        <v>486</v>
      </c>
      <c r="B18" s="9">
        <v>17</v>
      </c>
      <c r="C18" s="9">
        <v>347</v>
      </c>
      <c r="D18" s="9">
        <v>372</v>
      </c>
      <c r="E18" s="9">
        <v>221</v>
      </c>
      <c r="F18" s="9" t="s">
        <v>0</v>
      </c>
      <c r="G18" s="9"/>
      <c r="H18" s="9">
        <v>294</v>
      </c>
      <c r="I18" s="9">
        <v>149</v>
      </c>
      <c r="J18" s="9">
        <v>202</v>
      </c>
      <c r="K18" s="9">
        <v>137</v>
      </c>
      <c r="L18" s="9">
        <v>123</v>
      </c>
      <c r="M18" s="9">
        <v>298</v>
      </c>
      <c r="N18" s="9" t="s">
        <v>0</v>
      </c>
      <c r="O18" s="9">
        <v>253</v>
      </c>
      <c r="P18" s="9">
        <v>168</v>
      </c>
      <c r="Q18" s="9">
        <v>449</v>
      </c>
      <c r="R18" s="9">
        <v>248</v>
      </c>
      <c r="S18" s="9">
        <v>577</v>
      </c>
      <c r="T18" s="9">
        <v>172</v>
      </c>
      <c r="U18" s="9">
        <v>540</v>
      </c>
      <c r="V18" s="9">
        <v>209</v>
      </c>
      <c r="W18" s="9">
        <v>374</v>
      </c>
      <c r="X18" s="9">
        <v>497</v>
      </c>
      <c r="Y18" s="9">
        <v>236</v>
      </c>
      <c r="Z18" s="9">
        <v>313</v>
      </c>
      <c r="AA18" s="9">
        <v>384</v>
      </c>
      <c r="AB18" s="9">
        <v>304</v>
      </c>
      <c r="AC18" s="9">
        <v>528</v>
      </c>
      <c r="AD18" s="9">
        <v>421</v>
      </c>
      <c r="AE18" s="9">
        <v>591</v>
      </c>
      <c r="AF18" s="9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</row>
    <row r="19" spans="1:66">
      <c r="A19" s="83" t="s">
        <v>85</v>
      </c>
      <c r="B19" s="9">
        <v>70</v>
      </c>
      <c r="C19" s="9" t="s">
        <v>0</v>
      </c>
      <c r="D19" s="9">
        <v>56</v>
      </c>
      <c r="E19" s="9" t="s">
        <v>0</v>
      </c>
      <c r="F19" s="9">
        <v>95</v>
      </c>
      <c r="G19" s="9"/>
      <c r="H19" s="9">
        <v>46</v>
      </c>
      <c r="I19" s="9">
        <v>74</v>
      </c>
      <c r="J19" s="9">
        <v>30</v>
      </c>
      <c r="K19" s="9">
        <v>55</v>
      </c>
      <c r="L19" s="9">
        <v>36</v>
      </c>
      <c r="M19" s="9">
        <v>48</v>
      </c>
      <c r="N19" s="9" t="s">
        <v>0</v>
      </c>
      <c r="O19" s="9">
        <v>136</v>
      </c>
      <c r="P19" s="9">
        <v>55</v>
      </c>
      <c r="Q19" s="9">
        <v>44</v>
      </c>
      <c r="R19" s="9">
        <v>63</v>
      </c>
      <c r="S19" s="9">
        <v>40</v>
      </c>
      <c r="T19" s="9">
        <v>21</v>
      </c>
      <c r="U19" s="9">
        <v>30</v>
      </c>
      <c r="V19" s="9">
        <v>124</v>
      </c>
      <c r="W19" s="9">
        <v>144</v>
      </c>
      <c r="X19" s="9">
        <v>54</v>
      </c>
      <c r="Y19" s="9">
        <v>21</v>
      </c>
      <c r="Z19" s="9">
        <v>33</v>
      </c>
      <c r="AA19" s="9"/>
      <c r="AB19" s="9">
        <v>104</v>
      </c>
      <c r="AC19" s="9">
        <v>28</v>
      </c>
      <c r="AD19" s="9">
        <v>26</v>
      </c>
      <c r="AE19" s="9">
        <v>29</v>
      </c>
      <c r="AF19" s="9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</row>
    <row r="20" spans="1:66">
      <c r="A20" s="83" t="s">
        <v>510</v>
      </c>
      <c r="B20" s="9">
        <v>118</v>
      </c>
      <c r="C20" s="9">
        <v>70</v>
      </c>
      <c r="D20" s="9" t="s">
        <v>0</v>
      </c>
      <c r="E20" s="9" t="s">
        <v>0</v>
      </c>
      <c r="F20" s="9" t="s">
        <v>0</v>
      </c>
      <c r="G20" s="9">
        <v>34</v>
      </c>
      <c r="H20" s="9"/>
      <c r="I20" s="9">
        <v>153</v>
      </c>
      <c r="J20" s="9">
        <v>101</v>
      </c>
      <c r="K20" s="9" t="s">
        <v>0</v>
      </c>
      <c r="L20" s="9" t="s">
        <v>0</v>
      </c>
      <c r="M20" s="9">
        <v>162</v>
      </c>
      <c r="N20" s="9" t="s">
        <v>0</v>
      </c>
      <c r="O20" s="9">
        <v>1</v>
      </c>
      <c r="P20" s="9">
        <v>218</v>
      </c>
      <c r="Q20" s="9">
        <v>94</v>
      </c>
      <c r="R20" s="9"/>
      <c r="S20" s="9"/>
      <c r="T20" s="9"/>
      <c r="U20" s="9"/>
      <c r="V20" s="9"/>
      <c r="W20" s="9">
        <v>364</v>
      </c>
      <c r="X20" s="9"/>
      <c r="Y20" s="9">
        <v>207</v>
      </c>
      <c r="Z20" s="9">
        <v>31</v>
      </c>
      <c r="AA20" s="9"/>
      <c r="AB20" s="9"/>
      <c r="AC20" s="9">
        <v>124</v>
      </c>
      <c r="AD20" s="9"/>
      <c r="AE20" s="9"/>
      <c r="AF20" s="9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</row>
    <row r="21" spans="1:66">
      <c r="A21" s="83" t="s">
        <v>452</v>
      </c>
      <c r="B21" s="9">
        <v>69</v>
      </c>
      <c r="C21" s="9" t="s">
        <v>0</v>
      </c>
      <c r="D21" s="9">
        <v>197</v>
      </c>
      <c r="E21" s="9" t="s">
        <v>0</v>
      </c>
      <c r="F21" s="9" t="s">
        <v>0</v>
      </c>
      <c r="G21" s="9"/>
      <c r="H21" s="9"/>
      <c r="I21" s="9">
        <v>502</v>
      </c>
      <c r="J21" s="9" t="s">
        <v>0</v>
      </c>
      <c r="K21" s="9" t="s">
        <v>0</v>
      </c>
      <c r="L21" s="9">
        <v>355</v>
      </c>
      <c r="M21" s="9">
        <v>83</v>
      </c>
      <c r="N21" s="9" t="s">
        <v>0</v>
      </c>
      <c r="O21" s="9">
        <v>343</v>
      </c>
      <c r="P21" s="9">
        <v>42</v>
      </c>
      <c r="Q21" s="9"/>
      <c r="R21" s="9">
        <v>188</v>
      </c>
      <c r="S21" s="9"/>
      <c r="T21" s="9">
        <v>24</v>
      </c>
      <c r="U21" s="9">
        <v>68</v>
      </c>
      <c r="V21" s="9">
        <v>239</v>
      </c>
      <c r="W21" s="9">
        <v>171</v>
      </c>
      <c r="X21" s="9">
        <v>132</v>
      </c>
      <c r="Y21" s="9">
        <v>121</v>
      </c>
      <c r="Z21" s="9"/>
      <c r="AA21" s="9"/>
      <c r="AB21" s="9"/>
      <c r="AC21" s="9">
        <v>222</v>
      </c>
      <c r="AD21" s="9"/>
      <c r="AE21" s="9"/>
      <c r="AF21" s="9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</row>
    <row r="22" spans="1:66">
      <c r="A22" s="83" t="s">
        <v>461</v>
      </c>
      <c r="B22" s="9" t="s">
        <v>0</v>
      </c>
      <c r="C22" s="9">
        <v>725</v>
      </c>
      <c r="D22" s="9" t="s">
        <v>0</v>
      </c>
      <c r="E22" s="9">
        <v>298</v>
      </c>
      <c r="F22" s="9">
        <v>995</v>
      </c>
      <c r="G22" s="9"/>
      <c r="H22" s="9"/>
      <c r="I22" s="9">
        <v>714</v>
      </c>
      <c r="J22" s="9" t="s">
        <v>0</v>
      </c>
      <c r="K22" s="9">
        <v>499</v>
      </c>
      <c r="L22" s="9" t="s">
        <v>0</v>
      </c>
      <c r="M22" s="9">
        <v>969</v>
      </c>
      <c r="N22" s="9" t="s">
        <v>0</v>
      </c>
      <c r="O22" s="9">
        <v>1185</v>
      </c>
      <c r="P22" s="9" t="s">
        <v>0</v>
      </c>
      <c r="Q22" s="9">
        <v>1241</v>
      </c>
      <c r="R22" s="9">
        <v>907</v>
      </c>
      <c r="S22" s="9"/>
      <c r="T22" s="9">
        <v>662</v>
      </c>
      <c r="U22" s="9"/>
      <c r="V22" s="9"/>
      <c r="W22" s="9">
        <v>470</v>
      </c>
      <c r="X22" s="9"/>
      <c r="Y22" s="9">
        <v>447</v>
      </c>
      <c r="Z22" s="9">
        <v>230</v>
      </c>
      <c r="AA22" s="9">
        <v>1111</v>
      </c>
      <c r="AB22" s="9">
        <v>283</v>
      </c>
      <c r="AC22" s="9"/>
      <c r="AD22" s="9">
        <v>286</v>
      </c>
      <c r="AE22" s="9">
        <v>404</v>
      </c>
      <c r="AF22" s="9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</row>
    <row r="23" spans="1:66">
      <c r="A23" s="83" t="s">
        <v>450</v>
      </c>
      <c r="B23" s="9" t="s">
        <v>0</v>
      </c>
      <c r="C23" s="9">
        <v>30</v>
      </c>
      <c r="D23" s="9">
        <v>13</v>
      </c>
      <c r="E23" s="9" t="s">
        <v>0</v>
      </c>
      <c r="F23" s="9">
        <v>56</v>
      </c>
      <c r="G23" s="9"/>
      <c r="H23" s="9">
        <v>11</v>
      </c>
      <c r="I23" s="9"/>
      <c r="J23" s="9">
        <v>21</v>
      </c>
      <c r="K23" s="9" t="s">
        <v>0</v>
      </c>
      <c r="L23" s="9">
        <v>88</v>
      </c>
      <c r="M23" s="9" t="s">
        <v>0</v>
      </c>
      <c r="N23" s="9">
        <v>69</v>
      </c>
      <c r="O23" s="9" t="s">
        <v>0</v>
      </c>
      <c r="P23" s="9">
        <v>16</v>
      </c>
      <c r="Q23" s="9">
        <v>12</v>
      </c>
      <c r="R23" s="9"/>
      <c r="S23" s="9">
        <v>610</v>
      </c>
      <c r="T23" s="9"/>
      <c r="U23" s="9">
        <v>70</v>
      </c>
      <c r="V23" s="9"/>
      <c r="W23" s="9"/>
      <c r="X23" s="9">
        <v>179</v>
      </c>
      <c r="Y23" s="9"/>
      <c r="Z23" s="9"/>
      <c r="AA23" s="9">
        <v>80</v>
      </c>
      <c r="AB23" s="9"/>
      <c r="AC23" s="9">
        <v>192</v>
      </c>
      <c r="AD23" s="9"/>
      <c r="AE23" s="9">
        <v>120</v>
      </c>
      <c r="AF23" s="9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</row>
    <row r="24" spans="1:66">
      <c r="A24" s="83" t="s">
        <v>90</v>
      </c>
      <c r="B24" s="9" t="s">
        <v>0</v>
      </c>
      <c r="C24" s="9">
        <v>25</v>
      </c>
      <c r="D24" s="9" t="s">
        <v>0</v>
      </c>
      <c r="E24" s="9" t="s">
        <v>0</v>
      </c>
      <c r="F24" s="9" t="s">
        <v>0</v>
      </c>
      <c r="G24" s="9"/>
      <c r="H24" s="9"/>
      <c r="I24" s="9"/>
      <c r="J24" s="9">
        <v>6</v>
      </c>
      <c r="K24" s="9">
        <v>4</v>
      </c>
      <c r="L24" s="9" t="s">
        <v>0</v>
      </c>
      <c r="M24" s="9">
        <v>10</v>
      </c>
      <c r="N24" s="9" t="s">
        <v>0</v>
      </c>
      <c r="O24" s="9" t="s">
        <v>0</v>
      </c>
      <c r="P24" s="9" t="s">
        <v>0</v>
      </c>
      <c r="Q24" s="9">
        <v>1</v>
      </c>
      <c r="R24" s="9">
        <v>5</v>
      </c>
      <c r="S24" s="9">
        <v>13</v>
      </c>
      <c r="T24" s="9">
        <v>6</v>
      </c>
      <c r="U24" s="9">
        <v>1041</v>
      </c>
      <c r="V24" s="9"/>
      <c r="W24" s="9">
        <v>89</v>
      </c>
      <c r="X24" s="9"/>
      <c r="Y24" s="9">
        <v>30</v>
      </c>
      <c r="Z24" s="9">
        <v>3</v>
      </c>
      <c r="AA24" s="9">
        <v>25</v>
      </c>
      <c r="AB24" s="9"/>
      <c r="AC24" s="9">
        <v>12</v>
      </c>
      <c r="AD24" s="9"/>
      <c r="AE24" s="9"/>
      <c r="AF24" s="9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</row>
    <row r="25" spans="1:66">
      <c r="A25" s="83" t="s">
        <v>485</v>
      </c>
      <c r="B25" s="9" t="s">
        <v>0</v>
      </c>
      <c r="C25" s="9">
        <v>201</v>
      </c>
      <c r="D25" s="9" t="s">
        <v>0</v>
      </c>
      <c r="E25" s="9" t="s">
        <v>0</v>
      </c>
      <c r="F25" s="9" t="s">
        <v>0</v>
      </c>
      <c r="G25" s="9"/>
      <c r="H25" s="9"/>
      <c r="I25" s="9">
        <v>393</v>
      </c>
      <c r="J25" s="9" t="s">
        <v>0</v>
      </c>
      <c r="K25" s="9">
        <v>390</v>
      </c>
      <c r="L25" s="9">
        <v>413</v>
      </c>
      <c r="M25" s="9">
        <v>421</v>
      </c>
      <c r="N25" s="9" t="s">
        <v>0</v>
      </c>
      <c r="O25" s="9">
        <v>411</v>
      </c>
      <c r="P25" s="9">
        <v>427</v>
      </c>
      <c r="Q25" s="9"/>
      <c r="R25" s="9"/>
      <c r="S25" s="9"/>
      <c r="T25" s="9"/>
      <c r="U25" s="9"/>
      <c r="V25" s="9">
        <v>426</v>
      </c>
      <c r="W25" s="9">
        <v>323</v>
      </c>
      <c r="X25" s="9">
        <v>378</v>
      </c>
      <c r="Y25" s="9"/>
      <c r="Z25" s="9">
        <v>490</v>
      </c>
      <c r="AA25" s="9"/>
      <c r="AB25" s="9">
        <v>491</v>
      </c>
      <c r="AC25" s="9"/>
      <c r="AD25" s="9">
        <v>431</v>
      </c>
      <c r="AE25" s="9">
        <v>195</v>
      </c>
      <c r="AF25" s="9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</row>
    <row r="26" spans="1:66">
      <c r="A26" s="83" t="s">
        <v>488</v>
      </c>
      <c r="B26" s="9" t="s">
        <v>0</v>
      </c>
      <c r="C26" s="9" t="s">
        <v>0</v>
      </c>
      <c r="D26" s="9">
        <v>494</v>
      </c>
      <c r="E26" s="9" t="s">
        <v>0</v>
      </c>
      <c r="F26" s="9" t="s">
        <v>0</v>
      </c>
      <c r="G26" s="9">
        <v>405</v>
      </c>
      <c r="H26" s="9"/>
      <c r="I26" s="9"/>
      <c r="J26" s="9" t="s">
        <v>0</v>
      </c>
      <c r="K26" s="9" t="s">
        <v>0</v>
      </c>
      <c r="L26" s="9">
        <v>661</v>
      </c>
      <c r="M26" s="9" t="s">
        <v>0</v>
      </c>
      <c r="N26" s="9">
        <v>518</v>
      </c>
      <c r="O26" s="9" t="s">
        <v>0</v>
      </c>
      <c r="P26" s="9" t="s">
        <v>0</v>
      </c>
      <c r="Q26" s="9"/>
      <c r="R26" s="9"/>
      <c r="S26" s="9">
        <v>622</v>
      </c>
      <c r="T26" s="9">
        <v>683</v>
      </c>
      <c r="U26" s="9"/>
      <c r="V26" s="9"/>
      <c r="W26" s="9">
        <v>800</v>
      </c>
      <c r="X26" s="9"/>
      <c r="Y26" s="9"/>
      <c r="Z26" s="9">
        <v>1095</v>
      </c>
      <c r="AA26" s="9"/>
      <c r="AB26" s="9"/>
      <c r="AC26" s="9">
        <v>679</v>
      </c>
      <c r="AD26" s="9"/>
      <c r="AE26" s="9"/>
      <c r="AF26" s="9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</row>
    <row r="27" spans="1:66">
      <c r="A27" s="83" t="s">
        <v>616</v>
      </c>
      <c r="B27" s="9"/>
      <c r="C27" s="9"/>
      <c r="D27" s="9"/>
      <c r="E27" s="9"/>
      <c r="F27" s="9"/>
      <c r="G27" s="9">
        <v>50</v>
      </c>
      <c r="H27" s="9"/>
      <c r="I27" s="9"/>
      <c r="J27" s="9" t="s">
        <v>0</v>
      </c>
      <c r="K27" s="9" t="s">
        <v>0</v>
      </c>
      <c r="L27" s="9" t="s">
        <v>0</v>
      </c>
      <c r="M27" s="9" t="s">
        <v>0</v>
      </c>
      <c r="N27" s="9" t="s">
        <v>0</v>
      </c>
      <c r="O27" s="9" t="s">
        <v>0</v>
      </c>
      <c r="P27" s="9" t="s">
        <v>0</v>
      </c>
      <c r="Q27" s="9"/>
      <c r="R27" s="9"/>
      <c r="S27" s="9"/>
      <c r="T27" s="9"/>
      <c r="U27" s="9"/>
      <c r="V27" s="9"/>
      <c r="W27" s="9"/>
      <c r="X27" s="9">
        <v>73</v>
      </c>
      <c r="Y27" s="9"/>
      <c r="Z27" s="9"/>
      <c r="AA27" s="9"/>
      <c r="AB27" s="9"/>
      <c r="AC27" s="9"/>
      <c r="AD27" s="9"/>
      <c r="AE27" s="9"/>
      <c r="AF27" s="9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</row>
    <row r="28" spans="1:66">
      <c r="A28" s="83" t="s">
        <v>615</v>
      </c>
      <c r="B28" s="9"/>
      <c r="C28" s="9"/>
      <c r="D28" s="9"/>
      <c r="E28" s="9"/>
      <c r="F28" s="9"/>
      <c r="G28" s="9">
        <v>47</v>
      </c>
      <c r="H28" s="9"/>
      <c r="I28" s="9"/>
      <c r="J28" s="9" t="s">
        <v>0</v>
      </c>
      <c r="K28" s="9" t="s">
        <v>0</v>
      </c>
      <c r="L28" s="9" t="s">
        <v>0</v>
      </c>
      <c r="M28" s="9" t="s">
        <v>0</v>
      </c>
      <c r="N28" s="9" t="s">
        <v>0</v>
      </c>
      <c r="O28" s="9" t="s">
        <v>0</v>
      </c>
      <c r="P28" s="9" t="s">
        <v>0</v>
      </c>
      <c r="Q28" s="9"/>
      <c r="R28" s="9"/>
      <c r="S28" s="9"/>
      <c r="T28" s="9"/>
      <c r="U28" s="9"/>
      <c r="V28" s="9"/>
      <c r="W28" s="9"/>
      <c r="X28" s="9">
        <v>8</v>
      </c>
      <c r="Y28" s="9"/>
      <c r="Z28" s="9"/>
      <c r="AA28" s="9"/>
      <c r="AB28" s="9"/>
      <c r="AC28" s="9"/>
      <c r="AD28" s="9"/>
      <c r="AE28" s="9"/>
      <c r="AF28" s="9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</row>
    <row r="29" spans="1:66">
      <c r="A29" s="83" t="s">
        <v>458</v>
      </c>
      <c r="B29" s="9"/>
      <c r="C29" s="9"/>
      <c r="D29" s="9"/>
      <c r="E29" s="9"/>
      <c r="F29" s="9"/>
      <c r="G29" s="9">
        <v>36</v>
      </c>
      <c r="H29" s="9"/>
      <c r="I29" s="9"/>
      <c r="J29" s="9" t="s">
        <v>0</v>
      </c>
      <c r="K29" s="9" t="s">
        <v>0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0</v>
      </c>
      <c r="Q29" s="9"/>
      <c r="R29" s="9"/>
      <c r="S29" s="9"/>
      <c r="T29" s="9"/>
      <c r="U29" s="9"/>
      <c r="V29" s="9"/>
      <c r="W29" s="9"/>
      <c r="X29" s="9">
        <v>19</v>
      </c>
      <c r="Y29" s="9"/>
      <c r="Z29" s="9"/>
      <c r="AA29" s="9"/>
      <c r="AB29" s="9"/>
      <c r="AC29" s="9"/>
      <c r="AD29" s="9"/>
      <c r="AE29" s="9"/>
      <c r="AF29" s="9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</row>
    <row r="30" spans="1:66">
      <c r="A30" s="83" t="s">
        <v>614</v>
      </c>
      <c r="B30" s="9"/>
      <c r="C30" s="9"/>
      <c r="D30" s="9"/>
      <c r="E30" s="9"/>
      <c r="F30" s="9"/>
      <c r="G30" s="9">
        <v>21</v>
      </c>
      <c r="H30" s="9"/>
      <c r="I30" s="9"/>
      <c r="J30" s="9" t="s">
        <v>0</v>
      </c>
      <c r="K30" s="9" t="s">
        <v>0</v>
      </c>
      <c r="L30" s="9" t="s">
        <v>0</v>
      </c>
      <c r="M30" s="9" t="s">
        <v>0</v>
      </c>
      <c r="N30" s="9" t="s">
        <v>0</v>
      </c>
      <c r="O30" s="9" t="s">
        <v>0</v>
      </c>
      <c r="P30" s="9" t="s">
        <v>0</v>
      </c>
      <c r="Q30" s="9"/>
      <c r="R30" s="9"/>
      <c r="S30" s="9"/>
      <c r="T30" s="9"/>
      <c r="U30" s="9"/>
      <c r="V30" s="9"/>
      <c r="W30" s="9"/>
      <c r="X30" s="9">
        <v>17</v>
      </c>
      <c r="Y30" s="9"/>
      <c r="Z30" s="9"/>
      <c r="AA30" s="9"/>
      <c r="AB30" s="9"/>
      <c r="AC30" s="9"/>
      <c r="AD30" s="9"/>
      <c r="AE30" s="9"/>
      <c r="AF30" s="9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</row>
    <row r="31" spans="1:66">
      <c r="A31" s="83" t="s">
        <v>557</v>
      </c>
      <c r="B31" s="9"/>
      <c r="C31" s="9"/>
      <c r="D31" s="9"/>
      <c r="E31" s="9"/>
      <c r="F31" s="9"/>
      <c r="G31" s="9">
        <v>781</v>
      </c>
      <c r="H31" s="9"/>
      <c r="I31" s="9"/>
      <c r="J31" s="9" t="s">
        <v>0</v>
      </c>
      <c r="K31" s="9" t="s">
        <v>0</v>
      </c>
      <c r="L31" s="9" t="s">
        <v>0</v>
      </c>
      <c r="M31" s="9" t="s">
        <v>0</v>
      </c>
      <c r="N31" s="9">
        <v>554</v>
      </c>
      <c r="O31" s="9">
        <v>1149</v>
      </c>
      <c r="P31" s="9" t="s">
        <v>0</v>
      </c>
      <c r="Q31" s="9"/>
      <c r="R31" s="9"/>
      <c r="S31" s="9"/>
      <c r="T31" s="9">
        <v>383</v>
      </c>
      <c r="U31" s="9"/>
      <c r="V31" s="9"/>
      <c r="W31" s="9"/>
      <c r="X31" s="9">
        <v>161</v>
      </c>
      <c r="Y31" s="9">
        <v>2</v>
      </c>
      <c r="Z31" s="9"/>
      <c r="AA31" s="9"/>
      <c r="AB31" s="9"/>
      <c r="AC31" s="9">
        <v>688</v>
      </c>
      <c r="AD31" s="9">
        <v>328</v>
      </c>
      <c r="AE31" s="9"/>
      <c r="AF31" s="9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</row>
    <row r="32" spans="1:66">
      <c r="A32" s="83" t="s">
        <v>701</v>
      </c>
      <c r="B32" s="9"/>
      <c r="C32" s="9"/>
      <c r="D32" s="9"/>
      <c r="E32" s="9"/>
      <c r="F32" s="9"/>
      <c r="G32" s="9"/>
      <c r="H32" s="9"/>
      <c r="I32" s="9">
        <v>20</v>
      </c>
      <c r="J32" s="9" t="s">
        <v>0</v>
      </c>
      <c r="K32" s="9" t="s">
        <v>0</v>
      </c>
      <c r="L32" s="9">
        <v>6</v>
      </c>
      <c r="M32" s="9" t="s">
        <v>0</v>
      </c>
      <c r="N32" s="9" t="s">
        <v>0</v>
      </c>
      <c r="O32" s="9">
        <v>40</v>
      </c>
      <c r="P32" s="9" t="s">
        <v>0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</row>
    <row r="33" spans="1:66">
      <c r="A33" s="83" t="s">
        <v>511</v>
      </c>
      <c r="B33" s="9"/>
      <c r="C33" s="9"/>
      <c r="D33" s="9"/>
      <c r="E33" s="9"/>
      <c r="F33" s="9"/>
      <c r="G33" s="9"/>
      <c r="H33" s="9"/>
      <c r="I33" s="9">
        <v>1</v>
      </c>
      <c r="J33" s="9" t="s">
        <v>0</v>
      </c>
      <c r="K33" s="9" t="s">
        <v>0</v>
      </c>
      <c r="L33" s="9" t="s">
        <v>0</v>
      </c>
      <c r="M33" s="9">
        <v>1</v>
      </c>
      <c r="N33" s="9" t="s">
        <v>0</v>
      </c>
      <c r="O33" s="9" t="s">
        <v>0</v>
      </c>
      <c r="P33" s="9" t="s">
        <v>0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</row>
    <row r="34" spans="1:66">
      <c r="A34" s="83" t="s">
        <v>509</v>
      </c>
      <c r="B34" s="9"/>
      <c r="C34" s="9"/>
      <c r="D34" s="9"/>
      <c r="E34" s="9"/>
      <c r="F34" s="9"/>
      <c r="G34" s="9"/>
      <c r="H34" s="9"/>
      <c r="I34" s="9"/>
      <c r="J34" s="9" t="s">
        <v>0</v>
      </c>
      <c r="K34" s="9" t="s">
        <v>0</v>
      </c>
      <c r="L34" s="9" t="s">
        <v>0</v>
      </c>
      <c r="M34" s="9">
        <v>6</v>
      </c>
      <c r="N34" s="9" t="s">
        <v>0</v>
      </c>
      <c r="O34" s="9" t="s">
        <v>0</v>
      </c>
      <c r="P34" s="9">
        <v>18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</row>
    <row r="35" spans="1:66">
      <c r="A35" s="83" t="s">
        <v>702</v>
      </c>
      <c r="B35" s="9"/>
      <c r="C35" s="9"/>
      <c r="D35" s="9"/>
      <c r="E35" s="9"/>
      <c r="F35" s="9"/>
      <c r="G35" s="9"/>
      <c r="H35" s="9"/>
      <c r="I35" s="9"/>
      <c r="J35" s="9" t="s">
        <v>0</v>
      </c>
      <c r="K35" s="9" t="s">
        <v>0</v>
      </c>
      <c r="L35" s="9" t="s">
        <v>0</v>
      </c>
      <c r="M35" s="9" t="s">
        <v>0</v>
      </c>
      <c r="N35" s="9" t="s">
        <v>0</v>
      </c>
      <c r="O35" s="9">
        <v>2</v>
      </c>
      <c r="P35" s="9" t="s">
        <v>0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</row>
    <row r="36" spans="1:66">
      <c r="A36" s="83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</row>
    <row r="37" spans="1:66">
      <c r="A37" s="83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</row>
    <row r="38" spans="1:66">
      <c r="A38" s="83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</row>
    <row r="39" spans="1:66">
      <c r="A39" s="8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</row>
    <row r="40" spans="1:66">
      <c r="A40" s="83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</row>
    <row r="41" spans="1:66">
      <c r="A41" s="83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</row>
    <row r="42" spans="1:66">
      <c r="A42" s="83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</row>
    <row r="43" spans="1:66">
      <c r="A43" s="83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</row>
    <row r="44" spans="1:66">
      <c r="A44" s="136"/>
      <c r="B44" s="136">
        <f t="shared" ref="B44:AE44" si="5">SUM(B7:B43)</f>
        <v>6816</v>
      </c>
      <c r="C44" s="136">
        <f t="shared" si="5"/>
        <v>7711</v>
      </c>
      <c r="D44" s="136">
        <f t="shared" si="5"/>
        <v>6840</v>
      </c>
      <c r="E44" s="136">
        <f t="shared" si="5"/>
        <v>11410</v>
      </c>
      <c r="F44" s="136">
        <f t="shared" si="5"/>
        <v>2254</v>
      </c>
      <c r="G44" s="136">
        <f t="shared" si="5"/>
        <v>9401</v>
      </c>
      <c r="H44" s="136">
        <f t="shared" si="5"/>
        <v>9389</v>
      </c>
      <c r="I44" s="136">
        <f t="shared" si="5"/>
        <v>8539</v>
      </c>
      <c r="J44" s="136">
        <f t="shared" si="5"/>
        <v>10345</v>
      </c>
      <c r="K44" s="136">
        <f t="shared" si="5"/>
        <v>7806</v>
      </c>
      <c r="L44" s="136">
        <f t="shared" si="5"/>
        <v>10286</v>
      </c>
      <c r="M44" s="136">
        <f t="shared" si="5"/>
        <v>5043</v>
      </c>
      <c r="N44" s="136">
        <f t="shared" si="5"/>
        <v>9815</v>
      </c>
      <c r="O44" s="136">
        <f t="shared" si="5"/>
        <v>11999</v>
      </c>
      <c r="P44" s="136">
        <f t="shared" si="5"/>
        <v>10460</v>
      </c>
      <c r="Q44" s="136">
        <f t="shared" si="5"/>
        <v>11480</v>
      </c>
      <c r="R44" s="136">
        <f t="shared" si="5"/>
        <v>9661</v>
      </c>
      <c r="S44" s="136">
        <f t="shared" si="5"/>
        <v>9983</v>
      </c>
      <c r="T44" s="136">
        <f t="shared" si="5"/>
        <v>6164</v>
      </c>
      <c r="U44" s="136">
        <f t="shared" si="5"/>
        <v>12276</v>
      </c>
      <c r="V44" s="136">
        <f t="shared" si="5"/>
        <v>9244</v>
      </c>
      <c r="W44" s="136">
        <f t="shared" si="5"/>
        <v>10256</v>
      </c>
      <c r="X44" s="136">
        <f t="shared" si="5"/>
        <v>10114</v>
      </c>
      <c r="Y44" s="136">
        <f t="shared" si="5"/>
        <v>9162</v>
      </c>
      <c r="Z44" s="136">
        <f t="shared" si="5"/>
        <v>12699</v>
      </c>
      <c r="AA44" s="136">
        <f t="shared" si="5"/>
        <v>6048</v>
      </c>
      <c r="AB44" s="136">
        <f t="shared" si="5"/>
        <v>10229</v>
      </c>
      <c r="AC44" s="136">
        <f t="shared" si="5"/>
        <v>9934</v>
      </c>
      <c r="AD44" s="136">
        <f t="shared" si="5"/>
        <v>8768</v>
      </c>
      <c r="AE44" s="136">
        <f t="shared" si="5"/>
        <v>9694</v>
      </c>
      <c r="AF44" s="166">
        <f>SUM(B44:AE44)</f>
        <v>273826</v>
      </c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</row>
    <row r="45" spans="1:66" ht="15.75" customHeight="1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</row>
    <row r="46" spans="1:66">
      <c r="A46" s="83" t="s">
        <v>646</v>
      </c>
      <c r="B46" s="137">
        <f t="shared" ref="B46:I46" si="6">SUM(B48:B72)</f>
        <v>8828</v>
      </c>
      <c r="C46" s="137">
        <f t="shared" si="6"/>
        <v>6144</v>
      </c>
      <c r="D46" s="137">
        <f t="shared" si="6"/>
        <v>7055</v>
      </c>
      <c r="E46" s="137">
        <f t="shared" si="6"/>
        <v>8055</v>
      </c>
      <c r="F46" s="137">
        <f t="shared" si="6"/>
        <v>9016</v>
      </c>
      <c r="G46" s="137">
        <f t="shared" si="6"/>
        <v>2847</v>
      </c>
      <c r="H46" s="137">
        <f t="shared" si="6"/>
        <v>10752</v>
      </c>
      <c r="I46" s="137">
        <f t="shared" si="6"/>
        <v>8931</v>
      </c>
      <c r="J46" s="137">
        <f t="shared" ref="J46:Z46" si="7">SUM(J48:J75)</f>
        <v>11219</v>
      </c>
      <c r="K46" s="137">
        <f t="shared" si="7"/>
        <v>7759</v>
      </c>
      <c r="L46" s="137">
        <f t="shared" si="7"/>
        <v>8606</v>
      </c>
      <c r="M46" s="137">
        <f t="shared" si="7"/>
        <v>9516</v>
      </c>
      <c r="N46" s="137">
        <f t="shared" si="7"/>
        <v>4161</v>
      </c>
      <c r="O46" s="137">
        <f t="shared" si="7"/>
        <v>10094</v>
      </c>
      <c r="P46" s="137">
        <f t="shared" si="7"/>
        <v>13353</v>
      </c>
      <c r="Q46" s="137">
        <f t="shared" si="7"/>
        <v>9855</v>
      </c>
      <c r="R46" s="137">
        <f t="shared" si="7"/>
        <v>10496</v>
      </c>
      <c r="S46" s="137">
        <f t="shared" si="7"/>
        <v>11617</v>
      </c>
      <c r="T46" s="137">
        <f t="shared" si="7"/>
        <v>9275</v>
      </c>
      <c r="U46" s="137">
        <f t="shared" si="7"/>
        <v>7928</v>
      </c>
      <c r="V46" s="137">
        <f t="shared" si="7"/>
        <v>10647</v>
      </c>
      <c r="W46" s="137">
        <f t="shared" si="7"/>
        <v>8821</v>
      </c>
      <c r="X46" s="137">
        <f t="shared" si="7"/>
        <v>10360</v>
      </c>
      <c r="Y46" s="137">
        <f t="shared" si="7"/>
        <v>9345</v>
      </c>
      <c r="Z46" s="137">
        <f t="shared" si="7"/>
        <v>10493</v>
      </c>
      <c r="AA46" s="137">
        <f>SUM(AA48:AA76)</f>
        <v>12467</v>
      </c>
      <c r="AB46" s="137">
        <f>SUM(AB48:AB78)</f>
        <v>5324</v>
      </c>
      <c r="AC46" s="137">
        <f t="shared" ref="AC46:AE46" si="8">SUM(AC48:AC75)</f>
        <v>10385</v>
      </c>
      <c r="AD46" s="137">
        <f t="shared" si="8"/>
        <v>10405</v>
      </c>
      <c r="AE46" s="137">
        <f t="shared" si="8"/>
        <v>9198</v>
      </c>
      <c r="AF46" s="225" t="s">
        <v>84</v>
      </c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</row>
    <row r="47" spans="1:66">
      <c r="A47" s="83" t="s">
        <v>70</v>
      </c>
      <c r="B47" s="134">
        <v>46113</v>
      </c>
      <c r="C47" s="134">
        <v>46114</v>
      </c>
      <c r="D47" s="134">
        <v>46115</v>
      </c>
      <c r="E47" s="134">
        <v>46116</v>
      </c>
      <c r="F47" s="134">
        <v>46117</v>
      </c>
      <c r="G47" s="134">
        <v>46118</v>
      </c>
      <c r="H47" s="134">
        <v>46119</v>
      </c>
      <c r="I47" s="134">
        <v>46120</v>
      </c>
      <c r="J47" s="134">
        <v>46121</v>
      </c>
      <c r="K47" s="134">
        <v>46122</v>
      </c>
      <c r="L47" s="134">
        <v>46123</v>
      </c>
      <c r="M47" s="134">
        <v>46124</v>
      </c>
      <c r="N47" s="134">
        <v>46125</v>
      </c>
      <c r="O47" s="134">
        <v>46126</v>
      </c>
      <c r="P47" s="134">
        <v>46127</v>
      </c>
      <c r="Q47" s="134">
        <v>46128</v>
      </c>
      <c r="R47" s="134">
        <v>46129</v>
      </c>
      <c r="S47" s="134">
        <v>46130</v>
      </c>
      <c r="T47" s="134">
        <v>46131</v>
      </c>
      <c r="U47" s="134">
        <v>46132</v>
      </c>
      <c r="V47" s="134">
        <v>46133</v>
      </c>
      <c r="W47" s="134">
        <v>46134</v>
      </c>
      <c r="X47" s="134">
        <v>46135</v>
      </c>
      <c r="Y47" s="134">
        <v>46136</v>
      </c>
      <c r="Z47" s="134">
        <v>46137</v>
      </c>
      <c r="AA47" s="134">
        <v>46138</v>
      </c>
      <c r="AB47" s="134">
        <v>46139</v>
      </c>
      <c r="AC47" s="134">
        <v>46140</v>
      </c>
      <c r="AD47" s="134">
        <v>46141</v>
      </c>
      <c r="AE47" s="134">
        <v>46142</v>
      </c>
      <c r="AF47" s="199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</row>
    <row r="48" spans="1:66">
      <c r="A48" s="83" t="s">
        <v>107</v>
      </c>
      <c r="B48" s="9">
        <v>20</v>
      </c>
      <c r="C48" s="9">
        <v>5</v>
      </c>
      <c r="D48" s="9">
        <v>5</v>
      </c>
      <c r="E48" s="9">
        <v>25</v>
      </c>
      <c r="F48" s="9">
        <v>34</v>
      </c>
      <c r="G48" s="9" t="s">
        <v>0</v>
      </c>
      <c r="H48" s="9">
        <v>10</v>
      </c>
      <c r="I48" s="9">
        <v>48</v>
      </c>
      <c r="J48" s="9">
        <v>22</v>
      </c>
      <c r="K48" s="9">
        <v>44</v>
      </c>
      <c r="L48" s="9">
        <v>22</v>
      </c>
      <c r="M48" s="9">
        <v>30</v>
      </c>
      <c r="N48" s="9"/>
      <c r="O48" s="9">
        <v>26</v>
      </c>
      <c r="P48" s="9">
        <v>22</v>
      </c>
      <c r="Q48" s="9">
        <v>19</v>
      </c>
      <c r="R48" s="9">
        <v>3</v>
      </c>
      <c r="S48" s="9">
        <v>47</v>
      </c>
      <c r="T48" s="9">
        <v>13</v>
      </c>
      <c r="U48" s="9"/>
      <c r="V48" s="9">
        <v>14</v>
      </c>
      <c r="W48" s="9">
        <v>61</v>
      </c>
      <c r="X48" s="9">
        <v>39</v>
      </c>
      <c r="Y48" s="9">
        <v>12</v>
      </c>
      <c r="Z48" s="9">
        <v>11</v>
      </c>
      <c r="AA48" s="9">
        <v>17</v>
      </c>
      <c r="AB48" s="9">
        <v>2</v>
      </c>
      <c r="AC48" s="9">
        <v>33</v>
      </c>
      <c r="AD48" s="9">
        <v>37</v>
      </c>
      <c r="AE48" s="9">
        <v>7</v>
      </c>
      <c r="AF48" s="9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</row>
    <row r="49" spans="1:66">
      <c r="A49" s="83" t="s">
        <v>462</v>
      </c>
      <c r="B49" s="9">
        <v>1237</v>
      </c>
      <c r="C49" s="9">
        <v>756</v>
      </c>
      <c r="D49" s="9">
        <v>1024</v>
      </c>
      <c r="E49" s="9">
        <v>971</v>
      </c>
      <c r="F49" s="9">
        <v>1819</v>
      </c>
      <c r="G49" s="9">
        <v>340</v>
      </c>
      <c r="H49" s="9">
        <v>1266</v>
      </c>
      <c r="I49" s="9">
        <v>187</v>
      </c>
      <c r="J49" s="9">
        <v>1566</v>
      </c>
      <c r="K49" s="9">
        <v>828</v>
      </c>
      <c r="L49" s="9">
        <v>693</v>
      </c>
      <c r="M49" s="9">
        <v>880</v>
      </c>
      <c r="N49" s="9">
        <v>562</v>
      </c>
      <c r="O49" s="9">
        <v>1113</v>
      </c>
      <c r="P49" s="9">
        <v>1481</v>
      </c>
      <c r="Q49" s="9" t="s">
        <v>0</v>
      </c>
      <c r="R49" s="9">
        <v>2268</v>
      </c>
      <c r="S49" s="9">
        <v>2676</v>
      </c>
      <c r="T49" s="9">
        <v>504</v>
      </c>
      <c r="U49" s="9">
        <v>323</v>
      </c>
      <c r="V49" s="9">
        <v>901</v>
      </c>
      <c r="W49" s="9">
        <v>2604</v>
      </c>
      <c r="X49" s="9">
        <v>590</v>
      </c>
      <c r="Y49" s="9">
        <v>1984</v>
      </c>
      <c r="Z49" s="9">
        <v>1892</v>
      </c>
      <c r="AA49" s="9">
        <v>570</v>
      </c>
      <c r="AB49" s="9">
        <v>474</v>
      </c>
      <c r="AC49" s="9">
        <v>1690</v>
      </c>
      <c r="AD49" s="9">
        <v>1987</v>
      </c>
      <c r="AE49" s="9">
        <v>661</v>
      </c>
      <c r="AF49" s="9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</row>
    <row r="50" spans="1:66">
      <c r="A50" s="83" t="s">
        <v>122</v>
      </c>
      <c r="B50" s="9">
        <v>74</v>
      </c>
      <c r="C50" s="9">
        <v>98</v>
      </c>
      <c r="D50" s="9">
        <v>60</v>
      </c>
      <c r="E50" s="9">
        <v>23</v>
      </c>
      <c r="F50" s="9">
        <v>134</v>
      </c>
      <c r="G50" s="9" t="s">
        <v>0</v>
      </c>
      <c r="H50" s="9">
        <v>120</v>
      </c>
      <c r="I50" s="9">
        <v>144</v>
      </c>
      <c r="J50" s="9">
        <v>117</v>
      </c>
      <c r="K50" s="9">
        <v>93</v>
      </c>
      <c r="L50" s="9">
        <v>110</v>
      </c>
      <c r="M50" s="9">
        <v>23</v>
      </c>
      <c r="N50" s="9"/>
      <c r="O50" s="9">
        <v>131</v>
      </c>
      <c r="P50" s="9">
        <v>69</v>
      </c>
      <c r="Q50" s="9">
        <v>73</v>
      </c>
      <c r="R50" s="9">
        <v>56</v>
      </c>
      <c r="S50" s="9">
        <v>10</v>
      </c>
      <c r="T50" s="9">
        <v>35</v>
      </c>
      <c r="U50" s="9"/>
      <c r="V50" s="9">
        <v>122</v>
      </c>
      <c r="W50" s="9">
        <v>124</v>
      </c>
      <c r="X50" s="9">
        <v>238</v>
      </c>
      <c r="Y50" s="9">
        <v>186</v>
      </c>
      <c r="Z50" s="9">
        <v>49</v>
      </c>
      <c r="AA50" s="9">
        <v>142</v>
      </c>
      <c r="AB50" s="9"/>
      <c r="AC50" s="9">
        <v>102</v>
      </c>
      <c r="AD50" s="9">
        <v>198</v>
      </c>
      <c r="AE50" s="9"/>
      <c r="AF50" s="9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</row>
    <row r="51" spans="1:66">
      <c r="A51" s="83" t="s">
        <v>90</v>
      </c>
      <c r="B51" s="9">
        <v>2011</v>
      </c>
      <c r="C51" s="9">
        <v>1404</v>
      </c>
      <c r="D51" s="9">
        <v>1875</v>
      </c>
      <c r="E51" s="9">
        <v>1400</v>
      </c>
      <c r="F51" s="9">
        <v>2054</v>
      </c>
      <c r="G51" s="9">
        <v>2086</v>
      </c>
      <c r="H51" s="9">
        <v>2420</v>
      </c>
      <c r="I51" s="9">
        <v>1261</v>
      </c>
      <c r="J51" s="9">
        <v>2738</v>
      </c>
      <c r="K51" s="9">
        <v>2257</v>
      </c>
      <c r="L51" s="9">
        <v>1628</v>
      </c>
      <c r="M51" s="9">
        <v>1942</v>
      </c>
      <c r="N51" s="9">
        <v>1192</v>
      </c>
      <c r="O51" s="9">
        <v>1772</v>
      </c>
      <c r="P51" s="9">
        <v>3365</v>
      </c>
      <c r="Q51" s="9">
        <v>580</v>
      </c>
      <c r="R51" s="9">
        <v>3241</v>
      </c>
      <c r="S51" s="9">
        <v>2451</v>
      </c>
      <c r="T51" s="9">
        <v>3166</v>
      </c>
      <c r="U51" s="9">
        <v>2321</v>
      </c>
      <c r="V51" s="9">
        <v>2887</v>
      </c>
      <c r="W51" s="9">
        <v>2168</v>
      </c>
      <c r="X51" s="9">
        <v>1860</v>
      </c>
      <c r="Y51" s="9">
        <v>2276</v>
      </c>
      <c r="Z51" s="9">
        <v>3681</v>
      </c>
      <c r="AA51" s="9">
        <v>3556</v>
      </c>
      <c r="AB51" s="9">
        <v>1145</v>
      </c>
      <c r="AC51" s="9">
        <v>2086</v>
      </c>
      <c r="AD51" s="9">
        <v>2346</v>
      </c>
      <c r="AE51" s="9">
        <v>3472</v>
      </c>
      <c r="AF51" s="9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</row>
    <row r="52" spans="1:66">
      <c r="A52" s="83" t="s">
        <v>102</v>
      </c>
      <c r="B52" s="9">
        <v>252</v>
      </c>
      <c r="C52" s="9">
        <v>299</v>
      </c>
      <c r="D52" s="9">
        <v>392</v>
      </c>
      <c r="E52" s="9">
        <v>306</v>
      </c>
      <c r="F52" s="9" t="s">
        <v>0</v>
      </c>
      <c r="G52" s="9">
        <v>312</v>
      </c>
      <c r="H52" s="9" t="s">
        <v>0</v>
      </c>
      <c r="I52" s="9">
        <v>883</v>
      </c>
      <c r="J52" s="9">
        <v>572</v>
      </c>
      <c r="K52" s="9">
        <v>346</v>
      </c>
      <c r="L52" s="9">
        <v>772</v>
      </c>
      <c r="M52" s="9">
        <v>350</v>
      </c>
      <c r="N52" s="9">
        <v>198</v>
      </c>
      <c r="O52" s="9">
        <v>464</v>
      </c>
      <c r="P52" s="9">
        <v>638</v>
      </c>
      <c r="Q52" s="9">
        <v>1647</v>
      </c>
      <c r="R52" s="9">
        <v>867</v>
      </c>
      <c r="S52" s="9">
        <v>542</v>
      </c>
      <c r="T52" s="9">
        <v>462</v>
      </c>
      <c r="U52" s="9">
        <v>257</v>
      </c>
      <c r="V52" s="9">
        <v>917</v>
      </c>
      <c r="W52" s="9">
        <v>252</v>
      </c>
      <c r="X52" s="9">
        <v>661</v>
      </c>
      <c r="Y52" s="9">
        <v>196</v>
      </c>
      <c r="Z52" s="9">
        <v>427</v>
      </c>
      <c r="AA52" s="9">
        <v>646</v>
      </c>
      <c r="AB52" s="9">
        <v>156</v>
      </c>
      <c r="AC52" s="9">
        <v>596</v>
      </c>
      <c r="AD52" s="9">
        <v>148</v>
      </c>
      <c r="AE52" s="9">
        <v>366</v>
      </c>
      <c r="AF52" s="9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</row>
    <row r="53" spans="1:66">
      <c r="A53" s="83" t="s">
        <v>121</v>
      </c>
      <c r="B53" s="9">
        <v>29</v>
      </c>
      <c r="C53" s="9">
        <v>123</v>
      </c>
      <c r="D53" s="9">
        <v>26</v>
      </c>
      <c r="E53" s="9">
        <v>46</v>
      </c>
      <c r="F53" s="9">
        <v>56</v>
      </c>
      <c r="G53" s="9">
        <v>40</v>
      </c>
      <c r="H53" s="9">
        <v>90</v>
      </c>
      <c r="I53" s="9">
        <v>6</v>
      </c>
      <c r="J53" s="9">
        <v>92</v>
      </c>
      <c r="K53" s="9">
        <v>110</v>
      </c>
      <c r="L53" s="9">
        <v>37</v>
      </c>
      <c r="M53" s="9">
        <v>46</v>
      </c>
      <c r="N53" s="9">
        <v>26</v>
      </c>
      <c r="O53" s="9" t="s">
        <v>0</v>
      </c>
      <c r="P53" s="9">
        <v>120</v>
      </c>
      <c r="Q53" s="9">
        <v>106</v>
      </c>
      <c r="R53" s="9">
        <v>67</v>
      </c>
      <c r="S53" s="9">
        <v>81</v>
      </c>
      <c r="T53" s="9">
        <v>40</v>
      </c>
      <c r="U53" s="9">
        <v>131</v>
      </c>
      <c r="V53" s="9">
        <v>46</v>
      </c>
      <c r="W53" s="9">
        <v>16</v>
      </c>
      <c r="X53" s="9">
        <v>134</v>
      </c>
      <c r="Y53" s="9">
        <v>63</v>
      </c>
      <c r="Z53" s="9">
        <v>139</v>
      </c>
      <c r="AA53" s="9">
        <v>27</v>
      </c>
      <c r="AB53" s="9">
        <v>18</v>
      </c>
      <c r="AC53" s="9">
        <v>35</v>
      </c>
      <c r="AD53" s="9">
        <v>46</v>
      </c>
      <c r="AE53" s="9">
        <v>76</v>
      </c>
      <c r="AF53" s="9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</row>
    <row r="54" spans="1:66">
      <c r="A54" s="83" t="s">
        <v>459</v>
      </c>
      <c r="B54" s="9">
        <v>242</v>
      </c>
      <c r="C54" s="9">
        <v>377</v>
      </c>
      <c r="D54" s="9">
        <v>215</v>
      </c>
      <c r="E54" s="9">
        <v>101</v>
      </c>
      <c r="F54" s="9">
        <v>259</v>
      </c>
      <c r="G54" s="9">
        <v>26</v>
      </c>
      <c r="H54" s="9">
        <v>273</v>
      </c>
      <c r="I54" s="9">
        <v>379</v>
      </c>
      <c r="J54" s="9">
        <v>258</v>
      </c>
      <c r="K54" s="9">
        <v>301</v>
      </c>
      <c r="L54" s="9"/>
      <c r="M54" s="9">
        <v>634</v>
      </c>
      <c r="N54" s="9">
        <v>256</v>
      </c>
      <c r="O54" s="9" t="s">
        <v>0</v>
      </c>
      <c r="P54" s="9">
        <v>433</v>
      </c>
      <c r="Q54" s="9">
        <v>484</v>
      </c>
      <c r="R54" s="9">
        <v>180</v>
      </c>
      <c r="S54" s="9">
        <v>188</v>
      </c>
      <c r="T54" s="9">
        <v>242</v>
      </c>
      <c r="U54" s="9">
        <v>243</v>
      </c>
      <c r="V54" s="9">
        <v>302</v>
      </c>
      <c r="W54" s="9">
        <v>59</v>
      </c>
      <c r="X54" s="9">
        <v>472</v>
      </c>
      <c r="Y54" s="9">
        <v>181</v>
      </c>
      <c r="Z54" s="9">
        <v>485</v>
      </c>
      <c r="AA54" s="9">
        <v>462</v>
      </c>
      <c r="AB54" s="9">
        <v>47</v>
      </c>
      <c r="AC54" s="9">
        <v>345</v>
      </c>
      <c r="AD54" s="9">
        <v>241</v>
      </c>
      <c r="AE54" s="9">
        <v>230</v>
      </c>
      <c r="AF54" s="9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</row>
    <row r="55" spans="1:66">
      <c r="A55" s="83" t="s">
        <v>96</v>
      </c>
      <c r="B55" s="9">
        <v>2466</v>
      </c>
      <c r="C55" s="9">
        <v>1596</v>
      </c>
      <c r="D55" s="9">
        <v>1601</v>
      </c>
      <c r="E55" s="9">
        <v>1689</v>
      </c>
      <c r="F55" s="9">
        <v>2706</v>
      </c>
      <c r="G55" s="9" t="s">
        <v>0</v>
      </c>
      <c r="H55" s="9">
        <v>3580</v>
      </c>
      <c r="I55" s="9">
        <v>2079</v>
      </c>
      <c r="J55" s="9">
        <v>3338</v>
      </c>
      <c r="K55" s="9">
        <v>1952</v>
      </c>
      <c r="L55" s="9">
        <v>3377</v>
      </c>
      <c r="M55" s="9">
        <v>2651</v>
      </c>
      <c r="N55" s="9">
        <v>1174</v>
      </c>
      <c r="O55" s="9">
        <v>3297</v>
      </c>
      <c r="P55" s="9">
        <v>4194</v>
      </c>
      <c r="Q55" s="9">
        <v>3392</v>
      </c>
      <c r="R55" s="9">
        <v>2115</v>
      </c>
      <c r="S55" s="9">
        <v>2831</v>
      </c>
      <c r="T55" s="9">
        <v>2415</v>
      </c>
      <c r="U55" s="9">
        <v>2266</v>
      </c>
      <c r="V55" s="9">
        <v>2694</v>
      </c>
      <c r="W55" s="9">
        <v>1430</v>
      </c>
      <c r="X55" s="9">
        <v>3677</v>
      </c>
      <c r="Y55" s="9">
        <v>2549</v>
      </c>
      <c r="Z55" s="9">
        <v>1614</v>
      </c>
      <c r="AA55" s="9">
        <v>3644</v>
      </c>
      <c r="AB55" s="9">
        <v>2355</v>
      </c>
      <c r="AC55" s="9">
        <v>2213</v>
      </c>
      <c r="AD55" s="9">
        <v>1681</v>
      </c>
      <c r="AE55" s="9">
        <v>492</v>
      </c>
      <c r="AF55" s="9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</row>
    <row r="56" spans="1:66">
      <c r="A56" s="83" t="s">
        <v>115</v>
      </c>
      <c r="B56" s="9">
        <v>14</v>
      </c>
      <c r="C56" s="9">
        <v>16</v>
      </c>
      <c r="D56" s="9" t="s">
        <v>0</v>
      </c>
      <c r="E56" s="9">
        <v>22</v>
      </c>
      <c r="F56" s="9">
        <v>26</v>
      </c>
      <c r="G56" s="9" t="s">
        <v>0</v>
      </c>
      <c r="H56" s="9">
        <v>1</v>
      </c>
      <c r="I56" s="9">
        <v>82</v>
      </c>
      <c r="J56" s="9">
        <v>25</v>
      </c>
      <c r="K56" s="9">
        <v>65</v>
      </c>
      <c r="L56" s="9">
        <v>50</v>
      </c>
      <c r="M56" s="9">
        <v>20</v>
      </c>
      <c r="N56" s="9"/>
      <c r="O56" s="9">
        <v>135</v>
      </c>
      <c r="P56" s="9">
        <v>95</v>
      </c>
      <c r="Q56" s="9">
        <v>79</v>
      </c>
      <c r="R56" s="9">
        <v>23</v>
      </c>
      <c r="S56" s="9">
        <v>91</v>
      </c>
      <c r="T56" s="9">
        <v>56</v>
      </c>
      <c r="U56" s="9" t="s">
        <v>0</v>
      </c>
      <c r="V56" s="9">
        <v>29</v>
      </c>
      <c r="W56" s="9">
        <v>15</v>
      </c>
      <c r="X56" s="9">
        <v>30</v>
      </c>
      <c r="Y56" s="9">
        <v>33</v>
      </c>
      <c r="Z56" s="9">
        <v>45</v>
      </c>
      <c r="AA56" s="9">
        <v>42</v>
      </c>
      <c r="AB56" s="9">
        <v>2</v>
      </c>
      <c r="AC56" s="9">
        <v>68</v>
      </c>
      <c r="AD56" s="9">
        <v>41</v>
      </c>
      <c r="AE56" s="9">
        <v>32</v>
      </c>
      <c r="AF56" s="9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</row>
    <row r="57" spans="1:66">
      <c r="A57" s="83" t="s">
        <v>108</v>
      </c>
      <c r="B57" s="9">
        <v>2424</v>
      </c>
      <c r="C57" s="9">
        <v>1451</v>
      </c>
      <c r="D57" s="9">
        <v>1816</v>
      </c>
      <c r="E57" s="9">
        <v>3333</v>
      </c>
      <c r="F57" s="9">
        <v>1746</v>
      </c>
      <c r="G57" s="9" t="s">
        <v>0</v>
      </c>
      <c r="H57" s="9">
        <v>2907</v>
      </c>
      <c r="I57" s="9">
        <v>3729</v>
      </c>
      <c r="J57" s="9">
        <v>2366</v>
      </c>
      <c r="K57" s="9">
        <v>1671</v>
      </c>
      <c r="L57" s="9">
        <v>1797</v>
      </c>
      <c r="M57" s="9">
        <v>2838</v>
      </c>
      <c r="N57" s="9">
        <v>722</v>
      </c>
      <c r="O57" s="9">
        <v>2955</v>
      </c>
      <c r="P57" s="9">
        <v>2773</v>
      </c>
      <c r="Q57" s="9">
        <v>3382</v>
      </c>
      <c r="R57" s="9">
        <v>1587</v>
      </c>
      <c r="S57" s="9">
        <v>2622</v>
      </c>
      <c r="T57" s="9">
        <v>2286</v>
      </c>
      <c r="U57" s="9">
        <v>2330</v>
      </c>
      <c r="V57" s="9">
        <v>2597</v>
      </c>
      <c r="W57" s="9">
        <v>1939</v>
      </c>
      <c r="X57" s="9">
        <v>2473</v>
      </c>
      <c r="Y57" s="9">
        <v>1718</v>
      </c>
      <c r="Z57" s="9">
        <v>1980</v>
      </c>
      <c r="AA57" s="9">
        <v>3226</v>
      </c>
      <c r="AB57" s="9">
        <v>1050</v>
      </c>
      <c r="AC57" s="9">
        <v>2888</v>
      </c>
      <c r="AD57" s="9">
        <v>3522</v>
      </c>
      <c r="AE57" s="9">
        <v>3759</v>
      </c>
      <c r="AF57" s="9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</row>
    <row r="58" spans="1:66">
      <c r="A58" s="83" t="s">
        <v>118</v>
      </c>
      <c r="B58" s="9">
        <v>59</v>
      </c>
      <c r="C58" s="9">
        <v>19</v>
      </c>
      <c r="D58" s="9">
        <v>41</v>
      </c>
      <c r="E58" s="9">
        <v>69</v>
      </c>
      <c r="F58" s="9">
        <v>143</v>
      </c>
      <c r="G58" s="9">
        <v>33</v>
      </c>
      <c r="H58" s="9">
        <v>48</v>
      </c>
      <c r="I58" s="9">
        <v>124</v>
      </c>
      <c r="J58" s="9">
        <v>81</v>
      </c>
      <c r="K58" s="9">
        <v>90</v>
      </c>
      <c r="L58" s="9">
        <v>120</v>
      </c>
      <c r="M58" s="9">
        <v>79</v>
      </c>
      <c r="N58" s="9">
        <v>31</v>
      </c>
      <c r="O58" s="9">
        <v>141</v>
      </c>
      <c r="P58" s="9">
        <v>118</v>
      </c>
      <c r="Q58" s="9">
        <v>82</v>
      </c>
      <c r="R58" s="9">
        <v>88</v>
      </c>
      <c r="S58" s="9">
        <v>52</v>
      </c>
      <c r="T58" s="9">
        <v>56</v>
      </c>
      <c r="U58" s="9">
        <v>57</v>
      </c>
      <c r="V58" s="9">
        <v>78</v>
      </c>
      <c r="W58" s="9">
        <v>108</v>
      </c>
      <c r="X58" s="9">
        <v>173</v>
      </c>
      <c r="Y58" s="9">
        <v>147</v>
      </c>
      <c r="Z58" s="9">
        <v>76</v>
      </c>
      <c r="AA58" s="9">
        <v>87</v>
      </c>
      <c r="AB58" s="9">
        <v>57</v>
      </c>
      <c r="AC58" s="9">
        <v>242</v>
      </c>
      <c r="AD58" s="9">
        <v>109</v>
      </c>
      <c r="AE58" s="9">
        <v>69</v>
      </c>
      <c r="AF58" s="9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</row>
    <row r="59" spans="1:66">
      <c r="A59" s="83" t="s">
        <v>112</v>
      </c>
      <c r="B59" s="9" t="s">
        <v>0</v>
      </c>
      <c r="C59" s="9" t="s">
        <v>0</v>
      </c>
      <c r="D59" s="9" t="s">
        <v>0</v>
      </c>
      <c r="E59" s="9">
        <v>70</v>
      </c>
      <c r="F59" s="9">
        <v>39</v>
      </c>
      <c r="G59" s="9" t="s">
        <v>0</v>
      </c>
      <c r="H59" s="9">
        <v>35</v>
      </c>
      <c r="I59" s="9" t="s">
        <v>0</v>
      </c>
      <c r="J59" s="9">
        <v>44</v>
      </c>
      <c r="K59" s="9"/>
      <c r="L59" s="9"/>
      <c r="M59" s="9">
        <v>23</v>
      </c>
      <c r="N59" s="9"/>
      <c r="O59" s="9">
        <v>57</v>
      </c>
      <c r="P59" s="9">
        <v>16</v>
      </c>
      <c r="Q59" s="9" t="s">
        <v>0</v>
      </c>
      <c r="R59" s="9" t="s">
        <v>0</v>
      </c>
      <c r="S59" s="9">
        <v>21</v>
      </c>
      <c r="T59" s="9" t="s">
        <v>0</v>
      </c>
      <c r="U59" s="9"/>
      <c r="V59" s="9">
        <v>59</v>
      </c>
      <c r="W59" s="9">
        <v>45</v>
      </c>
      <c r="X59" s="9"/>
      <c r="Y59" s="9"/>
      <c r="Z59" s="9">
        <v>94</v>
      </c>
      <c r="AA59" s="9">
        <v>27</v>
      </c>
      <c r="AB59" s="9"/>
      <c r="AC59" s="9">
        <v>72</v>
      </c>
      <c r="AD59" s="9">
        <v>40</v>
      </c>
      <c r="AE59" s="9">
        <v>33</v>
      </c>
      <c r="AF59" s="9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</row>
    <row r="60" spans="1:66">
      <c r="A60" s="83" t="s">
        <v>539</v>
      </c>
      <c r="B60" s="9" t="s">
        <v>0</v>
      </c>
      <c r="C60" s="9" t="s">
        <v>0</v>
      </c>
      <c r="D60" s="9" t="s">
        <v>0</v>
      </c>
      <c r="E60" s="9" t="s">
        <v>0</v>
      </c>
      <c r="F60" s="9" t="s">
        <v>0</v>
      </c>
      <c r="G60" s="9">
        <v>1</v>
      </c>
      <c r="H60" s="9"/>
      <c r="I60" s="9" t="s">
        <v>0</v>
      </c>
      <c r="J60" s="9"/>
      <c r="K60" s="9"/>
      <c r="L60" s="9"/>
      <c r="M60" s="9"/>
      <c r="N60" s="9"/>
      <c r="O60" s="9" t="s">
        <v>0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</row>
    <row r="61" spans="1:66">
      <c r="A61" s="83" t="s">
        <v>91</v>
      </c>
      <c r="B61" s="9" t="s">
        <v>0</v>
      </c>
      <c r="C61" s="9" t="s">
        <v>0</v>
      </c>
      <c r="D61" s="9" t="s">
        <v>0</v>
      </c>
      <c r="E61" s="9" t="s">
        <v>0</v>
      </c>
      <c r="F61" s="9" t="s">
        <v>0</v>
      </c>
      <c r="G61" s="9">
        <v>1</v>
      </c>
      <c r="H61" s="9"/>
      <c r="I61" s="9" t="s">
        <v>0</v>
      </c>
      <c r="J61" s="9"/>
      <c r="K61" s="9"/>
      <c r="L61" s="9"/>
      <c r="M61" s="9"/>
      <c r="N61" s="9"/>
      <c r="O61" s="9" t="s">
        <v>0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>
        <v>8</v>
      </c>
      <c r="AB61" s="9"/>
      <c r="AC61" s="9"/>
      <c r="AD61" s="9"/>
      <c r="AE61" s="9"/>
      <c r="AF61" s="9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</row>
    <row r="62" spans="1:66">
      <c r="A62" s="83" t="s">
        <v>547</v>
      </c>
      <c r="B62" s="9" t="s">
        <v>0</v>
      </c>
      <c r="C62" s="9" t="s">
        <v>0</v>
      </c>
      <c r="D62" s="9" t="s">
        <v>0</v>
      </c>
      <c r="E62" s="9" t="s">
        <v>0</v>
      </c>
      <c r="F62" s="9" t="s">
        <v>0</v>
      </c>
      <c r="G62" s="9">
        <v>8</v>
      </c>
      <c r="H62" s="9"/>
      <c r="I62" s="9" t="s">
        <v>0</v>
      </c>
      <c r="J62" s="9"/>
      <c r="K62" s="9"/>
      <c r="L62" s="9"/>
      <c r="M62" s="9"/>
      <c r="N62" s="9"/>
      <c r="O62" s="9" t="s">
        <v>0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>
        <v>2</v>
      </c>
      <c r="AC62" s="9"/>
      <c r="AD62" s="9"/>
      <c r="AE62" s="9"/>
      <c r="AF62" s="9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</row>
    <row r="63" spans="1:66">
      <c r="A63" s="83" t="s">
        <v>94</v>
      </c>
      <c r="B63" s="9" t="s">
        <v>0</v>
      </c>
      <c r="C63" s="9" t="s">
        <v>0</v>
      </c>
      <c r="D63" s="9" t="s">
        <v>0</v>
      </c>
      <c r="E63" s="9" t="s">
        <v>0</v>
      </c>
      <c r="F63" s="9" t="s">
        <v>0</v>
      </c>
      <c r="G63" s="9" t="s">
        <v>0</v>
      </c>
      <c r="H63" s="9">
        <v>2</v>
      </c>
      <c r="I63" s="9" t="s">
        <v>0</v>
      </c>
      <c r="J63" s="9"/>
      <c r="K63" s="9"/>
      <c r="L63" s="9"/>
      <c r="M63" s="9"/>
      <c r="N63" s="9"/>
      <c r="O63" s="9" t="s">
        <v>0</v>
      </c>
      <c r="P63" s="9"/>
      <c r="Q63" s="9">
        <v>1</v>
      </c>
      <c r="R63" s="9"/>
      <c r="S63" s="9"/>
      <c r="T63" s="9"/>
      <c r="U63" s="9"/>
      <c r="V63" s="9"/>
      <c r="W63" s="9"/>
      <c r="X63" s="9"/>
      <c r="Y63" s="9"/>
      <c r="Z63" s="9"/>
      <c r="AA63" s="9">
        <v>1</v>
      </c>
      <c r="AB63" s="9"/>
      <c r="AC63" s="9"/>
      <c r="AD63" s="9"/>
      <c r="AE63" s="9"/>
      <c r="AF63" s="9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</row>
    <row r="64" spans="1:66">
      <c r="A64" s="83" t="s">
        <v>703</v>
      </c>
      <c r="B64" s="9" t="s">
        <v>0</v>
      </c>
      <c r="C64" s="9" t="s">
        <v>0</v>
      </c>
      <c r="D64" s="9" t="s">
        <v>0</v>
      </c>
      <c r="E64" s="9" t="s">
        <v>0</v>
      </c>
      <c r="F64" s="9" t="s">
        <v>0</v>
      </c>
      <c r="G64" s="9" t="s">
        <v>0</v>
      </c>
      <c r="H64" s="9" t="s">
        <v>0</v>
      </c>
      <c r="I64" s="9">
        <v>9</v>
      </c>
      <c r="J64" s="9"/>
      <c r="K64" s="9"/>
      <c r="L64" s="9"/>
      <c r="M64" s="9"/>
      <c r="N64" s="9"/>
      <c r="O64" s="9" t="s">
        <v>0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</row>
    <row r="65" spans="1:66">
      <c r="A65" s="83" t="s">
        <v>538</v>
      </c>
      <c r="B65" s="9"/>
      <c r="C65" s="9"/>
      <c r="D65" s="9"/>
      <c r="E65" s="9"/>
      <c r="F65" s="9"/>
      <c r="G65" s="9"/>
      <c r="H65" s="9"/>
      <c r="I65" s="9"/>
      <c r="J65" s="9"/>
      <c r="K65" s="9">
        <v>2</v>
      </c>
      <c r="L65" s="9"/>
      <c r="M65" s="9"/>
      <c r="N65" s="9"/>
      <c r="O65" s="9" t="s">
        <v>0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>
        <v>1</v>
      </c>
      <c r="AD65" s="9"/>
      <c r="AE65" s="9">
        <v>1</v>
      </c>
      <c r="AF65" s="9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</row>
    <row r="66" spans="1:66">
      <c r="A66" s="83" t="s">
        <v>704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>
        <v>2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</row>
    <row r="67" spans="1:66">
      <c r="A67" s="83" t="s">
        <v>595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>
        <v>1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</row>
    <row r="68" spans="1:66">
      <c r="A68" s="83" t="s">
        <v>705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>
        <v>10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</row>
    <row r="69" spans="1:66">
      <c r="A69" s="83" t="s">
        <v>706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>
        <v>29</v>
      </c>
      <c r="Q69" s="9"/>
      <c r="R69" s="9"/>
      <c r="S69" s="9"/>
      <c r="T69" s="9"/>
      <c r="U69" s="9"/>
      <c r="V69" s="9">
        <v>1</v>
      </c>
      <c r="W69" s="9"/>
      <c r="X69" s="9"/>
      <c r="Y69" s="9"/>
      <c r="Z69" s="9"/>
      <c r="AA69" s="9"/>
      <c r="AB69" s="9"/>
      <c r="AC69" s="9"/>
      <c r="AD69" s="9">
        <v>8</v>
      </c>
      <c r="AE69" s="9"/>
      <c r="AF69" s="9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</row>
    <row r="70" spans="1:66">
      <c r="A70" s="83" t="s">
        <v>533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>
        <v>1</v>
      </c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</row>
    <row r="71" spans="1:66">
      <c r="A71" s="83" t="s">
        <v>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>
        <v>5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</row>
    <row r="72" spans="1:66">
      <c r="A72" s="83" t="s">
        <v>103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>
        <v>5</v>
      </c>
      <c r="Y72" s="9"/>
      <c r="Z72" s="9"/>
      <c r="AA72" s="9"/>
      <c r="AB72" s="9">
        <v>12</v>
      </c>
      <c r="AC72" s="9"/>
      <c r="AD72" s="9"/>
      <c r="AE72" s="9"/>
      <c r="AF72" s="9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</row>
    <row r="73" spans="1:66">
      <c r="A73" s="83" t="s">
        <v>557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>
        <v>14</v>
      </c>
      <c r="AD73" s="9"/>
      <c r="AE73" s="9"/>
      <c r="AF73" s="9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</row>
    <row r="74" spans="1:66">
      <c r="A74" s="83" t="s">
        <v>649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>
        <v>8</v>
      </c>
      <c r="Y74" s="9"/>
      <c r="Z74" s="9"/>
      <c r="AA74" s="9"/>
      <c r="AB74" s="9">
        <v>2</v>
      </c>
      <c r="AC74" s="9"/>
      <c r="AD74" s="9"/>
      <c r="AE74" s="9"/>
      <c r="AF74" s="9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</row>
    <row r="75" spans="1:66">
      <c r="A75" s="83" t="s">
        <v>98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>
        <v>11</v>
      </c>
      <c r="AB75" s="9"/>
      <c r="AC75" s="9"/>
      <c r="AD75" s="9">
        <v>1</v>
      </c>
      <c r="AE75" s="9"/>
      <c r="AF75" s="9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</row>
    <row r="76" spans="1:66">
      <c r="A76" s="83" t="s">
        <v>463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>
        <v>1</v>
      </c>
      <c r="AB76" s="9"/>
      <c r="AC76" s="9"/>
      <c r="AD76" s="9"/>
      <c r="AE76" s="9"/>
      <c r="AF76" s="9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</row>
    <row r="77" spans="1:66" ht="15.75" customHeight="1">
      <c r="A77" s="136" t="s">
        <v>707</v>
      </c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>
        <v>1</v>
      </c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</row>
    <row r="78" spans="1:66" ht="15.75" customHeight="1">
      <c r="A78" s="136" t="s">
        <v>652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>
        <v>1</v>
      </c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</row>
    <row r="79" spans="1:66" ht="15.75" customHeight="1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</row>
    <row r="80" spans="1:66" ht="15.75" customHeight="1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6"/>
    </row>
    <row r="81" spans="1:66" ht="15.75" customHeight="1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</row>
    <row r="82" spans="1:66" ht="15.75" customHeight="1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</row>
    <row r="83" spans="1:66" ht="15.75" customHeight="1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</row>
    <row r="84" spans="1:66" ht="15.75" customHeight="1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</row>
    <row r="85" spans="1:66" ht="15.75" customHeight="1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</row>
    <row r="86" spans="1:66" ht="15.75" customHeight="1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</row>
    <row r="87" spans="1:66" ht="15.75" customHeight="1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</row>
    <row r="88" spans="1:66" ht="15.75" customHeight="1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</row>
    <row r="89" spans="1:66" ht="15.75" customHeight="1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</row>
    <row r="90" spans="1:66" ht="15.75" customHeight="1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</row>
    <row r="91" spans="1:66" ht="15.75" customHeight="1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</row>
    <row r="92" spans="1:66" ht="15.75" customHeight="1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</row>
    <row r="93" spans="1:66" ht="15.75" customHeight="1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</row>
    <row r="94" spans="1:66" ht="15.75" customHeight="1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</row>
    <row r="95" spans="1:66" ht="15.75" customHeight="1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</row>
    <row r="96" spans="1:66" ht="15.75" customHeight="1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</row>
    <row r="97" spans="1:66" ht="15.75" customHeight="1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</row>
    <row r="98" spans="1:66" ht="15.75" customHeight="1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</row>
    <row r="99" spans="1:66" ht="15.75" customHeight="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</row>
    <row r="100" spans="1:66" ht="15.75" customHeight="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</row>
    <row r="101" spans="1:66" ht="15.75" customHeight="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</row>
    <row r="102" spans="1:66" ht="15.75" customHeight="1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</row>
    <row r="103" spans="1:66" ht="15.75" customHeight="1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</row>
    <row r="104" spans="1:66" ht="15.75" customHeight="1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</row>
    <row r="105" spans="1:66" ht="15.75" customHeight="1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</row>
    <row r="106" spans="1:66" ht="15.75" customHeight="1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</row>
    <row r="107" spans="1:66" ht="15.75" customHeight="1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</row>
    <row r="108" spans="1:66" ht="15.75" customHeight="1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  <c r="BJ108" s="136"/>
      <c r="BK108" s="136"/>
      <c r="BL108" s="136"/>
      <c r="BM108" s="136"/>
      <c r="BN108" s="136"/>
    </row>
    <row r="109" spans="1:66" ht="15.75" customHeight="1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</row>
    <row r="110" spans="1:66" ht="15.75" customHeight="1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</row>
    <row r="111" spans="1:66" ht="15.75" customHeight="1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</row>
    <row r="112" spans="1:66" ht="15.75" customHeight="1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</row>
    <row r="113" spans="1:66" ht="15.75" customHeight="1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</row>
    <row r="114" spans="1:66" ht="15.75" customHeight="1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</row>
    <row r="115" spans="1:66" ht="15.75" customHeight="1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</row>
    <row r="116" spans="1:66" ht="15.75" customHeight="1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</row>
    <row r="117" spans="1:66" ht="15.75" customHeight="1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</row>
    <row r="118" spans="1:66" ht="15.75" customHeight="1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</row>
    <row r="119" spans="1:66" ht="15.75" customHeight="1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</row>
    <row r="120" spans="1:66" ht="15.75" customHeight="1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</row>
    <row r="121" spans="1:66" ht="15.75" customHeight="1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</row>
    <row r="122" spans="1:66" ht="15.75" customHeight="1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</row>
    <row r="123" spans="1:66" ht="15.75" customHeight="1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</row>
    <row r="124" spans="1:66" ht="15.75" customHeight="1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</row>
    <row r="125" spans="1:66" ht="15.75" customHeight="1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</row>
    <row r="126" spans="1:66" ht="15.75" customHeight="1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</row>
    <row r="127" spans="1:66" ht="15.75" customHeight="1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</row>
    <row r="128" spans="1:66" ht="15.75" customHeight="1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</row>
    <row r="129" spans="1:66" ht="15.75" customHeight="1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</row>
    <row r="130" spans="1:66" ht="15.75" customHeight="1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</row>
    <row r="131" spans="1:66" ht="15.75" customHeight="1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</row>
    <row r="132" spans="1:66" ht="15.75" customHeight="1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</row>
    <row r="133" spans="1:66" ht="15.75" customHeight="1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</row>
    <row r="134" spans="1:66" ht="15.75" customHeight="1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</row>
    <row r="135" spans="1:66" ht="15.75" customHeight="1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</row>
    <row r="136" spans="1:66" ht="15.75" customHeight="1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</row>
    <row r="137" spans="1:66" ht="15.75" customHeight="1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</row>
    <row r="138" spans="1:66" ht="15.75" customHeight="1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</row>
    <row r="139" spans="1:66" ht="15.75" customHeight="1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</row>
    <row r="140" spans="1:66" ht="15.75" customHeight="1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</row>
    <row r="141" spans="1:66" ht="15.75" customHeight="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6"/>
      <c r="BM141" s="136"/>
      <c r="BN141" s="136"/>
    </row>
    <row r="142" spans="1:66" ht="15.75" customHeight="1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  <c r="BJ142" s="136"/>
      <c r="BK142" s="136"/>
      <c r="BL142" s="136"/>
      <c r="BM142" s="136"/>
      <c r="BN142" s="136"/>
    </row>
    <row r="143" spans="1:66" ht="15.75" customHeight="1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</row>
    <row r="144" spans="1:66" ht="15.75" customHeight="1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</row>
    <row r="145" spans="1:66" ht="15.75" customHeight="1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</row>
    <row r="146" spans="1:66" ht="15.75" customHeight="1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</row>
    <row r="147" spans="1:66" ht="15.75" customHeight="1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</row>
    <row r="148" spans="1:66" ht="15.75" customHeight="1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136"/>
      <c r="BL148" s="136"/>
      <c r="BM148" s="136"/>
      <c r="BN148" s="136"/>
    </row>
    <row r="149" spans="1:66" ht="15.75" customHeight="1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</row>
    <row r="150" spans="1:66" ht="15.75" customHeight="1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136"/>
      <c r="BL150" s="136"/>
      <c r="BM150" s="136"/>
      <c r="BN150" s="136"/>
    </row>
    <row r="151" spans="1:66" ht="15.75" customHeight="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</row>
    <row r="152" spans="1:66" ht="15.75" customHeight="1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  <c r="BJ152" s="136"/>
      <c r="BK152" s="136"/>
      <c r="BL152" s="136"/>
      <c r="BM152" s="136"/>
      <c r="BN152" s="136"/>
    </row>
    <row r="153" spans="1:66" ht="15.75" customHeight="1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</row>
    <row r="154" spans="1:66" ht="15.75" customHeight="1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136"/>
      <c r="BL154" s="136"/>
      <c r="BM154" s="136"/>
      <c r="BN154" s="136"/>
    </row>
    <row r="155" spans="1:66" ht="15.75" customHeight="1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</row>
    <row r="156" spans="1:66" ht="15.75" customHeight="1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</row>
    <row r="157" spans="1:66" ht="15.75" customHeight="1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  <c r="BJ157" s="136"/>
      <c r="BK157" s="136"/>
      <c r="BL157" s="136"/>
      <c r="BM157" s="136"/>
      <c r="BN157" s="136"/>
    </row>
    <row r="158" spans="1:66" ht="15.75" customHeight="1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</row>
    <row r="159" spans="1:66" ht="15.75" customHeight="1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</row>
    <row r="160" spans="1:66" ht="15.75" customHeight="1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136"/>
      <c r="BL160" s="136"/>
      <c r="BM160" s="136"/>
      <c r="BN160" s="136"/>
    </row>
    <row r="161" spans="1:66" ht="15.75" customHeight="1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</row>
    <row r="162" spans="1:66" ht="15.75" customHeight="1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6"/>
      <c r="BJ162" s="136"/>
      <c r="BK162" s="136"/>
      <c r="BL162" s="136"/>
      <c r="BM162" s="136"/>
      <c r="BN162" s="136"/>
    </row>
    <row r="163" spans="1:66" ht="15.75" customHeight="1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136"/>
      <c r="BL163" s="136"/>
      <c r="BM163" s="136"/>
      <c r="BN163" s="136"/>
    </row>
    <row r="164" spans="1:66" ht="15.75" customHeight="1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136"/>
      <c r="BL164" s="136"/>
      <c r="BM164" s="136"/>
      <c r="BN164" s="136"/>
    </row>
    <row r="165" spans="1:66" ht="15.75" customHeight="1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  <c r="BJ165" s="136"/>
      <c r="BK165" s="136"/>
      <c r="BL165" s="136"/>
      <c r="BM165" s="136"/>
      <c r="BN165" s="136"/>
    </row>
    <row r="166" spans="1:66" ht="15.75" customHeight="1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  <c r="BN166" s="136"/>
    </row>
    <row r="167" spans="1:66" ht="15.75" customHeight="1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136"/>
      <c r="BL167" s="136"/>
      <c r="BM167" s="136"/>
      <c r="BN167" s="136"/>
    </row>
    <row r="168" spans="1:66" ht="15.75" customHeight="1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</row>
    <row r="169" spans="1:66" ht="15.75" customHeight="1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136"/>
      <c r="BL169" s="136"/>
      <c r="BM169" s="136"/>
      <c r="BN169" s="136"/>
    </row>
    <row r="170" spans="1:66" ht="15.75" customHeight="1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</row>
    <row r="171" spans="1:66" ht="15.75" customHeight="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</row>
    <row r="172" spans="1:66" ht="15.75" customHeight="1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</row>
    <row r="173" spans="1:66" ht="15.75" customHeight="1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</row>
    <row r="174" spans="1:66" ht="15.75" customHeight="1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136"/>
      <c r="BL174" s="136"/>
      <c r="BM174" s="136"/>
      <c r="BN174" s="136"/>
    </row>
    <row r="175" spans="1:66" ht="15.75" customHeight="1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</row>
    <row r="176" spans="1:66" ht="15.75" customHeight="1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136"/>
      <c r="BL176" s="136"/>
      <c r="BM176" s="136"/>
      <c r="BN176" s="136"/>
    </row>
    <row r="177" spans="1:66" ht="15.75" customHeight="1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</row>
    <row r="178" spans="1:66" ht="15.75" customHeight="1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</row>
    <row r="179" spans="1:66" ht="15.75" customHeight="1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</row>
    <row r="180" spans="1:66" ht="15.75" customHeight="1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</row>
    <row r="181" spans="1:66" ht="15.75" customHeight="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  <c r="BJ181" s="136"/>
      <c r="BK181" s="136"/>
      <c r="BL181" s="136"/>
      <c r="BM181" s="136"/>
      <c r="BN181" s="136"/>
    </row>
    <row r="182" spans="1:66" ht="15.75" customHeight="1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  <c r="BJ182" s="136"/>
      <c r="BK182" s="136"/>
      <c r="BL182" s="136"/>
      <c r="BM182" s="136"/>
      <c r="BN182" s="136"/>
    </row>
    <row r="183" spans="1:66" ht="15.75" customHeight="1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</row>
    <row r="184" spans="1:66" ht="15.75" customHeight="1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</row>
    <row r="185" spans="1:66" ht="15.75" customHeight="1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  <c r="BN185" s="136"/>
    </row>
    <row r="186" spans="1:66" ht="15.75" customHeight="1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</row>
    <row r="187" spans="1:66" ht="15.75" customHeight="1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</row>
    <row r="188" spans="1:66" ht="15.75" customHeight="1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  <c r="BJ188" s="136"/>
      <c r="BK188" s="136"/>
      <c r="BL188" s="136"/>
      <c r="BM188" s="136"/>
      <c r="BN188" s="136"/>
    </row>
    <row r="189" spans="1:66" ht="15.75" customHeight="1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  <c r="BJ189" s="136"/>
      <c r="BK189" s="136"/>
      <c r="BL189" s="136"/>
      <c r="BM189" s="136"/>
      <c r="BN189" s="136"/>
    </row>
    <row r="190" spans="1:66" ht="15.75" customHeight="1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  <c r="BJ190" s="136"/>
      <c r="BK190" s="136"/>
      <c r="BL190" s="136"/>
      <c r="BM190" s="136"/>
      <c r="BN190" s="136"/>
    </row>
    <row r="191" spans="1:66" ht="15.75" customHeight="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</row>
    <row r="192" spans="1:66" ht="15.75" customHeight="1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</row>
    <row r="193" spans="1:66" ht="15.75" customHeight="1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</row>
    <row r="194" spans="1:66" ht="15.75" customHeight="1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</row>
    <row r="195" spans="1:66" ht="15.75" customHeight="1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</row>
    <row r="196" spans="1:66" ht="15.75" customHeight="1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  <c r="BI196" s="136"/>
      <c r="BJ196" s="136"/>
      <c r="BK196" s="136"/>
      <c r="BL196" s="136"/>
      <c r="BM196" s="136"/>
      <c r="BN196" s="136"/>
    </row>
    <row r="197" spans="1:66" ht="15.75" customHeight="1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</row>
    <row r="198" spans="1:66" ht="15.75" customHeight="1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</row>
    <row r="199" spans="1:66" ht="15.75" customHeight="1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</row>
    <row r="200" spans="1:66" ht="15.75" customHeight="1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</row>
    <row r="201" spans="1:66" ht="15.75" customHeight="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</row>
    <row r="202" spans="1:66" ht="15.75" customHeight="1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  <c r="BI202" s="136"/>
      <c r="BJ202" s="136"/>
      <c r="BK202" s="136"/>
      <c r="BL202" s="136"/>
      <c r="BM202" s="136"/>
      <c r="BN202" s="136"/>
    </row>
    <row r="203" spans="1:66" ht="15.75" customHeight="1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</row>
    <row r="204" spans="1:66" ht="15.75" customHeight="1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</row>
    <row r="205" spans="1:66" ht="15.75" customHeight="1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  <c r="BI205" s="136"/>
      <c r="BJ205" s="136"/>
      <c r="BK205" s="136"/>
      <c r="BL205" s="136"/>
      <c r="BM205" s="136"/>
      <c r="BN205" s="136"/>
    </row>
    <row r="206" spans="1:66" ht="15.75" customHeight="1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  <c r="BJ206" s="136"/>
      <c r="BK206" s="136"/>
      <c r="BL206" s="136"/>
      <c r="BM206" s="136"/>
      <c r="BN206" s="136"/>
    </row>
    <row r="207" spans="1:66" ht="15.75" customHeight="1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</row>
    <row r="208" spans="1:66" ht="15.75" customHeight="1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  <c r="BI208" s="136"/>
      <c r="BJ208" s="136"/>
      <c r="BK208" s="136"/>
      <c r="BL208" s="136"/>
      <c r="BM208" s="136"/>
      <c r="BN208" s="136"/>
    </row>
    <row r="209" spans="1:66" ht="15.75" customHeight="1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</row>
    <row r="210" spans="1:66" ht="15.75" customHeight="1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  <c r="BI210" s="136"/>
      <c r="BJ210" s="136"/>
      <c r="BK210" s="136"/>
      <c r="BL210" s="136"/>
      <c r="BM210" s="136"/>
      <c r="BN210" s="136"/>
    </row>
    <row r="211" spans="1:66" ht="15.75" customHeight="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</row>
    <row r="212" spans="1:66" ht="15.75" customHeight="1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  <c r="BJ212" s="136"/>
      <c r="BK212" s="136"/>
      <c r="BL212" s="136"/>
      <c r="BM212" s="136"/>
      <c r="BN212" s="136"/>
    </row>
    <row r="213" spans="1:66" ht="15.75" customHeight="1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  <c r="BJ213" s="136"/>
      <c r="BK213" s="136"/>
      <c r="BL213" s="136"/>
      <c r="BM213" s="136"/>
      <c r="BN213" s="136"/>
    </row>
    <row r="214" spans="1:66" ht="15.75" customHeight="1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</row>
    <row r="215" spans="1:66" ht="15.75" customHeight="1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</row>
    <row r="216" spans="1:66" ht="15.75" customHeight="1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  <c r="BI216" s="136"/>
      <c r="BJ216" s="136"/>
      <c r="BK216" s="136"/>
      <c r="BL216" s="136"/>
      <c r="BM216" s="136"/>
      <c r="BN216" s="136"/>
    </row>
    <row r="217" spans="1:66" ht="15.75" customHeight="1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</row>
    <row r="218" spans="1:66" ht="15.75" customHeight="1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  <c r="BI218" s="136"/>
      <c r="BJ218" s="136"/>
      <c r="BK218" s="136"/>
      <c r="BL218" s="136"/>
      <c r="BM218" s="136"/>
      <c r="BN218" s="136"/>
    </row>
    <row r="219" spans="1:66" ht="15.75" customHeight="1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</row>
    <row r="220" spans="1:66" ht="15.75" customHeight="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</row>
    <row r="221" spans="1:66" ht="15.75" customHeight="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</row>
    <row r="222" spans="1:66" ht="15.75" customHeight="1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</row>
    <row r="223" spans="1:66" ht="15.75" customHeight="1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</row>
    <row r="224" spans="1:66" ht="15.75" customHeight="1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</row>
    <row r="225" spans="1:66" ht="15.75" customHeight="1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</row>
    <row r="226" spans="1:66" ht="15.75" customHeight="1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</row>
    <row r="227" spans="1:66" ht="15.75" customHeight="1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</row>
    <row r="228" spans="1:66" ht="15.75" customHeight="1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136"/>
      <c r="BI228" s="136"/>
      <c r="BJ228" s="136"/>
      <c r="BK228" s="136"/>
      <c r="BL228" s="136"/>
      <c r="BM228" s="136"/>
      <c r="BN228" s="136"/>
    </row>
    <row r="229" spans="1:66" ht="15.75" customHeight="1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</row>
    <row r="230" spans="1:66" ht="15.75" customHeight="1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  <c r="BF230" s="136"/>
      <c r="BG230" s="136"/>
      <c r="BH230" s="136"/>
      <c r="BI230" s="136"/>
      <c r="BJ230" s="136"/>
      <c r="BK230" s="136"/>
      <c r="BL230" s="136"/>
      <c r="BM230" s="136"/>
      <c r="BN230" s="136"/>
    </row>
    <row r="231" spans="1:66" ht="15.75" customHeight="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</row>
    <row r="232" spans="1:66" ht="15.75" customHeight="1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136"/>
      <c r="BI232" s="136"/>
      <c r="BJ232" s="136"/>
      <c r="BK232" s="136"/>
      <c r="BL232" s="136"/>
      <c r="BM232" s="136"/>
      <c r="BN232" s="136"/>
    </row>
    <row r="233" spans="1:66" ht="15.75" customHeight="1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136"/>
      <c r="BH233" s="136"/>
      <c r="BI233" s="136"/>
      <c r="BJ233" s="136"/>
      <c r="BK233" s="136"/>
      <c r="BL233" s="136"/>
      <c r="BM233" s="136"/>
      <c r="BN233" s="136"/>
    </row>
    <row r="234" spans="1:66" ht="15.75" customHeight="1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136"/>
      <c r="BG234" s="136"/>
      <c r="BH234" s="136"/>
      <c r="BI234" s="136"/>
      <c r="BJ234" s="136"/>
      <c r="BK234" s="136"/>
      <c r="BL234" s="136"/>
      <c r="BM234" s="136"/>
      <c r="BN234" s="136"/>
    </row>
    <row r="235" spans="1:66" ht="15.75" customHeight="1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  <c r="BI235" s="136"/>
      <c r="BJ235" s="136"/>
      <c r="BK235" s="136"/>
      <c r="BL235" s="136"/>
      <c r="BM235" s="136"/>
      <c r="BN235" s="136"/>
    </row>
    <row r="236" spans="1:66" ht="15.75" customHeight="1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136"/>
      <c r="BH236" s="136"/>
      <c r="BI236" s="136"/>
      <c r="BJ236" s="136"/>
      <c r="BK236" s="136"/>
      <c r="BL236" s="136"/>
      <c r="BM236" s="136"/>
      <c r="BN236" s="136"/>
    </row>
    <row r="237" spans="1:66" ht="15.75" customHeight="1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136"/>
      <c r="BI237" s="136"/>
      <c r="BJ237" s="136"/>
      <c r="BK237" s="136"/>
      <c r="BL237" s="136"/>
      <c r="BM237" s="136"/>
      <c r="BN237" s="136"/>
    </row>
    <row r="238" spans="1:66" ht="15.75" customHeight="1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136"/>
      <c r="BD238" s="136"/>
      <c r="BE238" s="136"/>
      <c r="BF238" s="136"/>
      <c r="BG238" s="136"/>
      <c r="BH238" s="136"/>
      <c r="BI238" s="136"/>
      <c r="BJ238" s="136"/>
      <c r="BK238" s="136"/>
      <c r="BL238" s="136"/>
      <c r="BM238" s="136"/>
      <c r="BN238" s="136"/>
    </row>
    <row r="239" spans="1:66" ht="15.75" customHeight="1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  <c r="BJ239" s="136"/>
      <c r="BK239" s="136"/>
      <c r="BL239" s="136"/>
      <c r="BM239" s="136"/>
      <c r="BN239" s="136"/>
    </row>
    <row r="240" spans="1:66" ht="15.75" customHeight="1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136"/>
      <c r="BH240" s="136"/>
      <c r="BI240" s="136"/>
      <c r="BJ240" s="136"/>
      <c r="BK240" s="136"/>
      <c r="BL240" s="136"/>
      <c r="BM240" s="136"/>
      <c r="BN240" s="136"/>
    </row>
    <row r="241" spans="1:66" ht="15.75" customHeight="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  <c r="BJ241" s="136"/>
      <c r="BK241" s="136"/>
      <c r="BL241" s="136"/>
      <c r="BM241" s="136"/>
      <c r="BN241" s="136"/>
    </row>
    <row r="242" spans="1:66" ht="15.75" customHeight="1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  <c r="BE242" s="136"/>
      <c r="BF242" s="136"/>
      <c r="BG242" s="136"/>
      <c r="BH242" s="136"/>
      <c r="BI242" s="136"/>
      <c r="BJ242" s="136"/>
      <c r="BK242" s="136"/>
      <c r="BL242" s="136"/>
      <c r="BM242" s="136"/>
      <c r="BN242" s="136"/>
    </row>
    <row r="243" spans="1:66" ht="15.75" customHeight="1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  <c r="BJ243" s="136"/>
      <c r="BK243" s="136"/>
      <c r="BL243" s="136"/>
      <c r="BM243" s="136"/>
      <c r="BN243" s="136"/>
    </row>
    <row r="244" spans="1:66" ht="15.75" customHeight="1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136"/>
      <c r="BI244" s="136"/>
      <c r="BJ244" s="136"/>
      <c r="BK244" s="136"/>
      <c r="BL244" s="136"/>
      <c r="BM244" s="136"/>
      <c r="BN244" s="136"/>
    </row>
    <row r="245" spans="1:66" ht="15.75" customHeight="1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  <c r="BI245" s="136"/>
      <c r="BJ245" s="136"/>
      <c r="BK245" s="136"/>
      <c r="BL245" s="136"/>
      <c r="BM245" s="136"/>
      <c r="BN245" s="136"/>
    </row>
    <row r="246" spans="1:66" ht="15.75" customHeight="1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  <c r="BE246" s="136"/>
      <c r="BF246" s="136"/>
      <c r="BG246" s="136"/>
      <c r="BH246" s="136"/>
      <c r="BI246" s="136"/>
      <c r="BJ246" s="136"/>
      <c r="BK246" s="136"/>
      <c r="BL246" s="136"/>
      <c r="BM246" s="136"/>
      <c r="BN246" s="136"/>
    </row>
    <row r="247" spans="1:66" ht="15.75" customHeight="1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  <c r="BI247" s="136"/>
      <c r="BJ247" s="136"/>
      <c r="BK247" s="136"/>
      <c r="BL247" s="136"/>
      <c r="BM247" s="136"/>
      <c r="BN247" s="136"/>
    </row>
    <row r="248" spans="1:66" ht="15.75" customHeight="1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136"/>
      <c r="BH248" s="136"/>
      <c r="BI248" s="136"/>
      <c r="BJ248" s="136"/>
      <c r="BK248" s="136"/>
      <c r="BL248" s="136"/>
      <c r="BM248" s="136"/>
      <c r="BN248" s="136"/>
    </row>
    <row r="249" spans="1:66" ht="15.75" customHeight="1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  <c r="BF249" s="136"/>
      <c r="BG249" s="136"/>
      <c r="BH249" s="136"/>
      <c r="BI249" s="136"/>
      <c r="BJ249" s="136"/>
      <c r="BK249" s="136"/>
      <c r="BL249" s="136"/>
      <c r="BM249" s="136"/>
      <c r="BN249" s="136"/>
    </row>
    <row r="250" spans="1:66" ht="15.75" customHeight="1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136"/>
      <c r="BD250" s="136"/>
      <c r="BE250" s="136"/>
      <c r="BF250" s="136"/>
      <c r="BG250" s="136"/>
      <c r="BH250" s="136"/>
      <c r="BI250" s="136"/>
      <c r="BJ250" s="136"/>
      <c r="BK250" s="136"/>
      <c r="BL250" s="136"/>
      <c r="BM250" s="136"/>
      <c r="BN250" s="136"/>
    </row>
    <row r="251" spans="1:66" ht="15.75" customHeight="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  <c r="BI251" s="136"/>
      <c r="BJ251" s="136"/>
      <c r="BK251" s="136"/>
      <c r="BL251" s="136"/>
      <c r="BM251" s="136"/>
      <c r="BN251" s="136"/>
    </row>
    <row r="252" spans="1:66" ht="15.75" customHeight="1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  <c r="BI252" s="136"/>
      <c r="BJ252" s="136"/>
      <c r="BK252" s="136"/>
      <c r="BL252" s="136"/>
      <c r="BM252" s="136"/>
      <c r="BN252" s="136"/>
    </row>
    <row r="253" spans="1:66" ht="15.75" customHeight="1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  <c r="BI253" s="136"/>
      <c r="BJ253" s="136"/>
      <c r="BK253" s="136"/>
      <c r="BL253" s="136"/>
      <c r="BM253" s="136"/>
      <c r="BN253" s="136"/>
    </row>
    <row r="254" spans="1:66" ht="15.75" customHeight="1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136"/>
      <c r="BI254" s="136"/>
      <c r="BJ254" s="136"/>
      <c r="BK254" s="136"/>
      <c r="BL254" s="136"/>
      <c r="BM254" s="136"/>
      <c r="BN254" s="136"/>
    </row>
    <row r="255" spans="1:66" ht="15.75" customHeight="1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  <c r="BI255" s="136"/>
      <c r="BJ255" s="136"/>
      <c r="BK255" s="136"/>
      <c r="BL255" s="136"/>
      <c r="BM255" s="136"/>
      <c r="BN255" s="136"/>
    </row>
    <row r="256" spans="1:66" ht="15.75" customHeight="1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136"/>
      <c r="BH256" s="136"/>
      <c r="BI256" s="136"/>
      <c r="BJ256" s="136"/>
      <c r="BK256" s="136"/>
      <c r="BL256" s="136"/>
      <c r="BM256" s="136"/>
      <c r="BN256" s="136"/>
    </row>
    <row r="257" spans="1:66" ht="15.75" customHeight="1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136"/>
      <c r="BH257" s="136"/>
      <c r="BI257" s="136"/>
      <c r="BJ257" s="136"/>
      <c r="BK257" s="136"/>
      <c r="BL257" s="136"/>
      <c r="BM257" s="136"/>
      <c r="BN257" s="136"/>
    </row>
    <row r="258" spans="1:66" ht="15.75" customHeight="1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  <c r="BE258" s="136"/>
      <c r="BF258" s="136"/>
      <c r="BG258" s="136"/>
      <c r="BH258" s="136"/>
      <c r="BI258" s="136"/>
      <c r="BJ258" s="136"/>
      <c r="BK258" s="136"/>
      <c r="BL258" s="136"/>
      <c r="BM258" s="136"/>
      <c r="BN258" s="136"/>
    </row>
    <row r="259" spans="1:66" ht="15.75" customHeight="1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  <c r="BF259" s="136"/>
      <c r="BG259" s="136"/>
      <c r="BH259" s="136"/>
      <c r="BI259" s="136"/>
      <c r="BJ259" s="136"/>
      <c r="BK259" s="136"/>
      <c r="BL259" s="136"/>
      <c r="BM259" s="136"/>
      <c r="BN259" s="136"/>
    </row>
    <row r="260" spans="1:66" ht="15.75" customHeight="1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  <c r="BI260" s="136"/>
      <c r="BJ260" s="136"/>
      <c r="BK260" s="136"/>
      <c r="BL260" s="136"/>
      <c r="BM260" s="136"/>
      <c r="BN260" s="136"/>
    </row>
    <row r="261" spans="1:66" ht="15.75" customHeight="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  <c r="BI261" s="136"/>
      <c r="BJ261" s="136"/>
      <c r="BK261" s="136"/>
      <c r="BL261" s="136"/>
      <c r="BM261" s="136"/>
      <c r="BN261" s="136"/>
    </row>
    <row r="262" spans="1:66" ht="15.75" customHeight="1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  <c r="BI262" s="136"/>
      <c r="BJ262" s="136"/>
      <c r="BK262" s="136"/>
      <c r="BL262" s="136"/>
      <c r="BM262" s="136"/>
      <c r="BN262" s="136"/>
    </row>
    <row r="263" spans="1:66" ht="15.75" customHeight="1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  <c r="BI263" s="136"/>
      <c r="BJ263" s="136"/>
      <c r="BK263" s="136"/>
      <c r="BL263" s="136"/>
      <c r="BM263" s="136"/>
      <c r="BN263" s="136"/>
    </row>
    <row r="264" spans="1:66" ht="15.75" customHeight="1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136"/>
      <c r="BH264" s="136"/>
      <c r="BI264" s="136"/>
      <c r="BJ264" s="136"/>
      <c r="BK264" s="136"/>
      <c r="BL264" s="136"/>
      <c r="BM264" s="136"/>
      <c r="BN264" s="136"/>
    </row>
    <row r="265" spans="1:66" ht="15.75" customHeight="1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136"/>
      <c r="BH265" s="136"/>
      <c r="BI265" s="136"/>
      <c r="BJ265" s="136"/>
      <c r="BK265" s="136"/>
      <c r="BL265" s="136"/>
      <c r="BM265" s="136"/>
      <c r="BN265" s="136"/>
    </row>
    <row r="266" spans="1:66" ht="15.75" customHeight="1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136"/>
      <c r="BD266" s="136"/>
      <c r="BE266" s="136"/>
      <c r="BF266" s="136"/>
      <c r="BG266" s="136"/>
      <c r="BH266" s="136"/>
      <c r="BI266" s="136"/>
      <c r="BJ266" s="136"/>
      <c r="BK266" s="136"/>
      <c r="BL266" s="136"/>
      <c r="BM266" s="136"/>
      <c r="BN266" s="136"/>
    </row>
    <row r="267" spans="1:66" ht="15.75" customHeight="1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  <c r="BI267" s="136"/>
      <c r="BJ267" s="136"/>
      <c r="BK267" s="136"/>
      <c r="BL267" s="136"/>
      <c r="BM267" s="136"/>
      <c r="BN267" s="136"/>
    </row>
    <row r="268" spans="1:66" ht="15.75" customHeight="1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136"/>
      <c r="BH268" s="136"/>
      <c r="BI268" s="136"/>
      <c r="BJ268" s="136"/>
      <c r="BK268" s="136"/>
      <c r="BL268" s="136"/>
      <c r="BM268" s="136"/>
      <c r="BN268" s="136"/>
    </row>
    <row r="269" spans="1:66" ht="15.75" customHeight="1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136"/>
      <c r="BH269" s="136"/>
      <c r="BI269" s="136"/>
      <c r="BJ269" s="136"/>
      <c r="BK269" s="136"/>
      <c r="BL269" s="136"/>
      <c r="BM269" s="136"/>
      <c r="BN269" s="136"/>
    </row>
    <row r="270" spans="1:66" ht="15.75" customHeight="1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  <c r="BE270" s="136"/>
      <c r="BF270" s="136"/>
      <c r="BG270" s="136"/>
      <c r="BH270" s="136"/>
      <c r="BI270" s="136"/>
      <c r="BJ270" s="136"/>
      <c r="BK270" s="136"/>
      <c r="BL270" s="136"/>
      <c r="BM270" s="136"/>
      <c r="BN270" s="136"/>
    </row>
    <row r="271" spans="1:66" ht="15.75" customHeight="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136"/>
      <c r="BI271" s="136"/>
      <c r="BJ271" s="136"/>
      <c r="BK271" s="136"/>
      <c r="BL271" s="136"/>
      <c r="BM271" s="136"/>
      <c r="BN271" s="136"/>
    </row>
    <row r="272" spans="1:66" ht="15.75" customHeight="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136"/>
      <c r="BH272" s="136"/>
      <c r="BI272" s="136"/>
      <c r="BJ272" s="136"/>
      <c r="BK272" s="136"/>
      <c r="BL272" s="136"/>
      <c r="BM272" s="136"/>
      <c r="BN272" s="136"/>
    </row>
    <row r="273" spans="1:66" ht="15.75" customHeight="1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136"/>
      <c r="BI273" s="136"/>
      <c r="BJ273" s="136"/>
      <c r="BK273" s="136"/>
      <c r="BL273" s="136"/>
      <c r="BM273" s="136"/>
      <c r="BN273" s="136"/>
    </row>
    <row r="274" spans="1:66" ht="15.75" customHeight="1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136"/>
      <c r="BI274" s="136"/>
      <c r="BJ274" s="136"/>
      <c r="BK274" s="136"/>
      <c r="BL274" s="136"/>
      <c r="BM274" s="136"/>
      <c r="BN274" s="136"/>
    </row>
    <row r="275" spans="1:66" ht="15.75" customHeight="1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  <c r="BJ275" s="136"/>
      <c r="BK275" s="136"/>
      <c r="BL275" s="136"/>
      <c r="BM275" s="136"/>
      <c r="BN275" s="136"/>
    </row>
    <row r="276" spans="1:66" ht="15.75" customHeight="1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136"/>
      <c r="BI276" s="136"/>
      <c r="BJ276" s="136"/>
      <c r="BK276" s="136"/>
      <c r="BL276" s="136"/>
      <c r="BM276" s="136"/>
      <c r="BN276" s="136"/>
    </row>
    <row r="277" spans="1:66" ht="15.75" customHeight="1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136"/>
      <c r="BH277" s="136"/>
      <c r="BI277" s="136"/>
      <c r="BJ277" s="136"/>
      <c r="BK277" s="136"/>
      <c r="BL277" s="136"/>
      <c r="BM277" s="136"/>
      <c r="BN277" s="136"/>
    </row>
    <row r="278" spans="1:66" ht="15.75" customHeight="1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  <c r="BI278" s="136"/>
      <c r="BJ278" s="136"/>
      <c r="BK278" s="136"/>
      <c r="BL278" s="136"/>
      <c r="BM278" s="136"/>
      <c r="BN278" s="136"/>
    </row>
    <row r="279" spans="1:66" ht="15.75" customHeight="1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  <c r="BI279" s="136"/>
      <c r="BJ279" s="136"/>
      <c r="BK279" s="136"/>
      <c r="BL279" s="136"/>
      <c r="BM279" s="136"/>
      <c r="BN279" s="136"/>
    </row>
    <row r="280" spans="1:66" ht="15.75" customHeight="1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136"/>
      <c r="BI280" s="136"/>
      <c r="BJ280" s="136"/>
      <c r="BK280" s="136"/>
      <c r="BL280" s="136"/>
      <c r="BM280" s="136"/>
      <c r="BN280" s="136"/>
    </row>
    <row r="281" spans="1:66" ht="15.75" customHeight="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  <c r="BI281" s="136"/>
      <c r="BJ281" s="136"/>
      <c r="BK281" s="136"/>
      <c r="BL281" s="136"/>
      <c r="BM281" s="136"/>
      <c r="BN281" s="136"/>
    </row>
    <row r="282" spans="1:66" ht="15.75" customHeight="1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136"/>
      <c r="BI282" s="136"/>
      <c r="BJ282" s="136"/>
      <c r="BK282" s="136"/>
      <c r="BL282" s="136"/>
      <c r="BM282" s="136"/>
      <c r="BN282" s="136"/>
    </row>
    <row r="283" spans="1:66" ht="15.75" customHeight="1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  <c r="BI283" s="136"/>
      <c r="BJ283" s="136"/>
      <c r="BK283" s="136"/>
      <c r="BL283" s="136"/>
      <c r="BM283" s="136"/>
      <c r="BN283" s="136"/>
    </row>
    <row r="284" spans="1:66" ht="15.75" customHeight="1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136"/>
      <c r="BH284" s="136"/>
      <c r="BI284" s="136"/>
      <c r="BJ284" s="136"/>
      <c r="BK284" s="136"/>
      <c r="BL284" s="136"/>
      <c r="BM284" s="136"/>
      <c r="BN284" s="136"/>
    </row>
    <row r="285" spans="1:66" ht="15.75" customHeight="1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136"/>
      <c r="BH285" s="136"/>
      <c r="BI285" s="136"/>
      <c r="BJ285" s="136"/>
      <c r="BK285" s="136"/>
      <c r="BL285" s="136"/>
      <c r="BM285" s="136"/>
      <c r="BN285" s="136"/>
    </row>
    <row r="286" spans="1:66" ht="15.75" customHeight="1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136"/>
      <c r="BD286" s="136"/>
      <c r="BE286" s="136"/>
      <c r="BF286" s="136"/>
      <c r="BG286" s="136"/>
      <c r="BH286" s="136"/>
      <c r="BI286" s="136"/>
      <c r="BJ286" s="136"/>
      <c r="BK286" s="136"/>
      <c r="BL286" s="136"/>
      <c r="BM286" s="136"/>
      <c r="BN286" s="136"/>
    </row>
    <row r="287" spans="1:66" ht="15.75" customHeight="1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  <c r="BI287" s="136"/>
      <c r="BJ287" s="136"/>
      <c r="BK287" s="136"/>
      <c r="BL287" s="136"/>
      <c r="BM287" s="136"/>
      <c r="BN287" s="136"/>
    </row>
    <row r="288" spans="1:66" ht="15.75" customHeight="1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136"/>
      <c r="BH288" s="136"/>
      <c r="BI288" s="136"/>
      <c r="BJ288" s="136"/>
      <c r="BK288" s="136"/>
      <c r="BL288" s="136"/>
      <c r="BM288" s="136"/>
      <c r="BN288" s="136"/>
    </row>
    <row r="289" spans="1:66" ht="15.75" customHeight="1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  <c r="BF289" s="136"/>
      <c r="BG289" s="136"/>
      <c r="BH289" s="136"/>
      <c r="BI289" s="136"/>
      <c r="BJ289" s="136"/>
      <c r="BK289" s="136"/>
      <c r="BL289" s="136"/>
      <c r="BM289" s="136"/>
      <c r="BN289" s="136"/>
    </row>
    <row r="290" spans="1:66" ht="15.75" customHeight="1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136"/>
      <c r="BD290" s="136"/>
      <c r="BE290" s="136"/>
      <c r="BF290" s="136"/>
      <c r="BG290" s="136"/>
      <c r="BH290" s="136"/>
      <c r="BI290" s="136"/>
      <c r="BJ290" s="136"/>
      <c r="BK290" s="136"/>
      <c r="BL290" s="136"/>
      <c r="BM290" s="136"/>
      <c r="BN290" s="136"/>
    </row>
    <row r="291" spans="1:66" ht="15.75" customHeight="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  <c r="BF291" s="136"/>
      <c r="BG291" s="136"/>
      <c r="BH291" s="136"/>
      <c r="BI291" s="136"/>
      <c r="BJ291" s="136"/>
      <c r="BK291" s="136"/>
      <c r="BL291" s="136"/>
      <c r="BM291" s="136"/>
      <c r="BN291" s="136"/>
    </row>
    <row r="292" spans="1:66" ht="15.75" customHeight="1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136"/>
      <c r="BH292" s="136"/>
      <c r="BI292" s="136"/>
      <c r="BJ292" s="136"/>
      <c r="BK292" s="136"/>
      <c r="BL292" s="136"/>
      <c r="BM292" s="136"/>
      <c r="BN292" s="136"/>
    </row>
    <row r="293" spans="1:66" ht="15.75" customHeight="1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  <c r="BF293" s="136"/>
      <c r="BG293" s="136"/>
      <c r="BH293" s="136"/>
      <c r="BI293" s="136"/>
      <c r="BJ293" s="136"/>
      <c r="BK293" s="136"/>
      <c r="BL293" s="136"/>
      <c r="BM293" s="136"/>
      <c r="BN293" s="136"/>
    </row>
    <row r="294" spans="1:66" ht="15.75" customHeight="1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/>
      <c r="BI294" s="136"/>
      <c r="BJ294" s="136"/>
      <c r="BK294" s="136"/>
      <c r="BL294" s="136"/>
      <c r="BM294" s="136"/>
      <c r="BN294" s="136"/>
    </row>
    <row r="295" spans="1:66" ht="15.75" customHeight="1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  <c r="BI295" s="136"/>
      <c r="BJ295" s="136"/>
      <c r="BK295" s="136"/>
      <c r="BL295" s="136"/>
      <c r="BM295" s="136"/>
      <c r="BN295" s="136"/>
    </row>
    <row r="296" spans="1:66" ht="15.75" customHeight="1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  <c r="BF296" s="136"/>
      <c r="BG296" s="136"/>
      <c r="BH296" s="136"/>
      <c r="BI296" s="136"/>
      <c r="BJ296" s="136"/>
      <c r="BK296" s="136"/>
      <c r="BL296" s="136"/>
      <c r="BM296" s="136"/>
      <c r="BN296" s="136"/>
    </row>
    <row r="297" spans="1:66" ht="15.75" customHeight="1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  <c r="BI297" s="136"/>
      <c r="BJ297" s="136"/>
      <c r="BK297" s="136"/>
      <c r="BL297" s="136"/>
      <c r="BM297" s="136"/>
      <c r="BN297" s="136"/>
    </row>
    <row r="298" spans="1:66" ht="15.75" customHeight="1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136"/>
      <c r="BD298" s="136"/>
      <c r="BE298" s="136"/>
      <c r="BF298" s="136"/>
      <c r="BG298" s="136"/>
      <c r="BH298" s="136"/>
      <c r="BI298" s="136"/>
      <c r="BJ298" s="136"/>
      <c r="BK298" s="136"/>
      <c r="BL298" s="136"/>
      <c r="BM298" s="136"/>
      <c r="BN298" s="136"/>
    </row>
    <row r="299" spans="1:66" ht="15.75" customHeight="1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  <c r="BF299" s="136"/>
      <c r="BG299" s="136"/>
      <c r="BH299" s="136"/>
      <c r="BI299" s="136"/>
      <c r="BJ299" s="136"/>
      <c r="BK299" s="136"/>
      <c r="BL299" s="136"/>
      <c r="BM299" s="136"/>
      <c r="BN299" s="136"/>
    </row>
    <row r="300" spans="1:66" ht="15.75" customHeight="1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  <c r="BF300" s="136"/>
      <c r="BG300" s="136"/>
      <c r="BH300" s="136"/>
      <c r="BI300" s="136"/>
      <c r="BJ300" s="136"/>
      <c r="BK300" s="136"/>
      <c r="BL300" s="136"/>
      <c r="BM300" s="136"/>
      <c r="BN300" s="136"/>
    </row>
    <row r="301" spans="1:66" ht="15.75" customHeight="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  <c r="BF301" s="136"/>
      <c r="BG301" s="136"/>
      <c r="BH301" s="136"/>
      <c r="BI301" s="136"/>
      <c r="BJ301" s="136"/>
      <c r="BK301" s="136"/>
      <c r="BL301" s="136"/>
      <c r="BM301" s="136"/>
      <c r="BN301" s="136"/>
    </row>
    <row r="302" spans="1:66" ht="15.75" customHeight="1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136"/>
      <c r="BD302" s="136"/>
      <c r="BE302" s="136"/>
      <c r="BF302" s="136"/>
      <c r="BG302" s="136"/>
      <c r="BH302" s="136"/>
      <c r="BI302" s="136"/>
      <c r="BJ302" s="136"/>
      <c r="BK302" s="136"/>
      <c r="BL302" s="136"/>
      <c r="BM302" s="136"/>
      <c r="BN302" s="136"/>
    </row>
    <row r="303" spans="1:66" ht="15.75" customHeight="1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  <c r="BF303" s="136"/>
      <c r="BG303" s="136"/>
      <c r="BH303" s="136"/>
      <c r="BI303" s="136"/>
      <c r="BJ303" s="136"/>
      <c r="BK303" s="136"/>
      <c r="BL303" s="136"/>
      <c r="BM303" s="136"/>
      <c r="BN303" s="136"/>
    </row>
    <row r="304" spans="1:66" ht="15.75" customHeight="1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136"/>
      <c r="BD304" s="136"/>
      <c r="BE304" s="136"/>
      <c r="BF304" s="136"/>
      <c r="BG304" s="136"/>
      <c r="BH304" s="136"/>
      <c r="BI304" s="136"/>
      <c r="BJ304" s="136"/>
      <c r="BK304" s="136"/>
      <c r="BL304" s="136"/>
      <c r="BM304" s="136"/>
      <c r="BN304" s="136"/>
    </row>
    <row r="305" spans="1:66" ht="15.75" customHeight="1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136"/>
      <c r="BD305" s="136"/>
      <c r="BE305" s="136"/>
      <c r="BF305" s="136"/>
      <c r="BG305" s="136"/>
      <c r="BH305" s="136"/>
      <c r="BI305" s="136"/>
      <c r="BJ305" s="136"/>
      <c r="BK305" s="136"/>
      <c r="BL305" s="136"/>
      <c r="BM305" s="136"/>
      <c r="BN305" s="136"/>
    </row>
    <row r="306" spans="1:66" ht="15.75" customHeight="1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136"/>
      <c r="BD306" s="136"/>
      <c r="BE306" s="136"/>
      <c r="BF306" s="136"/>
      <c r="BG306" s="136"/>
      <c r="BH306" s="136"/>
      <c r="BI306" s="136"/>
      <c r="BJ306" s="136"/>
      <c r="BK306" s="136"/>
      <c r="BL306" s="136"/>
      <c r="BM306" s="136"/>
      <c r="BN306" s="136"/>
    </row>
    <row r="307" spans="1:66" ht="15.75" customHeight="1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  <c r="BE307" s="136"/>
      <c r="BF307" s="136"/>
      <c r="BG307" s="136"/>
      <c r="BH307" s="136"/>
      <c r="BI307" s="136"/>
      <c r="BJ307" s="136"/>
      <c r="BK307" s="136"/>
      <c r="BL307" s="136"/>
      <c r="BM307" s="136"/>
      <c r="BN307" s="136"/>
    </row>
    <row r="308" spans="1:66" ht="15.75" customHeight="1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136"/>
      <c r="BD308" s="136"/>
      <c r="BE308" s="136"/>
      <c r="BF308" s="136"/>
      <c r="BG308" s="136"/>
      <c r="BH308" s="136"/>
      <c r="BI308" s="136"/>
      <c r="BJ308" s="136"/>
      <c r="BK308" s="136"/>
      <c r="BL308" s="136"/>
      <c r="BM308" s="136"/>
      <c r="BN308" s="136"/>
    </row>
    <row r="309" spans="1:66" ht="15.75" customHeight="1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  <c r="BE309" s="136"/>
      <c r="BF309" s="136"/>
      <c r="BG309" s="136"/>
      <c r="BH309" s="136"/>
      <c r="BI309" s="136"/>
      <c r="BJ309" s="136"/>
      <c r="BK309" s="136"/>
      <c r="BL309" s="136"/>
      <c r="BM309" s="136"/>
      <c r="BN309" s="136"/>
    </row>
    <row r="310" spans="1:66" ht="15.75" customHeight="1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136"/>
      <c r="BD310" s="136"/>
      <c r="BE310" s="136"/>
      <c r="BF310" s="136"/>
      <c r="BG310" s="136"/>
      <c r="BH310" s="136"/>
      <c r="BI310" s="136"/>
      <c r="BJ310" s="136"/>
      <c r="BK310" s="136"/>
      <c r="BL310" s="136"/>
      <c r="BM310" s="136"/>
      <c r="BN310" s="136"/>
    </row>
    <row r="311" spans="1:66" ht="15.75" customHeight="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  <c r="BE311" s="136"/>
      <c r="BF311" s="136"/>
      <c r="BG311" s="136"/>
      <c r="BH311" s="136"/>
      <c r="BI311" s="136"/>
      <c r="BJ311" s="136"/>
      <c r="BK311" s="136"/>
      <c r="BL311" s="136"/>
      <c r="BM311" s="136"/>
      <c r="BN311" s="136"/>
    </row>
    <row r="312" spans="1:66" ht="15.75" customHeight="1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136"/>
      <c r="BD312" s="136"/>
      <c r="BE312" s="136"/>
      <c r="BF312" s="136"/>
      <c r="BG312" s="136"/>
      <c r="BH312" s="136"/>
      <c r="BI312" s="136"/>
      <c r="BJ312" s="136"/>
      <c r="BK312" s="136"/>
      <c r="BL312" s="136"/>
      <c r="BM312" s="136"/>
      <c r="BN312" s="136"/>
    </row>
    <row r="313" spans="1:66" ht="15.75" customHeight="1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  <c r="BE313" s="136"/>
      <c r="BF313" s="136"/>
      <c r="BG313" s="136"/>
      <c r="BH313" s="136"/>
      <c r="BI313" s="136"/>
      <c r="BJ313" s="136"/>
      <c r="BK313" s="136"/>
      <c r="BL313" s="136"/>
      <c r="BM313" s="136"/>
      <c r="BN313" s="136"/>
    </row>
    <row r="314" spans="1:66" ht="15.75" customHeight="1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136"/>
      <c r="BD314" s="136"/>
      <c r="BE314" s="136"/>
      <c r="BF314" s="136"/>
      <c r="BG314" s="136"/>
      <c r="BH314" s="136"/>
      <c r="BI314" s="136"/>
      <c r="BJ314" s="136"/>
      <c r="BK314" s="136"/>
      <c r="BL314" s="136"/>
      <c r="BM314" s="136"/>
      <c r="BN314" s="136"/>
    </row>
    <row r="315" spans="1:66" ht="15.75" customHeight="1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  <c r="BE315" s="136"/>
      <c r="BF315" s="136"/>
      <c r="BG315" s="136"/>
      <c r="BH315" s="136"/>
      <c r="BI315" s="136"/>
      <c r="BJ315" s="136"/>
      <c r="BK315" s="136"/>
      <c r="BL315" s="136"/>
      <c r="BM315" s="136"/>
      <c r="BN315" s="136"/>
    </row>
    <row r="316" spans="1:66" ht="15.75" customHeight="1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136"/>
      <c r="BD316" s="136"/>
      <c r="BE316" s="136"/>
      <c r="BF316" s="136"/>
      <c r="BG316" s="136"/>
      <c r="BH316" s="136"/>
      <c r="BI316" s="136"/>
      <c r="BJ316" s="136"/>
      <c r="BK316" s="136"/>
      <c r="BL316" s="136"/>
      <c r="BM316" s="136"/>
      <c r="BN316" s="136"/>
    </row>
    <row r="317" spans="1:66" ht="15.75" customHeight="1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136"/>
      <c r="BH317" s="136"/>
      <c r="BI317" s="136"/>
      <c r="BJ317" s="136"/>
      <c r="BK317" s="136"/>
      <c r="BL317" s="136"/>
      <c r="BM317" s="136"/>
      <c r="BN317" s="136"/>
    </row>
    <row r="318" spans="1:66" ht="15.75" customHeight="1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136"/>
      <c r="BD318" s="136"/>
      <c r="BE318" s="136"/>
      <c r="BF318" s="136"/>
      <c r="BG318" s="136"/>
      <c r="BH318" s="136"/>
      <c r="BI318" s="136"/>
      <c r="BJ318" s="136"/>
      <c r="BK318" s="136"/>
      <c r="BL318" s="136"/>
      <c r="BM318" s="136"/>
      <c r="BN318" s="136"/>
    </row>
    <row r="319" spans="1:66" ht="15.75" customHeight="1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136"/>
      <c r="BI319" s="136"/>
      <c r="BJ319" s="136"/>
      <c r="BK319" s="136"/>
      <c r="BL319" s="136"/>
      <c r="BM319" s="136"/>
      <c r="BN319" s="136"/>
    </row>
    <row r="320" spans="1:66" ht="15.75" customHeight="1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136"/>
      <c r="BH320" s="136"/>
      <c r="BI320" s="136"/>
      <c r="BJ320" s="136"/>
      <c r="BK320" s="136"/>
      <c r="BL320" s="136"/>
      <c r="BM320" s="136"/>
      <c r="BN320" s="136"/>
    </row>
    <row r="321" spans="1:66" ht="15.75" customHeight="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  <c r="BE321" s="136"/>
      <c r="BF321" s="136"/>
      <c r="BG321" s="136"/>
      <c r="BH321" s="136"/>
      <c r="BI321" s="136"/>
      <c r="BJ321" s="136"/>
      <c r="BK321" s="136"/>
      <c r="BL321" s="136"/>
      <c r="BM321" s="136"/>
      <c r="BN321" s="136"/>
    </row>
    <row r="322" spans="1:66" ht="15.75" customHeight="1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136"/>
      <c r="BD322" s="136"/>
      <c r="BE322" s="136"/>
      <c r="BF322" s="136"/>
      <c r="BG322" s="136"/>
      <c r="BH322" s="136"/>
      <c r="BI322" s="136"/>
      <c r="BJ322" s="136"/>
      <c r="BK322" s="136"/>
      <c r="BL322" s="136"/>
      <c r="BM322" s="136"/>
      <c r="BN322" s="136"/>
    </row>
    <row r="323" spans="1:66" ht="15.75" customHeight="1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  <c r="BE323" s="136"/>
      <c r="BF323" s="136"/>
      <c r="BG323" s="136"/>
      <c r="BH323" s="136"/>
      <c r="BI323" s="136"/>
      <c r="BJ323" s="136"/>
      <c r="BK323" s="136"/>
      <c r="BL323" s="136"/>
      <c r="BM323" s="136"/>
      <c r="BN323" s="136"/>
    </row>
    <row r="324" spans="1:66" ht="15.75" customHeight="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136"/>
      <c r="BD324" s="136"/>
      <c r="BE324" s="136"/>
      <c r="BF324" s="136"/>
      <c r="BG324" s="136"/>
      <c r="BH324" s="136"/>
      <c r="BI324" s="136"/>
      <c r="BJ324" s="136"/>
      <c r="BK324" s="136"/>
      <c r="BL324" s="136"/>
      <c r="BM324" s="136"/>
      <c r="BN324" s="136"/>
    </row>
    <row r="325" spans="1:66" ht="15.75" customHeight="1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136"/>
      <c r="BD325" s="136"/>
      <c r="BE325" s="136"/>
      <c r="BF325" s="136"/>
      <c r="BG325" s="136"/>
      <c r="BH325" s="136"/>
      <c r="BI325" s="136"/>
      <c r="BJ325" s="136"/>
      <c r="BK325" s="136"/>
      <c r="BL325" s="136"/>
      <c r="BM325" s="136"/>
      <c r="BN325" s="136"/>
    </row>
    <row r="326" spans="1:66" ht="15.75" customHeight="1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/>
      <c r="AV326" s="136"/>
      <c r="AW326" s="136"/>
      <c r="AX326" s="136"/>
      <c r="AY326" s="136"/>
      <c r="AZ326" s="136"/>
      <c r="BA326" s="136"/>
      <c r="BB326" s="136"/>
      <c r="BC326" s="136"/>
      <c r="BD326" s="136"/>
      <c r="BE326" s="136"/>
      <c r="BF326" s="136"/>
      <c r="BG326" s="136"/>
      <c r="BH326" s="136"/>
      <c r="BI326" s="136"/>
      <c r="BJ326" s="136"/>
      <c r="BK326" s="136"/>
      <c r="BL326" s="136"/>
      <c r="BM326" s="136"/>
      <c r="BN326" s="136"/>
    </row>
    <row r="327" spans="1:66" ht="15.75" customHeight="1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136"/>
      <c r="BD327" s="136"/>
      <c r="BE327" s="136"/>
      <c r="BF327" s="136"/>
      <c r="BG327" s="136"/>
      <c r="BH327" s="136"/>
      <c r="BI327" s="136"/>
      <c r="BJ327" s="136"/>
      <c r="BK327" s="136"/>
      <c r="BL327" s="136"/>
      <c r="BM327" s="136"/>
      <c r="BN327" s="136"/>
    </row>
    <row r="328" spans="1:66" ht="15.75" customHeight="1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136"/>
      <c r="BD328" s="136"/>
      <c r="BE328" s="136"/>
      <c r="BF328" s="136"/>
      <c r="BG328" s="136"/>
      <c r="BH328" s="136"/>
      <c r="BI328" s="136"/>
      <c r="BJ328" s="136"/>
      <c r="BK328" s="136"/>
      <c r="BL328" s="136"/>
      <c r="BM328" s="136"/>
      <c r="BN328" s="136"/>
    </row>
    <row r="329" spans="1:66" ht="15.75" customHeight="1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  <c r="BF329" s="136"/>
      <c r="BG329" s="136"/>
      <c r="BH329" s="136"/>
      <c r="BI329" s="136"/>
      <c r="BJ329" s="136"/>
      <c r="BK329" s="136"/>
      <c r="BL329" s="136"/>
      <c r="BM329" s="136"/>
      <c r="BN329" s="136"/>
    </row>
    <row r="330" spans="1:66" ht="15.75" customHeight="1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136"/>
      <c r="BD330" s="136"/>
      <c r="BE330" s="136"/>
      <c r="BF330" s="136"/>
      <c r="BG330" s="136"/>
      <c r="BH330" s="136"/>
      <c r="BI330" s="136"/>
      <c r="BJ330" s="136"/>
      <c r="BK330" s="136"/>
      <c r="BL330" s="136"/>
      <c r="BM330" s="136"/>
      <c r="BN330" s="136"/>
    </row>
    <row r="331" spans="1:66" ht="15.75" customHeight="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136"/>
      <c r="BD331" s="136"/>
      <c r="BE331" s="136"/>
      <c r="BF331" s="136"/>
      <c r="BG331" s="136"/>
      <c r="BH331" s="136"/>
      <c r="BI331" s="136"/>
      <c r="BJ331" s="136"/>
      <c r="BK331" s="136"/>
      <c r="BL331" s="136"/>
      <c r="BM331" s="136"/>
      <c r="BN331" s="136"/>
    </row>
    <row r="332" spans="1:66" ht="15.75" customHeight="1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136"/>
      <c r="BD332" s="136"/>
      <c r="BE332" s="136"/>
      <c r="BF332" s="136"/>
      <c r="BG332" s="136"/>
      <c r="BH332" s="136"/>
      <c r="BI332" s="136"/>
      <c r="BJ332" s="136"/>
      <c r="BK332" s="136"/>
      <c r="BL332" s="136"/>
      <c r="BM332" s="136"/>
      <c r="BN332" s="136"/>
    </row>
    <row r="333" spans="1:66" ht="15.75" customHeight="1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136"/>
      <c r="AQ333" s="136"/>
      <c r="AR333" s="136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136"/>
      <c r="BD333" s="136"/>
      <c r="BE333" s="136"/>
      <c r="BF333" s="136"/>
      <c r="BG333" s="136"/>
      <c r="BH333" s="136"/>
      <c r="BI333" s="136"/>
      <c r="BJ333" s="136"/>
      <c r="BK333" s="136"/>
      <c r="BL333" s="136"/>
      <c r="BM333" s="136"/>
      <c r="BN333" s="136"/>
    </row>
    <row r="334" spans="1:66" ht="15.75" customHeight="1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136"/>
      <c r="AU334" s="136"/>
      <c r="AV334" s="136"/>
      <c r="AW334" s="136"/>
      <c r="AX334" s="136"/>
      <c r="AY334" s="136"/>
      <c r="AZ334" s="136"/>
      <c r="BA334" s="136"/>
      <c r="BB334" s="136"/>
      <c r="BC334" s="136"/>
      <c r="BD334" s="136"/>
      <c r="BE334" s="136"/>
      <c r="BF334" s="136"/>
      <c r="BG334" s="136"/>
      <c r="BH334" s="136"/>
      <c r="BI334" s="136"/>
      <c r="BJ334" s="136"/>
      <c r="BK334" s="136"/>
      <c r="BL334" s="136"/>
      <c r="BM334" s="136"/>
      <c r="BN334" s="136"/>
    </row>
    <row r="335" spans="1:66" ht="15.75" customHeight="1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136"/>
      <c r="BD335" s="136"/>
      <c r="BE335" s="136"/>
      <c r="BF335" s="136"/>
      <c r="BG335" s="136"/>
      <c r="BH335" s="136"/>
      <c r="BI335" s="136"/>
      <c r="BJ335" s="136"/>
      <c r="BK335" s="136"/>
      <c r="BL335" s="136"/>
      <c r="BM335" s="136"/>
      <c r="BN335" s="136"/>
    </row>
    <row r="336" spans="1:66" ht="15.75" customHeight="1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136"/>
      <c r="BD336" s="136"/>
      <c r="BE336" s="136"/>
      <c r="BF336" s="136"/>
      <c r="BG336" s="136"/>
      <c r="BH336" s="136"/>
      <c r="BI336" s="136"/>
      <c r="BJ336" s="136"/>
      <c r="BK336" s="136"/>
      <c r="BL336" s="136"/>
      <c r="BM336" s="136"/>
      <c r="BN336" s="136"/>
    </row>
    <row r="337" spans="1:66" ht="15.75" customHeight="1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136"/>
      <c r="BD337" s="136"/>
      <c r="BE337" s="136"/>
      <c r="BF337" s="136"/>
      <c r="BG337" s="136"/>
      <c r="BH337" s="136"/>
      <c r="BI337" s="136"/>
      <c r="BJ337" s="136"/>
      <c r="BK337" s="136"/>
      <c r="BL337" s="136"/>
      <c r="BM337" s="136"/>
      <c r="BN337" s="136"/>
    </row>
    <row r="338" spans="1:66" ht="15.75" customHeight="1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136"/>
      <c r="AS338" s="136"/>
      <c r="AT338" s="136"/>
      <c r="AU338" s="136"/>
      <c r="AV338" s="136"/>
      <c r="AW338" s="136"/>
      <c r="AX338" s="136"/>
      <c r="AY338" s="136"/>
      <c r="AZ338" s="136"/>
      <c r="BA338" s="136"/>
      <c r="BB338" s="136"/>
      <c r="BC338" s="136"/>
      <c r="BD338" s="136"/>
      <c r="BE338" s="136"/>
      <c r="BF338" s="136"/>
      <c r="BG338" s="136"/>
      <c r="BH338" s="136"/>
      <c r="BI338" s="136"/>
      <c r="BJ338" s="136"/>
      <c r="BK338" s="136"/>
      <c r="BL338" s="136"/>
      <c r="BM338" s="136"/>
      <c r="BN338" s="136"/>
    </row>
    <row r="339" spans="1:66" ht="15.75" customHeight="1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136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136"/>
      <c r="BD339" s="136"/>
      <c r="BE339" s="136"/>
      <c r="BF339" s="136"/>
      <c r="BG339" s="136"/>
      <c r="BH339" s="136"/>
      <c r="BI339" s="136"/>
      <c r="BJ339" s="136"/>
      <c r="BK339" s="136"/>
      <c r="BL339" s="136"/>
      <c r="BM339" s="136"/>
      <c r="BN339" s="136"/>
    </row>
    <row r="340" spans="1:66" ht="15.75" customHeight="1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136"/>
      <c r="BD340" s="136"/>
      <c r="BE340" s="136"/>
      <c r="BF340" s="136"/>
      <c r="BG340" s="136"/>
      <c r="BH340" s="136"/>
      <c r="BI340" s="136"/>
      <c r="BJ340" s="136"/>
      <c r="BK340" s="136"/>
      <c r="BL340" s="136"/>
      <c r="BM340" s="136"/>
      <c r="BN340" s="136"/>
    </row>
    <row r="341" spans="1:66" ht="15.75" customHeight="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136"/>
      <c r="BD341" s="136"/>
      <c r="BE341" s="136"/>
      <c r="BF341" s="136"/>
      <c r="BG341" s="136"/>
      <c r="BH341" s="136"/>
      <c r="BI341" s="136"/>
      <c r="BJ341" s="136"/>
      <c r="BK341" s="136"/>
      <c r="BL341" s="136"/>
      <c r="BM341" s="136"/>
      <c r="BN341" s="136"/>
    </row>
    <row r="342" spans="1:66" ht="15.75" customHeight="1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136"/>
      <c r="AS342" s="136"/>
      <c r="AT342" s="136"/>
      <c r="AU342" s="136"/>
      <c r="AV342" s="136"/>
      <c r="AW342" s="136"/>
      <c r="AX342" s="136"/>
      <c r="AY342" s="136"/>
      <c r="AZ342" s="136"/>
      <c r="BA342" s="136"/>
      <c r="BB342" s="136"/>
      <c r="BC342" s="136"/>
      <c r="BD342" s="136"/>
      <c r="BE342" s="136"/>
      <c r="BF342" s="136"/>
      <c r="BG342" s="136"/>
      <c r="BH342" s="136"/>
      <c r="BI342" s="136"/>
      <c r="BJ342" s="136"/>
      <c r="BK342" s="136"/>
      <c r="BL342" s="136"/>
      <c r="BM342" s="136"/>
      <c r="BN342" s="136"/>
    </row>
    <row r="343" spans="1:66" ht="15.75" customHeight="1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  <c r="BF343" s="136"/>
      <c r="BG343" s="136"/>
      <c r="BH343" s="136"/>
      <c r="BI343" s="136"/>
      <c r="BJ343" s="136"/>
      <c r="BK343" s="136"/>
      <c r="BL343" s="136"/>
      <c r="BM343" s="136"/>
      <c r="BN343" s="136"/>
    </row>
    <row r="344" spans="1:66" ht="15.75" customHeight="1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136"/>
      <c r="BD344" s="136"/>
      <c r="BE344" s="136"/>
      <c r="BF344" s="136"/>
      <c r="BG344" s="136"/>
      <c r="BH344" s="136"/>
      <c r="BI344" s="136"/>
      <c r="BJ344" s="136"/>
      <c r="BK344" s="136"/>
      <c r="BL344" s="136"/>
      <c r="BM344" s="136"/>
      <c r="BN344" s="136"/>
    </row>
    <row r="345" spans="1:66" ht="15.75" customHeight="1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136"/>
      <c r="BD345" s="136"/>
      <c r="BE345" s="136"/>
      <c r="BF345" s="136"/>
      <c r="BG345" s="136"/>
      <c r="BH345" s="136"/>
      <c r="BI345" s="136"/>
      <c r="BJ345" s="136"/>
      <c r="BK345" s="136"/>
      <c r="BL345" s="136"/>
      <c r="BM345" s="136"/>
      <c r="BN345" s="136"/>
    </row>
    <row r="346" spans="1:66" ht="15.75" customHeight="1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136"/>
      <c r="BD346" s="136"/>
      <c r="BE346" s="136"/>
      <c r="BF346" s="136"/>
      <c r="BG346" s="136"/>
      <c r="BH346" s="136"/>
      <c r="BI346" s="136"/>
      <c r="BJ346" s="136"/>
      <c r="BK346" s="136"/>
      <c r="BL346" s="136"/>
      <c r="BM346" s="136"/>
      <c r="BN346" s="136"/>
    </row>
    <row r="347" spans="1:66" ht="15.75" customHeight="1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136"/>
      <c r="BD347" s="136"/>
      <c r="BE347" s="136"/>
      <c r="BF347" s="136"/>
      <c r="BG347" s="136"/>
      <c r="BH347" s="136"/>
      <c r="BI347" s="136"/>
      <c r="BJ347" s="136"/>
      <c r="BK347" s="136"/>
      <c r="BL347" s="136"/>
      <c r="BM347" s="136"/>
      <c r="BN347" s="136"/>
    </row>
    <row r="348" spans="1:66" ht="15.75" customHeight="1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136"/>
      <c r="AQ348" s="136"/>
      <c r="AR348" s="136"/>
      <c r="AS348" s="136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136"/>
      <c r="BD348" s="136"/>
      <c r="BE348" s="136"/>
      <c r="BF348" s="136"/>
      <c r="BG348" s="136"/>
      <c r="BH348" s="136"/>
      <c r="BI348" s="136"/>
      <c r="BJ348" s="136"/>
      <c r="BK348" s="136"/>
      <c r="BL348" s="136"/>
      <c r="BM348" s="136"/>
      <c r="BN348" s="136"/>
    </row>
    <row r="349" spans="1:66" ht="15.75" customHeight="1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  <c r="BF349" s="136"/>
      <c r="BG349" s="136"/>
      <c r="BH349" s="136"/>
      <c r="BI349" s="136"/>
      <c r="BJ349" s="136"/>
      <c r="BK349" s="136"/>
      <c r="BL349" s="136"/>
      <c r="BM349" s="136"/>
      <c r="BN349" s="136"/>
    </row>
    <row r="350" spans="1:66" ht="15.75" customHeight="1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136"/>
      <c r="AU350" s="136"/>
      <c r="AV350" s="136"/>
      <c r="AW350" s="136"/>
      <c r="AX350" s="136"/>
      <c r="AY350" s="136"/>
      <c r="AZ350" s="136"/>
      <c r="BA350" s="136"/>
      <c r="BB350" s="136"/>
      <c r="BC350" s="136"/>
      <c r="BD350" s="136"/>
      <c r="BE350" s="136"/>
      <c r="BF350" s="136"/>
      <c r="BG350" s="136"/>
      <c r="BH350" s="136"/>
      <c r="BI350" s="136"/>
      <c r="BJ350" s="136"/>
      <c r="BK350" s="136"/>
      <c r="BL350" s="136"/>
      <c r="BM350" s="136"/>
      <c r="BN350" s="136"/>
    </row>
    <row r="351" spans="1:66" ht="15.75" customHeight="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136"/>
      <c r="AQ351" s="136"/>
      <c r="AR351" s="136"/>
      <c r="AS351" s="136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136"/>
      <c r="BD351" s="136"/>
      <c r="BE351" s="136"/>
      <c r="BF351" s="136"/>
      <c r="BG351" s="136"/>
      <c r="BH351" s="136"/>
      <c r="BI351" s="136"/>
      <c r="BJ351" s="136"/>
      <c r="BK351" s="136"/>
      <c r="BL351" s="136"/>
      <c r="BM351" s="136"/>
      <c r="BN351" s="136"/>
    </row>
    <row r="352" spans="1:66" ht="15.75" customHeight="1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  <c r="BF352" s="136"/>
      <c r="BG352" s="136"/>
      <c r="BH352" s="136"/>
      <c r="BI352" s="136"/>
      <c r="BJ352" s="136"/>
      <c r="BK352" s="136"/>
      <c r="BL352" s="136"/>
      <c r="BM352" s="136"/>
      <c r="BN352" s="136"/>
    </row>
    <row r="353" spans="1:66" ht="15.75" customHeight="1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136"/>
      <c r="BD353" s="136"/>
      <c r="BE353" s="136"/>
      <c r="BF353" s="136"/>
      <c r="BG353" s="136"/>
      <c r="BH353" s="136"/>
      <c r="BI353" s="136"/>
      <c r="BJ353" s="136"/>
      <c r="BK353" s="136"/>
      <c r="BL353" s="136"/>
      <c r="BM353" s="136"/>
      <c r="BN353" s="136"/>
    </row>
    <row r="354" spans="1:66" ht="15.75" customHeight="1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136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136"/>
      <c r="BD354" s="136"/>
      <c r="BE354" s="136"/>
      <c r="BF354" s="136"/>
      <c r="BG354" s="136"/>
      <c r="BH354" s="136"/>
      <c r="BI354" s="136"/>
      <c r="BJ354" s="136"/>
      <c r="BK354" s="136"/>
      <c r="BL354" s="136"/>
      <c r="BM354" s="136"/>
      <c r="BN354" s="136"/>
    </row>
    <row r="355" spans="1:66" ht="15.75" customHeight="1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  <c r="BF355" s="136"/>
      <c r="BG355" s="136"/>
      <c r="BH355" s="136"/>
      <c r="BI355" s="136"/>
      <c r="BJ355" s="136"/>
      <c r="BK355" s="136"/>
      <c r="BL355" s="136"/>
      <c r="BM355" s="136"/>
      <c r="BN355" s="136"/>
    </row>
    <row r="356" spans="1:66" ht="15.75" customHeight="1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136"/>
      <c r="BD356" s="136"/>
      <c r="BE356" s="136"/>
      <c r="BF356" s="136"/>
      <c r="BG356" s="136"/>
      <c r="BH356" s="136"/>
      <c r="BI356" s="136"/>
      <c r="BJ356" s="136"/>
      <c r="BK356" s="136"/>
      <c r="BL356" s="136"/>
      <c r="BM356" s="136"/>
      <c r="BN356" s="136"/>
    </row>
    <row r="357" spans="1:66" ht="15.75" customHeight="1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136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136"/>
      <c r="BD357" s="136"/>
      <c r="BE357" s="136"/>
      <c r="BF357" s="136"/>
      <c r="BG357" s="136"/>
      <c r="BH357" s="136"/>
      <c r="BI357" s="136"/>
      <c r="BJ357" s="136"/>
      <c r="BK357" s="136"/>
      <c r="BL357" s="136"/>
      <c r="BM357" s="136"/>
      <c r="BN357" s="136"/>
    </row>
    <row r="358" spans="1:66" ht="15.75" customHeight="1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136"/>
      <c r="BD358" s="136"/>
      <c r="BE358" s="136"/>
      <c r="BF358" s="136"/>
      <c r="BG358" s="136"/>
      <c r="BH358" s="136"/>
      <c r="BI358" s="136"/>
      <c r="BJ358" s="136"/>
      <c r="BK358" s="136"/>
      <c r="BL358" s="136"/>
      <c r="BM358" s="136"/>
      <c r="BN358" s="136"/>
    </row>
    <row r="359" spans="1:66" ht="15.75" customHeight="1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136"/>
      <c r="BD359" s="136"/>
      <c r="BE359" s="136"/>
      <c r="BF359" s="136"/>
      <c r="BG359" s="136"/>
      <c r="BH359" s="136"/>
      <c r="BI359" s="136"/>
      <c r="BJ359" s="136"/>
      <c r="BK359" s="136"/>
      <c r="BL359" s="136"/>
      <c r="BM359" s="136"/>
      <c r="BN359" s="136"/>
    </row>
    <row r="360" spans="1:66" ht="15.75" customHeight="1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136"/>
      <c r="AS360" s="136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136"/>
      <c r="BD360" s="136"/>
      <c r="BE360" s="136"/>
      <c r="BF360" s="136"/>
      <c r="BG360" s="136"/>
      <c r="BH360" s="136"/>
      <c r="BI360" s="136"/>
      <c r="BJ360" s="136"/>
      <c r="BK360" s="136"/>
      <c r="BL360" s="136"/>
      <c r="BM360" s="136"/>
      <c r="BN360" s="136"/>
    </row>
    <row r="361" spans="1:66" ht="15.75" customHeight="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  <c r="BF361" s="136"/>
      <c r="BG361" s="136"/>
      <c r="BH361" s="136"/>
      <c r="BI361" s="136"/>
      <c r="BJ361" s="136"/>
      <c r="BK361" s="136"/>
      <c r="BL361" s="136"/>
      <c r="BM361" s="136"/>
      <c r="BN361" s="136"/>
    </row>
    <row r="362" spans="1:66" ht="15.75" customHeight="1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136"/>
      <c r="AU362" s="136"/>
      <c r="AV362" s="136"/>
      <c r="AW362" s="136"/>
      <c r="AX362" s="136"/>
      <c r="AY362" s="136"/>
      <c r="AZ362" s="136"/>
      <c r="BA362" s="136"/>
      <c r="BB362" s="136"/>
      <c r="BC362" s="136"/>
      <c r="BD362" s="136"/>
      <c r="BE362" s="136"/>
      <c r="BF362" s="136"/>
      <c r="BG362" s="136"/>
      <c r="BH362" s="136"/>
      <c r="BI362" s="136"/>
      <c r="BJ362" s="136"/>
      <c r="BK362" s="136"/>
      <c r="BL362" s="136"/>
      <c r="BM362" s="136"/>
      <c r="BN362" s="136"/>
    </row>
    <row r="363" spans="1:66" ht="15.75" customHeight="1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  <c r="BE363" s="136"/>
      <c r="BF363" s="136"/>
      <c r="BG363" s="136"/>
      <c r="BH363" s="136"/>
      <c r="BI363" s="136"/>
      <c r="BJ363" s="136"/>
      <c r="BK363" s="136"/>
      <c r="BL363" s="136"/>
      <c r="BM363" s="136"/>
      <c r="BN363" s="136"/>
    </row>
    <row r="364" spans="1:66" ht="15.75" customHeight="1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136"/>
      <c r="BD364" s="136"/>
      <c r="BE364" s="136"/>
      <c r="BF364" s="136"/>
      <c r="BG364" s="136"/>
      <c r="BH364" s="136"/>
      <c r="BI364" s="136"/>
      <c r="BJ364" s="136"/>
      <c r="BK364" s="136"/>
      <c r="BL364" s="136"/>
      <c r="BM364" s="136"/>
      <c r="BN364" s="136"/>
    </row>
    <row r="365" spans="1:66" ht="15.75" customHeight="1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136"/>
      <c r="BD365" s="136"/>
      <c r="BE365" s="136"/>
      <c r="BF365" s="136"/>
      <c r="BG365" s="136"/>
      <c r="BH365" s="136"/>
      <c r="BI365" s="136"/>
      <c r="BJ365" s="136"/>
      <c r="BK365" s="136"/>
      <c r="BL365" s="136"/>
      <c r="BM365" s="136"/>
      <c r="BN365" s="136"/>
    </row>
    <row r="366" spans="1:66" ht="15.75" customHeight="1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136"/>
      <c r="BD366" s="136"/>
      <c r="BE366" s="136"/>
      <c r="BF366" s="136"/>
      <c r="BG366" s="136"/>
      <c r="BH366" s="136"/>
      <c r="BI366" s="136"/>
      <c r="BJ366" s="136"/>
      <c r="BK366" s="136"/>
      <c r="BL366" s="136"/>
      <c r="BM366" s="136"/>
      <c r="BN366" s="136"/>
    </row>
    <row r="367" spans="1:66" ht="15.75" customHeight="1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136"/>
      <c r="BD367" s="136"/>
      <c r="BE367" s="136"/>
      <c r="BF367" s="136"/>
      <c r="BG367" s="136"/>
      <c r="BH367" s="136"/>
      <c r="BI367" s="136"/>
      <c r="BJ367" s="136"/>
      <c r="BK367" s="136"/>
      <c r="BL367" s="136"/>
      <c r="BM367" s="136"/>
      <c r="BN367" s="136"/>
    </row>
    <row r="368" spans="1:66" ht="15.75" customHeight="1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136"/>
      <c r="BD368" s="136"/>
      <c r="BE368" s="136"/>
      <c r="BF368" s="136"/>
      <c r="BG368" s="136"/>
      <c r="BH368" s="136"/>
      <c r="BI368" s="136"/>
      <c r="BJ368" s="136"/>
      <c r="BK368" s="136"/>
      <c r="BL368" s="136"/>
      <c r="BM368" s="136"/>
      <c r="BN368" s="136"/>
    </row>
    <row r="369" spans="1:66" ht="15.75" customHeight="1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136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136"/>
      <c r="BD369" s="136"/>
      <c r="BE369" s="136"/>
      <c r="BF369" s="136"/>
      <c r="BG369" s="136"/>
      <c r="BH369" s="136"/>
      <c r="BI369" s="136"/>
      <c r="BJ369" s="136"/>
      <c r="BK369" s="136"/>
      <c r="BL369" s="136"/>
      <c r="BM369" s="136"/>
      <c r="BN369" s="136"/>
    </row>
    <row r="370" spans="1:66" ht="15.75" customHeight="1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136"/>
      <c r="BD370" s="136"/>
      <c r="BE370" s="136"/>
      <c r="BF370" s="136"/>
      <c r="BG370" s="136"/>
      <c r="BH370" s="136"/>
      <c r="BI370" s="136"/>
      <c r="BJ370" s="136"/>
      <c r="BK370" s="136"/>
      <c r="BL370" s="136"/>
      <c r="BM370" s="136"/>
      <c r="BN370" s="136"/>
    </row>
    <row r="371" spans="1:66" ht="15.75" customHeight="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136"/>
      <c r="BD371" s="136"/>
      <c r="BE371" s="136"/>
      <c r="BF371" s="136"/>
      <c r="BG371" s="136"/>
      <c r="BH371" s="136"/>
      <c r="BI371" s="136"/>
      <c r="BJ371" s="136"/>
      <c r="BK371" s="136"/>
      <c r="BL371" s="136"/>
      <c r="BM371" s="136"/>
      <c r="BN371" s="136"/>
    </row>
    <row r="372" spans="1:66" ht="15.75" customHeight="1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136"/>
      <c r="AS372" s="136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136"/>
      <c r="BD372" s="136"/>
      <c r="BE372" s="136"/>
      <c r="BF372" s="136"/>
      <c r="BG372" s="136"/>
      <c r="BH372" s="136"/>
      <c r="BI372" s="136"/>
      <c r="BJ372" s="136"/>
      <c r="BK372" s="136"/>
      <c r="BL372" s="136"/>
      <c r="BM372" s="136"/>
      <c r="BN372" s="136"/>
    </row>
    <row r="373" spans="1:66" ht="15.75" customHeight="1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  <c r="BF373" s="136"/>
      <c r="BG373" s="136"/>
      <c r="BH373" s="136"/>
      <c r="BI373" s="136"/>
      <c r="BJ373" s="136"/>
      <c r="BK373" s="136"/>
      <c r="BL373" s="136"/>
      <c r="BM373" s="136"/>
      <c r="BN373" s="136"/>
    </row>
    <row r="374" spans="1:66" ht="15.75" customHeight="1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136"/>
      <c r="AU374" s="136"/>
      <c r="AV374" s="136"/>
      <c r="AW374" s="136"/>
      <c r="AX374" s="136"/>
      <c r="AY374" s="136"/>
      <c r="AZ374" s="136"/>
      <c r="BA374" s="136"/>
      <c r="BB374" s="136"/>
      <c r="BC374" s="136"/>
      <c r="BD374" s="136"/>
      <c r="BE374" s="136"/>
      <c r="BF374" s="136"/>
      <c r="BG374" s="136"/>
      <c r="BH374" s="136"/>
      <c r="BI374" s="136"/>
      <c r="BJ374" s="136"/>
      <c r="BK374" s="136"/>
      <c r="BL374" s="136"/>
      <c r="BM374" s="136"/>
      <c r="BN374" s="136"/>
    </row>
    <row r="375" spans="1:66" ht="15.75" customHeight="1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136"/>
      <c r="AQ375" s="136"/>
      <c r="AR375" s="136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136"/>
      <c r="BD375" s="136"/>
      <c r="BE375" s="136"/>
      <c r="BF375" s="136"/>
      <c r="BG375" s="136"/>
      <c r="BH375" s="136"/>
      <c r="BI375" s="136"/>
      <c r="BJ375" s="136"/>
      <c r="BK375" s="136"/>
      <c r="BL375" s="136"/>
      <c r="BM375" s="136"/>
      <c r="BN375" s="136"/>
    </row>
    <row r="376" spans="1:66" ht="15.75" customHeight="1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  <c r="BF376" s="136"/>
      <c r="BG376" s="136"/>
      <c r="BH376" s="136"/>
      <c r="BI376" s="136"/>
      <c r="BJ376" s="136"/>
      <c r="BK376" s="136"/>
      <c r="BL376" s="136"/>
      <c r="BM376" s="136"/>
      <c r="BN376" s="136"/>
    </row>
    <row r="377" spans="1:66" ht="15.75" customHeight="1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136"/>
      <c r="BD377" s="136"/>
      <c r="BE377" s="136"/>
      <c r="BF377" s="136"/>
      <c r="BG377" s="136"/>
      <c r="BH377" s="136"/>
      <c r="BI377" s="136"/>
      <c r="BJ377" s="136"/>
      <c r="BK377" s="136"/>
      <c r="BL377" s="136"/>
      <c r="BM377" s="136"/>
      <c r="BN377" s="136"/>
    </row>
    <row r="378" spans="1:66" ht="15.75" customHeight="1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136"/>
      <c r="AS378" s="136"/>
      <c r="AT378" s="136"/>
      <c r="AU378" s="136"/>
      <c r="AV378" s="136"/>
      <c r="AW378" s="136"/>
      <c r="AX378" s="136"/>
      <c r="AY378" s="136"/>
      <c r="AZ378" s="136"/>
      <c r="BA378" s="136"/>
      <c r="BB378" s="136"/>
      <c r="BC378" s="136"/>
      <c r="BD378" s="136"/>
      <c r="BE378" s="136"/>
      <c r="BF378" s="136"/>
      <c r="BG378" s="136"/>
      <c r="BH378" s="136"/>
      <c r="BI378" s="136"/>
      <c r="BJ378" s="136"/>
      <c r="BK378" s="136"/>
      <c r="BL378" s="136"/>
      <c r="BM378" s="136"/>
      <c r="BN378" s="136"/>
    </row>
    <row r="379" spans="1:66" ht="15.75" customHeight="1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  <c r="BF379" s="136"/>
      <c r="BG379" s="136"/>
      <c r="BH379" s="136"/>
      <c r="BI379" s="136"/>
      <c r="BJ379" s="136"/>
      <c r="BK379" s="136"/>
      <c r="BL379" s="136"/>
      <c r="BM379" s="136"/>
      <c r="BN379" s="136"/>
    </row>
    <row r="380" spans="1:66" ht="15.75" customHeight="1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136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136"/>
      <c r="BD380" s="136"/>
      <c r="BE380" s="136"/>
      <c r="BF380" s="136"/>
      <c r="BG380" s="136"/>
      <c r="BH380" s="136"/>
      <c r="BI380" s="136"/>
      <c r="BJ380" s="136"/>
      <c r="BK380" s="136"/>
      <c r="BL380" s="136"/>
      <c r="BM380" s="136"/>
      <c r="BN380" s="136"/>
    </row>
    <row r="381" spans="1:66" ht="15.75" customHeight="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136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136"/>
      <c r="BD381" s="136"/>
      <c r="BE381" s="136"/>
      <c r="BF381" s="136"/>
      <c r="BG381" s="136"/>
      <c r="BH381" s="136"/>
      <c r="BI381" s="136"/>
      <c r="BJ381" s="136"/>
      <c r="BK381" s="136"/>
      <c r="BL381" s="136"/>
      <c r="BM381" s="136"/>
      <c r="BN381" s="136"/>
    </row>
    <row r="382" spans="1:66" ht="15.75" customHeight="1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136"/>
      <c r="BD382" s="136"/>
      <c r="BE382" s="136"/>
      <c r="BF382" s="136"/>
      <c r="BG382" s="136"/>
      <c r="BH382" s="136"/>
      <c r="BI382" s="136"/>
      <c r="BJ382" s="136"/>
      <c r="BK382" s="136"/>
      <c r="BL382" s="136"/>
      <c r="BM382" s="136"/>
      <c r="BN382" s="136"/>
    </row>
    <row r="383" spans="1:66" ht="15.75" customHeight="1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136"/>
      <c r="BD383" s="136"/>
      <c r="BE383" s="136"/>
      <c r="BF383" s="136"/>
      <c r="BG383" s="136"/>
      <c r="BH383" s="136"/>
      <c r="BI383" s="136"/>
      <c r="BJ383" s="136"/>
      <c r="BK383" s="136"/>
      <c r="BL383" s="136"/>
      <c r="BM383" s="136"/>
      <c r="BN383" s="136"/>
    </row>
    <row r="384" spans="1:66" ht="15.75" customHeight="1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136"/>
      <c r="AS384" s="136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136"/>
      <c r="BD384" s="136"/>
      <c r="BE384" s="136"/>
      <c r="BF384" s="136"/>
      <c r="BG384" s="136"/>
      <c r="BH384" s="136"/>
      <c r="BI384" s="136"/>
      <c r="BJ384" s="136"/>
      <c r="BK384" s="136"/>
      <c r="BL384" s="136"/>
      <c r="BM384" s="136"/>
      <c r="BN384" s="136"/>
    </row>
    <row r="385" spans="1:66" ht="15.75" customHeight="1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  <c r="BF385" s="136"/>
      <c r="BG385" s="136"/>
      <c r="BH385" s="136"/>
      <c r="BI385" s="136"/>
      <c r="BJ385" s="136"/>
      <c r="BK385" s="136"/>
      <c r="BL385" s="136"/>
      <c r="BM385" s="136"/>
      <c r="BN385" s="136"/>
    </row>
    <row r="386" spans="1:66" ht="15.75" customHeight="1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  <c r="BC386" s="136"/>
      <c r="BD386" s="136"/>
      <c r="BE386" s="136"/>
      <c r="BF386" s="136"/>
      <c r="BG386" s="136"/>
      <c r="BH386" s="136"/>
      <c r="BI386" s="136"/>
      <c r="BJ386" s="136"/>
      <c r="BK386" s="136"/>
      <c r="BL386" s="136"/>
      <c r="BM386" s="136"/>
      <c r="BN386" s="136"/>
    </row>
    <row r="387" spans="1:66" ht="15.75" customHeight="1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136"/>
      <c r="BD387" s="136"/>
      <c r="BE387" s="136"/>
      <c r="BF387" s="136"/>
      <c r="BG387" s="136"/>
      <c r="BH387" s="136"/>
      <c r="BI387" s="136"/>
      <c r="BJ387" s="136"/>
      <c r="BK387" s="136"/>
      <c r="BL387" s="136"/>
      <c r="BM387" s="136"/>
      <c r="BN387" s="136"/>
    </row>
    <row r="388" spans="1:66" ht="15.75" customHeight="1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  <c r="BF388" s="136"/>
      <c r="BG388" s="136"/>
      <c r="BH388" s="136"/>
      <c r="BI388" s="136"/>
      <c r="BJ388" s="136"/>
      <c r="BK388" s="136"/>
      <c r="BL388" s="136"/>
      <c r="BM388" s="136"/>
      <c r="BN388" s="136"/>
    </row>
    <row r="389" spans="1:66" ht="15.75" customHeight="1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136"/>
      <c r="BD389" s="136"/>
      <c r="BE389" s="136"/>
      <c r="BF389" s="136"/>
      <c r="BG389" s="136"/>
      <c r="BH389" s="136"/>
      <c r="BI389" s="136"/>
      <c r="BJ389" s="136"/>
      <c r="BK389" s="136"/>
      <c r="BL389" s="136"/>
      <c r="BM389" s="136"/>
      <c r="BN389" s="136"/>
    </row>
    <row r="390" spans="1:66" ht="15.75" customHeight="1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136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  <c r="BC390" s="136"/>
      <c r="BD390" s="136"/>
      <c r="BE390" s="136"/>
      <c r="BF390" s="136"/>
      <c r="BG390" s="136"/>
      <c r="BH390" s="136"/>
      <c r="BI390" s="136"/>
      <c r="BJ390" s="136"/>
      <c r="BK390" s="136"/>
      <c r="BL390" s="136"/>
      <c r="BM390" s="136"/>
      <c r="BN390" s="136"/>
    </row>
    <row r="391" spans="1:66" ht="15.75" customHeight="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  <c r="BF391" s="136"/>
      <c r="BG391" s="136"/>
      <c r="BH391" s="136"/>
      <c r="BI391" s="136"/>
      <c r="BJ391" s="136"/>
      <c r="BK391" s="136"/>
      <c r="BL391" s="136"/>
      <c r="BM391" s="136"/>
      <c r="BN391" s="136"/>
    </row>
    <row r="392" spans="1:66" ht="15.75" customHeight="1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136"/>
      <c r="BD392" s="136"/>
      <c r="BE392" s="136"/>
      <c r="BF392" s="136"/>
      <c r="BG392" s="136"/>
      <c r="BH392" s="136"/>
      <c r="BI392" s="136"/>
      <c r="BJ392" s="136"/>
      <c r="BK392" s="136"/>
      <c r="BL392" s="136"/>
      <c r="BM392" s="136"/>
      <c r="BN392" s="136"/>
    </row>
    <row r="393" spans="1:66" ht="15.75" customHeight="1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  <c r="BE393" s="136"/>
      <c r="BF393" s="136"/>
      <c r="BG393" s="136"/>
      <c r="BH393" s="136"/>
      <c r="BI393" s="136"/>
      <c r="BJ393" s="136"/>
      <c r="BK393" s="136"/>
      <c r="BL393" s="136"/>
      <c r="BM393" s="136"/>
      <c r="BN393" s="136"/>
    </row>
    <row r="394" spans="1:66" ht="15.75" customHeight="1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  <c r="BF394" s="136"/>
      <c r="BG394" s="136"/>
      <c r="BH394" s="136"/>
      <c r="BI394" s="136"/>
      <c r="BJ394" s="136"/>
      <c r="BK394" s="136"/>
      <c r="BL394" s="136"/>
      <c r="BM394" s="136"/>
      <c r="BN394" s="136"/>
    </row>
    <row r="395" spans="1:66" ht="15.75" customHeight="1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  <c r="BE395" s="136"/>
      <c r="BF395" s="136"/>
      <c r="BG395" s="136"/>
      <c r="BH395" s="136"/>
      <c r="BI395" s="136"/>
      <c r="BJ395" s="136"/>
      <c r="BK395" s="136"/>
      <c r="BL395" s="136"/>
      <c r="BM395" s="136"/>
      <c r="BN395" s="136"/>
    </row>
    <row r="396" spans="1:66" ht="15.75" customHeight="1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136"/>
      <c r="BD396" s="136"/>
      <c r="BE396" s="136"/>
      <c r="BF396" s="136"/>
      <c r="BG396" s="136"/>
      <c r="BH396" s="136"/>
      <c r="BI396" s="136"/>
      <c r="BJ396" s="136"/>
      <c r="BK396" s="136"/>
      <c r="BL396" s="136"/>
      <c r="BM396" s="136"/>
      <c r="BN396" s="136"/>
    </row>
    <row r="397" spans="1:66" ht="15.75" customHeight="1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  <c r="BF397" s="136"/>
      <c r="BG397" s="136"/>
      <c r="BH397" s="136"/>
      <c r="BI397" s="136"/>
      <c r="BJ397" s="136"/>
      <c r="BK397" s="136"/>
      <c r="BL397" s="136"/>
      <c r="BM397" s="136"/>
      <c r="BN397" s="136"/>
    </row>
    <row r="398" spans="1:66" ht="15.75" customHeight="1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  <c r="BC398" s="136"/>
      <c r="BD398" s="136"/>
      <c r="BE398" s="136"/>
      <c r="BF398" s="136"/>
      <c r="BG398" s="136"/>
      <c r="BH398" s="136"/>
      <c r="BI398" s="136"/>
      <c r="BJ398" s="136"/>
      <c r="BK398" s="136"/>
      <c r="BL398" s="136"/>
      <c r="BM398" s="136"/>
      <c r="BN398" s="136"/>
    </row>
    <row r="399" spans="1:66" ht="15.75" customHeight="1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136"/>
      <c r="AQ399" s="136"/>
      <c r="AR399" s="136"/>
      <c r="AS399" s="136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136"/>
      <c r="BD399" s="136"/>
      <c r="BE399" s="136"/>
      <c r="BF399" s="136"/>
      <c r="BG399" s="136"/>
      <c r="BH399" s="136"/>
      <c r="BI399" s="136"/>
      <c r="BJ399" s="136"/>
      <c r="BK399" s="136"/>
      <c r="BL399" s="136"/>
      <c r="BM399" s="136"/>
      <c r="BN399" s="136"/>
    </row>
    <row r="400" spans="1:66" ht="15.75" customHeight="1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  <c r="BF400" s="136"/>
      <c r="BG400" s="136"/>
      <c r="BH400" s="136"/>
      <c r="BI400" s="136"/>
      <c r="BJ400" s="136"/>
      <c r="BK400" s="136"/>
      <c r="BL400" s="136"/>
      <c r="BM400" s="136"/>
      <c r="BN400" s="136"/>
    </row>
    <row r="401" spans="1:66" ht="15.75" customHeight="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136"/>
      <c r="BD401" s="136"/>
      <c r="BE401" s="136"/>
      <c r="BF401" s="136"/>
      <c r="BG401" s="136"/>
      <c r="BH401" s="136"/>
      <c r="BI401" s="136"/>
      <c r="BJ401" s="136"/>
      <c r="BK401" s="136"/>
      <c r="BL401" s="136"/>
      <c r="BM401" s="136"/>
      <c r="BN401" s="136"/>
    </row>
    <row r="402" spans="1:66" ht="15.75" customHeight="1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136"/>
      <c r="AQ402" s="136"/>
      <c r="AR402" s="136"/>
      <c r="AS402" s="136"/>
      <c r="AT402" s="136"/>
      <c r="AU402" s="136"/>
      <c r="AV402" s="136"/>
      <c r="AW402" s="136"/>
      <c r="AX402" s="136"/>
      <c r="AY402" s="136"/>
      <c r="AZ402" s="136"/>
      <c r="BA402" s="136"/>
      <c r="BB402" s="136"/>
      <c r="BC402" s="136"/>
      <c r="BD402" s="136"/>
      <c r="BE402" s="136"/>
      <c r="BF402" s="136"/>
      <c r="BG402" s="136"/>
      <c r="BH402" s="136"/>
      <c r="BI402" s="136"/>
      <c r="BJ402" s="136"/>
      <c r="BK402" s="136"/>
      <c r="BL402" s="136"/>
      <c r="BM402" s="136"/>
      <c r="BN402" s="136"/>
    </row>
    <row r="403" spans="1:66" ht="15.75" customHeight="1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  <c r="BF403" s="136"/>
      <c r="BG403" s="136"/>
      <c r="BH403" s="136"/>
      <c r="BI403" s="136"/>
      <c r="BJ403" s="136"/>
      <c r="BK403" s="136"/>
      <c r="BL403" s="136"/>
      <c r="BM403" s="136"/>
      <c r="BN403" s="136"/>
    </row>
    <row r="404" spans="1:66" ht="15.75" customHeight="1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136"/>
      <c r="BD404" s="136"/>
      <c r="BE404" s="136"/>
      <c r="BF404" s="136"/>
      <c r="BG404" s="136"/>
      <c r="BH404" s="136"/>
      <c r="BI404" s="136"/>
      <c r="BJ404" s="136"/>
      <c r="BK404" s="136"/>
      <c r="BL404" s="136"/>
      <c r="BM404" s="136"/>
      <c r="BN404" s="136"/>
    </row>
    <row r="405" spans="1:66" ht="15.75" customHeight="1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136"/>
      <c r="BD405" s="136"/>
      <c r="BE405" s="136"/>
      <c r="BF405" s="136"/>
      <c r="BG405" s="136"/>
      <c r="BH405" s="136"/>
      <c r="BI405" s="136"/>
      <c r="BJ405" s="136"/>
      <c r="BK405" s="136"/>
      <c r="BL405" s="136"/>
      <c r="BM405" s="136"/>
      <c r="BN405" s="136"/>
    </row>
    <row r="406" spans="1:66" ht="15.75" customHeight="1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136"/>
      <c r="BD406" s="136"/>
      <c r="BE406" s="136"/>
      <c r="BF406" s="136"/>
      <c r="BG406" s="136"/>
      <c r="BH406" s="136"/>
      <c r="BI406" s="136"/>
      <c r="BJ406" s="136"/>
      <c r="BK406" s="136"/>
      <c r="BL406" s="136"/>
      <c r="BM406" s="136"/>
      <c r="BN406" s="136"/>
    </row>
    <row r="407" spans="1:66" ht="15.75" customHeight="1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136"/>
      <c r="BD407" s="136"/>
      <c r="BE407" s="136"/>
      <c r="BF407" s="136"/>
      <c r="BG407" s="136"/>
      <c r="BH407" s="136"/>
      <c r="BI407" s="136"/>
      <c r="BJ407" s="136"/>
      <c r="BK407" s="136"/>
      <c r="BL407" s="136"/>
      <c r="BM407" s="136"/>
      <c r="BN407" s="136"/>
    </row>
    <row r="408" spans="1:66" ht="15.75" customHeight="1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136"/>
      <c r="AQ408" s="136"/>
      <c r="AR408" s="136"/>
      <c r="AS408" s="136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136"/>
      <c r="BD408" s="136"/>
      <c r="BE408" s="136"/>
      <c r="BF408" s="136"/>
      <c r="BG408" s="136"/>
      <c r="BH408" s="136"/>
      <c r="BI408" s="136"/>
      <c r="BJ408" s="136"/>
      <c r="BK408" s="136"/>
      <c r="BL408" s="136"/>
      <c r="BM408" s="136"/>
      <c r="BN408" s="136"/>
    </row>
    <row r="409" spans="1:66" ht="15.75" customHeight="1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136"/>
      <c r="BH409" s="136"/>
      <c r="BI409" s="136"/>
      <c r="BJ409" s="136"/>
      <c r="BK409" s="136"/>
      <c r="BL409" s="136"/>
      <c r="BM409" s="136"/>
      <c r="BN409" s="136"/>
    </row>
    <row r="410" spans="1:66" ht="15.75" customHeight="1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136"/>
      <c r="BD410" s="136"/>
      <c r="BE410" s="136"/>
      <c r="BF410" s="136"/>
      <c r="BG410" s="136"/>
      <c r="BH410" s="136"/>
      <c r="BI410" s="136"/>
      <c r="BJ410" s="136"/>
      <c r="BK410" s="136"/>
      <c r="BL410" s="136"/>
      <c r="BM410" s="136"/>
      <c r="BN410" s="136"/>
    </row>
    <row r="411" spans="1:66" ht="15.75" customHeight="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136"/>
      <c r="BD411" s="136"/>
      <c r="BE411" s="136"/>
      <c r="BF411" s="136"/>
      <c r="BG411" s="136"/>
      <c r="BH411" s="136"/>
      <c r="BI411" s="136"/>
      <c r="BJ411" s="136"/>
      <c r="BK411" s="136"/>
      <c r="BL411" s="136"/>
      <c r="BM411" s="136"/>
      <c r="BN411" s="136"/>
    </row>
    <row r="412" spans="1:66" ht="15.75" customHeight="1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  <c r="BE412" s="136"/>
      <c r="BF412" s="136"/>
      <c r="BG412" s="136"/>
      <c r="BH412" s="136"/>
      <c r="BI412" s="136"/>
      <c r="BJ412" s="136"/>
      <c r="BK412" s="136"/>
      <c r="BL412" s="136"/>
      <c r="BM412" s="136"/>
      <c r="BN412" s="136"/>
    </row>
    <row r="413" spans="1:66" ht="15.75" customHeight="1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136"/>
      <c r="BD413" s="136"/>
      <c r="BE413" s="136"/>
      <c r="BF413" s="136"/>
      <c r="BG413" s="136"/>
      <c r="BH413" s="136"/>
      <c r="BI413" s="136"/>
      <c r="BJ413" s="136"/>
      <c r="BK413" s="136"/>
      <c r="BL413" s="136"/>
      <c r="BM413" s="136"/>
      <c r="BN413" s="136"/>
    </row>
    <row r="414" spans="1:66" ht="15.75" customHeight="1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136"/>
      <c r="AQ414" s="136"/>
      <c r="AR414" s="136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136"/>
      <c r="BD414" s="136"/>
      <c r="BE414" s="136"/>
      <c r="BF414" s="136"/>
      <c r="BG414" s="136"/>
      <c r="BH414" s="136"/>
      <c r="BI414" s="136"/>
      <c r="BJ414" s="136"/>
      <c r="BK414" s="136"/>
      <c r="BL414" s="136"/>
      <c r="BM414" s="136"/>
      <c r="BN414" s="136"/>
    </row>
    <row r="415" spans="1:66" ht="15.75" customHeight="1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136"/>
      <c r="BD415" s="136"/>
      <c r="BE415" s="136"/>
      <c r="BF415" s="136"/>
      <c r="BG415" s="136"/>
      <c r="BH415" s="136"/>
      <c r="BI415" s="136"/>
      <c r="BJ415" s="136"/>
      <c r="BK415" s="136"/>
      <c r="BL415" s="136"/>
      <c r="BM415" s="136"/>
      <c r="BN415" s="136"/>
    </row>
    <row r="416" spans="1:66" ht="15.75" customHeight="1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136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136"/>
      <c r="BD416" s="136"/>
      <c r="BE416" s="136"/>
      <c r="BF416" s="136"/>
      <c r="BG416" s="136"/>
      <c r="BH416" s="136"/>
      <c r="BI416" s="136"/>
      <c r="BJ416" s="136"/>
      <c r="BK416" s="136"/>
      <c r="BL416" s="136"/>
      <c r="BM416" s="136"/>
      <c r="BN416" s="136"/>
    </row>
    <row r="417" spans="1:66" ht="15.75" customHeight="1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136"/>
      <c r="AQ417" s="136"/>
      <c r="AR417" s="136"/>
      <c r="AS417" s="136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136"/>
      <c r="BD417" s="136"/>
      <c r="BE417" s="136"/>
      <c r="BF417" s="136"/>
      <c r="BG417" s="136"/>
      <c r="BH417" s="136"/>
      <c r="BI417" s="136"/>
      <c r="BJ417" s="136"/>
      <c r="BK417" s="136"/>
      <c r="BL417" s="136"/>
      <c r="BM417" s="136"/>
      <c r="BN417" s="136"/>
    </row>
    <row r="418" spans="1:66" ht="15.75" customHeight="1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136"/>
      <c r="BD418" s="136"/>
      <c r="BE418" s="136"/>
      <c r="BF418" s="136"/>
      <c r="BG418" s="136"/>
      <c r="BH418" s="136"/>
      <c r="BI418" s="136"/>
      <c r="BJ418" s="136"/>
      <c r="BK418" s="136"/>
      <c r="BL418" s="136"/>
      <c r="BM418" s="136"/>
      <c r="BN418" s="136"/>
    </row>
    <row r="419" spans="1:66" ht="15.75" customHeight="1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136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136"/>
      <c r="BD419" s="136"/>
      <c r="BE419" s="136"/>
      <c r="BF419" s="136"/>
      <c r="BG419" s="136"/>
      <c r="BH419" s="136"/>
      <c r="BI419" s="136"/>
      <c r="BJ419" s="136"/>
      <c r="BK419" s="136"/>
      <c r="BL419" s="136"/>
      <c r="BM419" s="136"/>
      <c r="BN419" s="136"/>
    </row>
    <row r="420" spans="1:66" ht="15.75" customHeight="1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136"/>
      <c r="AQ420" s="136"/>
      <c r="AR420" s="136"/>
      <c r="AS420" s="136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136"/>
      <c r="BD420" s="136"/>
      <c r="BE420" s="136"/>
      <c r="BF420" s="136"/>
      <c r="BG420" s="136"/>
      <c r="BH420" s="136"/>
      <c r="BI420" s="136"/>
      <c r="BJ420" s="136"/>
      <c r="BK420" s="136"/>
      <c r="BL420" s="136"/>
      <c r="BM420" s="136"/>
      <c r="BN420" s="136"/>
    </row>
    <row r="421" spans="1:66" ht="15.75" customHeight="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136"/>
      <c r="BD421" s="136"/>
      <c r="BE421" s="136"/>
      <c r="BF421" s="136"/>
      <c r="BG421" s="136"/>
      <c r="BH421" s="136"/>
      <c r="BI421" s="136"/>
      <c r="BJ421" s="136"/>
      <c r="BK421" s="136"/>
      <c r="BL421" s="136"/>
      <c r="BM421" s="136"/>
      <c r="BN421" s="136"/>
    </row>
    <row r="422" spans="1:66" ht="15.75" customHeight="1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136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136"/>
      <c r="BD422" s="136"/>
      <c r="BE422" s="136"/>
      <c r="BF422" s="136"/>
      <c r="BG422" s="136"/>
      <c r="BH422" s="136"/>
      <c r="BI422" s="136"/>
      <c r="BJ422" s="136"/>
      <c r="BK422" s="136"/>
      <c r="BL422" s="136"/>
      <c r="BM422" s="136"/>
      <c r="BN422" s="136"/>
    </row>
    <row r="423" spans="1:66" ht="15.75" customHeight="1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  <c r="AR423" s="136"/>
      <c r="AS423" s="136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136"/>
      <c r="BD423" s="136"/>
      <c r="BE423" s="136"/>
      <c r="BF423" s="136"/>
      <c r="BG423" s="136"/>
      <c r="BH423" s="136"/>
      <c r="BI423" s="136"/>
      <c r="BJ423" s="136"/>
      <c r="BK423" s="136"/>
      <c r="BL423" s="136"/>
      <c r="BM423" s="136"/>
      <c r="BN423" s="136"/>
    </row>
    <row r="424" spans="1:66" ht="15.75" customHeight="1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  <c r="BE424" s="136"/>
      <c r="BF424" s="136"/>
      <c r="BG424" s="136"/>
      <c r="BH424" s="136"/>
      <c r="BI424" s="136"/>
      <c r="BJ424" s="136"/>
      <c r="BK424" s="136"/>
      <c r="BL424" s="136"/>
      <c r="BM424" s="136"/>
      <c r="BN424" s="136"/>
    </row>
    <row r="425" spans="1:66" ht="15.75" customHeight="1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136"/>
      <c r="BD425" s="136"/>
      <c r="BE425" s="136"/>
      <c r="BF425" s="136"/>
      <c r="BG425" s="136"/>
      <c r="BH425" s="136"/>
      <c r="BI425" s="136"/>
      <c r="BJ425" s="136"/>
      <c r="BK425" s="136"/>
      <c r="BL425" s="136"/>
      <c r="BM425" s="136"/>
      <c r="BN425" s="136"/>
    </row>
    <row r="426" spans="1:66" ht="15.75" customHeight="1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136"/>
      <c r="BD426" s="136"/>
      <c r="BE426" s="136"/>
      <c r="BF426" s="136"/>
      <c r="BG426" s="136"/>
      <c r="BH426" s="136"/>
      <c r="BI426" s="136"/>
      <c r="BJ426" s="136"/>
      <c r="BK426" s="136"/>
      <c r="BL426" s="136"/>
      <c r="BM426" s="136"/>
      <c r="BN426" s="136"/>
    </row>
    <row r="427" spans="1:66" ht="15.75" customHeight="1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136"/>
      <c r="BD427" s="136"/>
      <c r="BE427" s="136"/>
      <c r="BF427" s="136"/>
      <c r="BG427" s="136"/>
      <c r="BH427" s="136"/>
      <c r="BI427" s="136"/>
      <c r="BJ427" s="136"/>
      <c r="BK427" s="136"/>
      <c r="BL427" s="136"/>
      <c r="BM427" s="136"/>
      <c r="BN427" s="136"/>
    </row>
    <row r="428" spans="1:66" ht="15.75" customHeight="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136"/>
      <c r="BD428" s="136"/>
      <c r="BE428" s="136"/>
      <c r="BF428" s="136"/>
      <c r="BG428" s="136"/>
      <c r="BH428" s="136"/>
      <c r="BI428" s="136"/>
      <c r="BJ428" s="136"/>
      <c r="BK428" s="136"/>
      <c r="BL428" s="136"/>
      <c r="BM428" s="136"/>
      <c r="BN428" s="136"/>
    </row>
    <row r="429" spans="1:66" ht="15.75" customHeight="1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136"/>
      <c r="AQ429" s="136"/>
      <c r="AR429" s="136"/>
      <c r="AS429" s="136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136"/>
      <c r="BD429" s="136"/>
      <c r="BE429" s="136"/>
      <c r="BF429" s="136"/>
      <c r="BG429" s="136"/>
      <c r="BH429" s="136"/>
      <c r="BI429" s="136"/>
      <c r="BJ429" s="136"/>
      <c r="BK429" s="136"/>
      <c r="BL429" s="136"/>
      <c r="BM429" s="136"/>
      <c r="BN429" s="136"/>
    </row>
    <row r="430" spans="1:66" ht="15.75" customHeight="1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136"/>
      <c r="AU430" s="136"/>
      <c r="AV430" s="136"/>
      <c r="AW430" s="136"/>
      <c r="AX430" s="136"/>
      <c r="AY430" s="136"/>
      <c r="AZ430" s="136"/>
      <c r="BA430" s="136"/>
      <c r="BB430" s="136"/>
      <c r="BC430" s="136"/>
      <c r="BD430" s="136"/>
      <c r="BE430" s="136"/>
      <c r="BF430" s="136"/>
      <c r="BG430" s="136"/>
      <c r="BH430" s="136"/>
      <c r="BI430" s="136"/>
      <c r="BJ430" s="136"/>
      <c r="BK430" s="136"/>
      <c r="BL430" s="136"/>
      <c r="BM430" s="136"/>
      <c r="BN430" s="136"/>
    </row>
    <row r="431" spans="1:66" ht="15.75" customHeight="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136"/>
      <c r="BD431" s="136"/>
      <c r="BE431" s="136"/>
      <c r="BF431" s="136"/>
      <c r="BG431" s="136"/>
      <c r="BH431" s="136"/>
      <c r="BI431" s="136"/>
      <c r="BJ431" s="136"/>
      <c r="BK431" s="136"/>
      <c r="BL431" s="136"/>
      <c r="BM431" s="136"/>
      <c r="BN431" s="136"/>
    </row>
    <row r="432" spans="1:66" ht="15.75" customHeight="1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136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136"/>
      <c r="BD432" s="136"/>
      <c r="BE432" s="136"/>
      <c r="BF432" s="136"/>
      <c r="BG432" s="136"/>
      <c r="BH432" s="136"/>
      <c r="BI432" s="136"/>
      <c r="BJ432" s="136"/>
      <c r="BK432" s="136"/>
      <c r="BL432" s="136"/>
      <c r="BM432" s="136"/>
      <c r="BN432" s="136"/>
    </row>
    <row r="433" spans="1:66" ht="15.75" customHeight="1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136"/>
      <c r="BD433" s="136"/>
      <c r="BE433" s="136"/>
      <c r="BF433" s="136"/>
      <c r="BG433" s="136"/>
      <c r="BH433" s="136"/>
      <c r="BI433" s="136"/>
      <c r="BJ433" s="136"/>
      <c r="BK433" s="136"/>
      <c r="BL433" s="136"/>
      <c r="BM433" s="136"/>
      <c r="BN433" s="136"/>
    </row>
    <row r="434" spans="1:66" ht="15.75" customHeight="1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136"/>
      <c r="AS434" s="136"/>
      <c r="AT434" s="136"/>
      <c r="AU434" s="136"/>
      <c r="AV434" s="136"/>
      <c r="AW434" s="136"/>
      <c r="AX434" s="136"/>
      <c r="AY434" s="136"/>
      <c r="AZ434" s="136"/>
      <c r="BA434" s="136"/>
      <c r="BB434" s="136"/>
      <c r="BC434" s="136"/>
      <c r="BD434" s="136"/>
      <c r="BE434" s="136"/>
      <c r="BF434" s="136"/>
      <c r="BG434" s="136"/>
      <c r="BH434" s="136"/>
      <c r="BI434" s="136"/>
      <c r="BJ434" s="136"/>
      <c r="BK434" s="136"/>
      <c r="BL434" s="136"/>
      <c r="BM434" s="136"/>
      <c r="BN434" s="136"/>
    </row>
    <row r="435" spans="1:66" ht="15.75" customHeight="1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136"/>
      <c r="AQ435" s="136"/>
      <c r="AR435" s="136"/>
      <c r="AS435" s="136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136"/>
      <c r="BD435" s="136"/>
      <c r="BE435" s="136"/>
      <c r="BF435" s="136"/>
      <c r="BG435" s="136"/>
      <c r="BH435" s="136"/>
      <c r="BI435" s="136"/>
      <c r="BJ435" s="136"/>
      <c r="BK435" s="136"/>
      <c r="BL435" s="136"/>
      <c r="BM435" s="136"/>
      <c r="BN435" s="136"/>
    </row>
    <row r="436" spans="1:66" ht="15.75" customHeight="1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136"/>
      <c r="BD436" s="136"/>
      <c r="BE436" s="136"/>
      <c r="BF436" s="136"/>
      <c r="BG436" s="136"/>
      <c r="BH436" s="136"/>
      <c r="BI436" s="136"/>
      <c r="BJ436" s="136"/>
      <c r="BK436" s="136"/>
      <c r="BL436" s="136"/>
      <c r="BM436" s="136"/>
      <c r="BN436" s="136"/>
    </row>
    <row r="437" spans="1:66" ht="15.75" customHeight="1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136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136"/>
      <c r="BD437" s="136"/>
      <c r="BE437" s="136"/>
      <c r="BF437" s="136"/>
      <c r="BG437" s="136"/>
      <c r="BH437" s="136"/>
      <c r="BI437" s="136"/>
      <c r="BJ437" s="136"/>
      <c r="BK437" s="136"/>
      <c r="BL437" s="136"/>
      <c r="BM437" s="136"/>
      <c r="BN437" s="136"/>
    </row>
    <row r="438" spans="1:66" ht="15.75" customHeight="1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136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136"/>
      <c r="BD438" s="136"/>
      <c r="BE438" s="136"/>
      <c r="BF438" s="136"/>
      <c r="BG438" s="136"/>
      <c r="BH438" s="136"/>
      <c r="BI438" s="136"/>
      <c r="BJ438" s="136"/>
      <c r="BK438" s="136"/>
      <c r="BL438" s="136"/>
      <c r="BM438" s="136"/>
      <c r="BN438" s="136"/>
    </row>
    <row r="439" spans="1:66" ht="15.75" customHeight="1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136"/>
      <c r="BD439" s="136"/>
      <c r="BE439" s="136"/>
      <c r="BF439" s="136"/>
      <c r="BG439" s="136"/>
      <c r="BH439" s="136"/>
      <c r="BI439" s="136"/>
      <c r="BJ439" s="136"/>
      <c r="BK439" s="136"/>
      <c r="BL439" s="136"/>
      <c r="BM439" s="136"/>
      <c r="BN439" s="136"/>
    </row>
    <row r="440" spans="1:66" ht="15.75" customHeight="1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136"/>
      <c r="BD440" s="136"/>
      <c r="BE440" s="136"/>
      <c r="BF440" s="136"/>
      <c r="BG440" s="136"/>
      <c r="BH440" s="136"/>
      <c r="BI440" s="136"/>
      <c r="BJ440" s="136"/>
      <c r="BK440" s="136"/>
      <c r="BL440" s="136"/>
      <c r="BM440" s="136"/>
      <c r="BN440" s="136"/>
    </row>
    <row r="441" spans="1:66" ht="15.75" customHeight="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136"/>
      <c r="AQ441" s="136"/>
      <c r="AR441" s="136"/>
      <c r="AS441" s="136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136"/>
      <c r="BD441" s="136"/>
      <c r="BE441" s="136"/>
      <c r="BF441" s="136"/>
      <c r="BG441" s="136"/>
      <c r="BH441" s="136"/>
      <c r="BI441" s="136"/>
      <c r="BJ441" s="136"/>
      <c r="BK441" s="136"/>
      <c r="BL441" s="136"/>
      <c r="BM441" s="136"/>
      <c r="BN441" s="136"/>
    </row>
    <row r="442" spans="1:66" ht="15.75" customHeight="1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136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136"/>
      <c r="BD442" s="136"/>
      <c r="BE442" s="136"/>
      <c r="BF442" s="136"/>
      <c r="BG442" s="136"/>
      <c r="BH442" s="136"/>
      <c r="BI442" s="136"/>
      <c r="BJ442" s="136"/>
      <c r="BK442" s="136"/>
      <c r="BL442" s="136"/>
      <c r="BM442" s="136"/>
      <c r="BN442" s="136"/>
    </row>
    <row r="443" spans="1:66" ht="15.75" customHeight="1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136"/>
      <c r="BD443" s="136"/>
      <c r="BE443" s="136"/>
      <c r="BF443" s="136"/>
      <c r="BG443" s="136"/>
      <c r="BH443" s="136"/>
      <c r="BI443" s="136"/>
      <c r="BJ443" s="136"/>
      <c r="BK443" s="136"/>
      <c r="BL443" s="136"/>
      <c r="BM443" s="136"/>
      <c r="BN443" s="136"/>
    </row>
    <row r="444" spans="1:66" ht="15.75" customHeight="1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136"/>
      <c r="AS444" s="136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136"/>
      <c r="BD444" s="136"/>
      <c r="BE444" s="136"/>
      <c r="BF444" s="136"/>
      <c r="BG444" s="136"/>
      <c r="BH444" s="136"/>
      <c r="BI444" s="136"/>
      <c r="BJ444" s="136"/>
      <c r="BK444" s="136"/>
      <c r="BL444" s="136"/>
      <c r="BM444" s="136"/>
      <c r="BN444" s="136"/>
    </row>
    <row r="445" spans="1:66" ht="15.75" customHeight="1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136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136"/>
      <c r="BD445" s="136"/>
      <c r="BE445" s="136"/>
      <c r="BF445" s="136"/>
      <c r="BG445" s="136"/>
      <c r="BH445" s="136"/>
      <c r="BI445" s="136"/>
      <c r="BJ445" s="136"/>
      <c r="BK445" s="136"/>
      <c r="BL445" s="136"/>
      <c r="BM445" s="136"/>
      <c r="BN445" s="136"/>
    </row>
    <row r="446" spans="1:66" ht="15.75" customHeight="1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136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136"/>
      <c r="BD446" s="136"/>
      <c r="BE446" s="136"/>
      <c r="BF446" s="136"/>
      <c r="BG446" s="136"/>
      <c r="BH446" s="136"/>
      <c r="BI446" s="136"/>
      <c r="BJ446" s="136"/>
      <c r="BK446" s="136"/>
      <c r="BL446" s="136"/>
      <c r="BM446" s="136"/>
      <c r="BN446" s="136"/>
    </row>
    <row r="447" spans="1:66" ht="15.75" customHeight="1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136"/>
      <c r="AQ447" s="136"/>
      <c r="AR447" s="136"/>
      <c r="AS447" s="136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136"/>
      <c r="BD447" s="136"/>
      <c r="BE447" s="136"/>
      <c r="BF447" s="136"/>
      <c r="BG447" s="136"/>
      <c r="BH447" s="136"/>
      <c r="BI447" s="136"/>
      <c r="BJ447" s="136"/>
      <c r="BK447" s="136"/>
      <c r="BL447" s="136"/>
      <c r="BM447" s="136"/>
      <c r="BN447" s="136"/>
    </row>
    <row r="448" spans="1:66" ht="15.75" customHeight="1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136"/>
      <c r="BD448" s="136"/>
      <c r="BE448" s="136"/>
      <c r="BF448" s="136"/>
      <c r="BG448" s="136"/>
      <c r="BH448" s="136"/>
      <c r="BI448" s="136"/>
      <c r="BJ448" s="136"/>
      <c r="BK448" s="136"/>
      <c r="BL448" s="136"/>
      <c r="BM448" s="136"/>
      <c r="BN448" s="136"/>
    </row>
    <row r="449" spans="1:66" ht="15.75" customHeight="1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136"/>
      <c r="BD449" s="136"/>
      <c r="BE449" s="136"/>
      <c r="BF449" s="136"/>
      <c r="BG449" s="136"/>
      <c r="BH449" s="136"/>
      <c r="BI449" s="136"/>
      <c r="BJ449" s="136"/>
      <c r="BK449" s="136"/>
      <c r="BL449" s="136"/>
      <c r="BM449" s="136"/>
      <c r="BN449" s="136"/>
    </row>
    <row r="450" spans="1:66" ht="15.75" customHeight="1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136"/>
      <c r="AQ450" s="136"/>
      <c r="AR450" s="136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136"/>
      <c r="BD450" s="136"/>
      <c r="BE450" s="136"/>
      <c r="BF450" s="136"/>
      <c r="BG450" s="136"/>
      <c r="BH450" s="136"/>
      <c r="BI450" s="136"/>
      <c r="BJ450" s="136"/>
      <c r="BK450" s="136"/>
      <c r="BL450" s="136"/>
      <c r="BM450" s="136"/>
      <c r="BN450" s="136"/>
    </row>
    <row r="451" spans="1:66" ht="15.75" customHeight="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136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136"/>
      <c r="BD451" s="136"/>
      <c r="BE451" s="136"/>
      <c r="BF451" s="136"/>
      <c r="BG451" s="136"/>
      <c r="BH451" s="136"/>
      <c r="BI451" s="136"/>
      <c r="BJ451" s="136"/>
      <c r="BK451" s="136"/>
      <c r="BL451" s="136"/>
      <c r="BM451" s="136"/>
      <c r="BN451" s="136"/>
    </row>
    <row r="452" spans="1:66" ht="15.75" customHeight="1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136"/>
      <c r="BD452" s="136"/>
      <c r="BE452" s="136"/>
      <c r="BF452" s="136"/>
      <c r="BG452" s="136"/>
      <c r="BH452" s="136"/>
      <c r="BI452" s="136"/>
      <c r="BJ452" s="136"/>
      <c r="BK452" s="136"/>
      <c r="BL452" s="136"/>
      <c r="BM452" s="136"/>
      <c r="BN452" s="136"/>
    </row>
    <row r="453" spans="1:66" ht="15.75" customHeight="1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136"/>
      <c r="AQ453" s="136"/>
      <c r="AR453" s="136"/>
      <c r="AS453" s="136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136"/>
      <c r="BD453" s="136"/>
      <c r="BE453" s="136"/>
      <c r="BF453" s="136"/>
      <c r="BG453" s="136"/>
      <c r="BH453" s="136"/>
      <c r="BI453" s="136"/>
      <c r="BJ453" s="136"/>
      <c r="BK453" s="136"/>
      <c r="BL453" s="136"/>
      <c r="BM453" s="136"/>
      <c r="BN453" s="136"/>
    </row>
    <row r="454" spans="1:66" ht="15.75" customHeight="1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136"/>
      <c r="BD454" s="136"/>
      <c r="BE454" s="136"/>
      <c r="BF454" s="136"/>
      <c r="BG454" s="136"/>
      <c r="BH454" s="136"/>
      <c r="BI454" s="136"/>
      <c r="BJ454" s="136"/>
      <c r="BK454" s="136"/>
      <c r="BL454" s="136"/>
      <c r="BM454" s="136"/>
      <c r="BN454" s="136"/>
    </row>
    <row r="455" spans="1:66" ht="15.75" customHeight="1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136"/>
      <c r="BD455" s="136"/>
      <c r="BE455" s="136"/>
      <c r="BF455" s="136"/>
      <c r="BG455" s="136"/>
      <c r="BH455" s="136"/>
      <c r="BI455" s="136"/>
      <c r="BJ455" s="136"/>
      <c r="BK455" s="136"/>
      <c r="BL455" s="136"/>
      <c r="BM455" s="136"/>
      <c r="BN455" s="136"/>
    </row>
    <row r="456" spans="1:66" ht="15.75" customHeight="1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  <c r="BE456" s="136"/>
      <c r="BF456" s="136"/>
      <c r="BG456" s="136"/>
      <c r="BH456" s="136"/>
      <c r="BI456" s="136"/>
      <c r="BJ456" s="136"/>
      <c r="BK456" s="136"/>
      <c r="BL456" s="136"/>
      <c r="BM456" s="136"/>
      <c r="BN456" s="136"/>
    </row>
    <row r="457" spans="1:66" ht="15.75" customHeight="1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136"/>
      <c r="BD457" s="136"/>
      <c r="BE457" s="136"/>
      <c r="BF457" s="136"/>
      <c r="BG457" s="136"/>
      <c r="BH457" s="136"/>
      <c r="BI457" s="136"/>
      <c r="BJ457" s="136"/>
      <c r="BK457" s="136"/>
      <c r="BL457" s="136"/>
      <c r="BM457" s="136"/>
      <c r="BN457" s="136"/>
    </row>
    <row r="458" spans="1:66" ht="15.75" customHeight="1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136"/>
      <c r="BD458" s="136"/>
      <c r="BE458" s="136"/>
      <c r="BF458" s="136"/>
      <c r="BG458" s="136"/>
      <c r="BH458" s="136"/>
      <c r="BI458" s="136"/>
      <c r="BJ458" s="136"/>
      <c r="BK458" s="136"/>
      <c r="BL458" s="136"/>
      <c r="BM458" s="136"/>
      <c r="BN458" s="136"/>
    </row>
    <row r="459" spans="1:66" ht="15.75" customHeight="1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136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136"/>
      <c r="BD459" s="136"/>
      <c r="BE459" s="136"/>
      <c r="BF459" s="136"/>
      <c r="BG459" s="136"/>
      <c r="BH459" s="136"/>
      <c r="BI459" s="136"/>
      <c r="BJ459" s="136"/>
      <c r="BK459" s="136"/>
      <c r="BL459" s="136"/>
      <c r="BM459" s="136"/>
      <c r="BN459" s="136"/>
    </row>
    <row r="460" spans="1:66" ht="15.75" customHeight="1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136"/>
      <c r="BD460" s="136"/>
      <c r="BE460" s="136"/>
      <c r="BF460" s="136"/>
      <c r="BG460" s="136"/>
      <c r="BH460" s="136"/>
      <c r="BI460" s="136"/>
      <c r="BJ460" s="136"/>
      <c r="BK460" s="136"/>
      <c r="BL460" s="136"/>
      <c r="BM460" s="136"/>
      <c r="BN460" s="136"/>
    </row>
    <row r="461" spans="1:66" ht="15.75" customHeight="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136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136"/>
      <c r="BD461" s="136"/>
      <c r="BE461" s="136"/>
      <c r="BF461" s="136"/>
      <c r="BG461" s="136"/>
      <c r="BH461" s="136"/>
      <c r="BI461" s="136"/>
      <c r="BJ461" s="136"/>
      <c r="BK461" s="136"/>
      <c r="BL461" s="136"/>
      <c r="BM461" s="136"/>
      <c r="BN461" s="136"/>
    </row>
    <row r="462" spans="1:66" ht="15.75" customHeight="1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136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136"/>
      <c r="BD462" s="136"/>
      <c r="BE462" s="136"/>
      <c r="BF462" s="136"/>
      <c r="BG462" s="136"/>
      <c r="BH462" s="136"/>
      <c r="BI462" s="136"/>
      <c r="BJ462" s="136"/>
      <c r="BK462" s="136"/>
      <c r="BL462" s="136"/>
      <c r="BM462" s="136"/>
      <c r="BN462" s="136"/>
    </row>
    <row r="463" spans="1:66" ht="15.75" customHeight="1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136"/>
      <c r="BD463" s="136"/>
      <c r="BE463" s="136"/>
      <c r="BF463" s="136"/>
      <c r="BG463" s="136"/>
      <c r="BH463" s="136"/>
      <c r="BI463" s="136"/>
      <c r="BJ463" s="136"/>
      <c r="BK463" s="136"/>
      <c r="BL463" s="136"/>
      <c r="BM463" s="136"/>
      <c r="BN463" s="136"/>
    </row>
    <row r="464" spans="1:66" ht="15.75" customHeight="1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136"/>
      <c r="BD464" s="136"/>
      <c r="BE464" s="136"/>
      <c r="BF464" s="136"/>
      <c r="BG464" s="136"/>
      <c r="BH464" s="136"/>
      <c r="BI464" s="136"/>
      <c r="BJ464" s="136"/>
      <c r="BK464" s="136"/>
      <c r="BL464" s="136"/>
      <c r="BM464" s="136"/>
      <c r="BN464" s="136"/>
    </row>
    <row r="465" spans="1:66" ht="15.75" customHeight="1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136"/>
      <c r="AQ465" s="136"/>
      <c r="AR465" s="136"/>
      <c r="AS465" s="136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136"/>
      <c r="BD465" s="136"/>
      <c r="BE465" s="136"/>
      <c r="BF465" s="136"/>
      <c r="BG465" s="136"/>
      <c r="BH465" s="136"/>
      <c r="BI465" s="136"/>
      <c r="BJ465" s="136"/>
      <c r="BK465" s="136"/>
      <c r="BL465" s="136"/>
      <c r="BM465" s="136"/>
      <c r="BN465" s="136"/>
    </row>
    <row r="466" spans="1:66" ht="15.75" customHeight="1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136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136"/>
      <c r="BD466" s="136"/>
      <c r="BE466" s="136"/>
      <c r="BF466" s="136"/>
      <c r="BG466" s="136"/>
      <c r="BH466" s="136"/>
      <c r="BI466" s="136"/>
      <c r="BJ466" s="136"/>
      <c r="BK466" s="136"/>
      <c r="BL466" s="136"/>
      <c r="BM466" s="136"/>
      <c r="BN466" s="136"/>
    </row>
    <row r="467" spans="1:66" ht="15.75" customHeight="1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136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136"/>
      <c r="BD467" s="136"/>
      <c r="BE467" s="136"/>
      <c r="BF467" s="136"/>
      <c r="BG467" s="136"/>
      <c r="BH467" s="136"/>
      <c r="BI467" s="136"/>
      <c r="BJ467" s="136"/>
      <c r="BK467" s="136"/>
      <c r="BL467" s="136"/>
      <c r="BM467" s="136"/>
      <c r="BN467" s="136"/>
    </row>
    <row r="468" spans="1:66" ht="15.75" customHeight="1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136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136"/>
      <c r="BD468" s="136"/>
      <c r="BE468" s="136"/>
      <c r="BF468" s="136"/>
      <c r="BG468" s="136"/>
      <c r="BH468" s="136"/>
      <c r="BI468" s="136"/>
      <c r="BJ468" s="136"/>
      <c r="BK468" s="136"/>
      <c r="BL468" s="136"/>
      <c r="BM468" s="136"/>
      <c r="BN468" s="136"/>
    </row>
    <row r="469" spans="1:66" ht="15.75" customHeight="1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136"/>
      <c r="BD469" s="136"/>
      <c r="BE469" s="136"/>
      <c r="BF469" s="136"/>
      <c r="BG469" s="136"/>
      <c r="BH469" s="136"/>
      <c r="BI469" s="136"/>
      <c r="BJ469" s="136"/>
      <c r="BK469" s="136"/>
      <c r="BL469" s="136"/>
      <c r="BM469" s="136"/>
      <c r="BN469" s="136"/>
    </row>
    <row r="470" spans="1:66" ht="15.75" customHeight="1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136"/>
      <c r="BD470" s="136"/>
      <c r="BE470" s="136"/>
      <c r="BF470" s="136"/>
      <c r="BG470" s="136"/>
      <c r="BH470" s="136"/>
      <c r="BI470" s="136"/>
      <c r="BJ470" s="136"/>
      <c r="BK470" s="136"/>
      <c r="BL470" s="136"/>
      <c r="BM470" s="136"/>
      <c r="BN470" s="136"/>
    </row>
    <row r="471" spans="1:66" ht="15.75" customHeight="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136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136"/>
      <c r="BD471" s="136"/>
      <c r="BE471" s="136"/>
      <c r="BF471" s="136"/>
      <c r="BG471" s="136"/>
      <c r="BH471" s="136"/>
      <c r="BI471" s="136"/>
      <c r="BJ471" s="136"/>
      <c r="BK471" s="136"/>
      <c r="BL471" s="136"/>
      <c r="BM471" s="136"/>
      <c r="BN471" s="136"/>
    </row>
    <row r="472" spans="1:66" ht="15.75" customHeight="1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136"/>
      <c r="BD472" s="136"/>
      <c r="BE472" s="136"/>
      <c r="BF472" s="136"/>
      <c r="BG472" s="136"/>
      <c r="BH472" s="136"/>
      <c r="BI472" s="136"/>
      <c r="BJ472" s="136"/>
      <c r="BK472" s="136"/>
      <c r="BL472" s="136"/>
      <c r="BM472" s="136"/>
      <c r="BN472" s="136"/>
    </row>
    <row r="473" spans="1:66" ht="15.75" customHeight="1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136"/>
      <c r="BD473" s="136"/>
      <c r="BE473" s="136"/>
      <c r="BF473" s="136"/>
      <c r="BG473" s="136"/>
      <c r="BH473" s="136"/>
      <c r="BI473" s="136"/>
      <c r="BJ473" s="136"/>
      <c r="BK473" s="136"/>
      <c r="BL473" s="136"/>
      <c r="BM473" s="136"/>
      <c r="BN473" s="136"/>
    </row>
    <row r="474" spans="1:66" ht="15.75" customHeight="1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136"/>
      <c r="AQ474" s="136"/>
      <c r="AR474" s="136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136"/>
      <c r="BD474" s="136"/>
      <c r="BE474" s="136"/>
      <c r="BF474" s="136"/>
      <c r="BG474" s="136"/>
      <c r="BH474" s="136"/>
      <c r="BI474" s="136"/>
      <c r="BJ474" s="136"/>
      <c r="BK474" s="136"/>
      <c r="BL474" s="136"/>
      <c r="BM474" s="136"/>
      <c r="BN474" s="136"/>
    </row>
    <row r="475" spans="1:66" ht="15.75" customHeight="1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136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136"/>
      <c r="BD475" s="136"/>
      <c r="BE475" s="136"/>
      <c r="BF475" s="136"/>
      <c r="BG475" s="136"/>
      <c r="BH475" s="136"/>
      <c r="BI475" s="136"/>
      <c r="BJ475" s="136"/>
      <c r="BK475" s="136"/>
      <c r="BL475" s="136"/>
      <c r="BM475" s="136"/>
      <c r="BN475" s="136"/>
    </row>
    <row r="476" spans="1:66" ht="15.75" customHeight="1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136"/>
      <c r="BD476" s="136"/>
      <c r="BE476" s="136"/>
      <c r="BF476" s="136"/>
      <c r="BG476" s="136"/>
      <c r="BH476" s="136"/>
      <c r="BI476" s="136"/>
      <c r="BJ476" s="136"/>
      <c r="BK476" s="136"/>
      <c r="BL476" s="136"/>
      <c r="BM476" s="136"/>
      <c r="BN476" s="136"/>
    </row>
    <row r="477" spans="1:66" ht="15.75" customHeight="1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136"/>
      <c r="AQ477" s="136"/>
      <c r="AR477" s="136"/>
      <c r="AS477" s="136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136"/>
      <c r="BD477" s="136"/>
      <c r="BE477" s="136"/>
      <c r="BF477" s="136"/>
      <c r="BG477" s="136"/>
      <c r="BH477" s="136"/>
      <c r="BI477" s="136"/>
      <c r="BJ477" s="136"/>
      <c r="BK477" s="136"/>
      <c r="BL477" s="136"/>
      <c r="BM477" s="136"/>
      <c r="BN477" s="136"/>
    </row>
    <row r="478" spans="1:66" ht="15.75" customHeight="1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136"/>
      <c r="BD478" s="136"/>
      <c r="BE478" s="136"/>
      <c r="BF478" s="136"/>
      <c r="BG478" s="136"/>
      <c r="BH478" s="136"/>
      <c r="BI478" s="136"/>
      <c r="BJ478" s="136"/>
      <c r="BK478" s="136"/>
      <c r="BL478" s="136"/>
      <c r="BM478" s="136"/>
      <c r="BN478" s="136"/>
    </row>
    <row r="479" spans="1:66" ht="15.75" customHeight="1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136"/>
      <c r="BD479" s="136"/>
      <c r="BE479" s="136"/>
      <c r="BF479" s="136"/>
      <c r="BG479" s="136"/>
      <c r="BH479" s="136"/>
      <c r="BI479" s="136"/>
      <c r="BJ479" s="136"/>
      <c r="BK479" s="136"/>
      <c r="BL479" s="136"/>
      <c r="BM479" s="136"/>
      <c r="BN479" s="136"/>
    </row>
    <row r="480" spans="1:66" ht="15.75" customHeight="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136"/>
      <c r="BD480" s="136"/>
      <c r="BE480" s="136"/>
      <c r="BF480" s="136"/>
      <c r="BG480" s="136"/>
      <c r="BH480" s="136"/>
      <c r="BI480" s="136"/>
      <c r="BJ480" s="136"/>
      <c r="BK480" s="136"/>
      <c r="BL480" s="136"/>
      <c r="BM480" s="136"/>
      <c r="BN480" s="136"/>
    </row>
    <row r="481" spans="1:66" ht="15.75" customHeight="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136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136"/>
      <c r="BD481" s="136"/>
      <c r="BE481" s="136"/>
      <c r="BF481" s="136"/>
      <c r="BG481" s="136"/>
      <c r="BH481" s="136"/>
      <c r="BI481" s="136"/>
      <c r="BJ481" s="136"/>
      <c r="BK481" s="136"/>
      <c r="BL481" s="136"/>
      <c r="BM481" s="136"/>
      <c r="BN481" s="136"/>
    </row>
    <row r="482" spans="1:66" ht="15.75" customHeight="1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136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136"/>
      <c r="BD482" s="136"/>
      <c r="BE482" s="136"/>
      <c r="BF482" s="136"/>
      <c r="BG482" s="136"/>
      <c r="BH482" s="136"/>
      <c r="BI482" s="136"/>
      <c r="BJ482" s="136"/>
      <c r="BK482" s="136"/>
      <c r="BL482" s="136"/>
      <c r="BM482" s="136"/>
      <c r="BN482" s="136"/>
    </row>
    <row r="483" spans="1:66" ht="15.75" customHeight="1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  <c r="AQ483" s="136"/>
      <c r="AR483" s="136"/>
      <c r="AS483" s="136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136"/>
      <c r="BD483" s="136"/>
      <c r="BE483" s="136"/>
      <c r="BF483" s="136"/>
      <c r="BG483" s="136"/>
      <c r="BH483" s="136"/>
      <c r="BI483" s="136"/>
      <c r="BJ483" s="136"/>
      <c r="BK483" s="136"/>
      <c r="BL483" s="136"/>
      <c r="BM483" s="136"/>
      <c r="BN483" s="136"/>
    </row>
    <row r="484" spans="1:66" ht="15.75" customHeight="1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136"/>
      <c r="BD484" s="136"/>
      <c r="BE484" s="136"/>
      <c r="BF484" s="136"/>
      <c r="BG484" s="136"/>
      <c r="BH484" s="136"/>
      <c r="BI484" s="136"/>
      <c r="BJ484" s="136"/>
      <c r="BK484" s="136"/>
      <c r="BL484" s="136"/>
      <c r="BM484" s="136"/>
      <c r="BN484" s="136"/>
    </row>
    <row r="485" spans="1:66" ht="15.75" customHeight="1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136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136"/>
      <c r="BD485" s="136"/>
      <c r="BE485" s="136"/>
      <c r="BF485" s="136"/>
      <c r="BG485" s="136"/>
      <c r="BH485" s="136"/>
      <c r="BI485" s="136"/>
      <c r="BJ485" s="136"/>
      <c r="BK485" s="136"/>
      <c r="BL485" s="136"/>
      <c r="BM485" s="136"/>
      <c r="BN485" s="136"/>
    </row>
    <row r="486" spans="1:66" ht="15.75" customHeight="1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136"/>
      <c r="AQ486" s="136"/>
      <c r="AR486" s="136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136"/>
      <c r="BD486" s="136"/>
      <c r="BE486" s="136"/>
      <c r="BF486" s="136"/>
      <c r="BG486" s="136"/>
      <c r="BH486" s="136"/>
      <c r="BI486" s="136"/>
      <c r="BJ486" s="136"/>
      <c r="BK486" s="136"/>
      <c r="BL486" s="136"/>
      <c r="BM486" s="136"/>
      <c r="BN486" s="136"/>
    </row>
    <row r="487" spans="1:66" ht="15.75" customHeight="1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136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136"/>
      <c r="BD487" s="136"/>
      <c r="BE487" s="136"/>
      <c r="BF487" s="136"/>
      <c r="BG487" s="136"/>
      <c r="BH487" s="136"/>
      <c r="BI487" s="136"/>
      <c r="BJ487" s="136"/>
      <c r="BK487" s="136"/>
      <c r="BL487" s="136"/>
      <c r="BM487" s="136"/>
      <c r="BN487" s="136"/>
    </row>
    <row r="488" spans="1:66" ht="15.75" customHeight="1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136"/>
      <c r="BD488" s="136"/>
      <c r="BE488" s="136"/>
      <c r="BF488" s="136"/>
      <c r="BG488" s="136"/>
      <c r="BH488" s="136"/>
      <c r="BI488" s="136"/>
      <c r="BJ488" s="136"/>
      <c r="BK488" s="136"/>
      <c r="BL488" s="136"/>
      <c r="BM488" s="136"/>
      <c r="BN488" s="136"/>
    </row>
    <row r="489" spans="1:66" ht="15.75" customHeight="1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  <c r="AR489" s="136"/>
      <c r="AS489" s="136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136"/>
      <c r="BD489" s="136"/>
      <c r="BE489" s="136"/>
      <c r="BF489" s="136"/>
      <c r="BG489" s="136"/>
      <c r="BH489" s="136"/>
      <c r="BI489" s="136"/>
      <c r="BJ489" s="136"/>
      <c r="BK489" s="136"/>
      <c r="BL489" s="136"/>
      <c r="BM489" s="136"/>
      <c r="BN489" s="136"/>
    </row>
    <row r="490" spans="1:66" ht="15.75" customHeight="1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/>
      <c r="BC490" s="136"/>
      <c r="BD490" s="136"/>
      <c r="BE490" s="136"/>
      <c r="BF490" s="136"/>
      <c r="BG490" s="136"/>
      <c r="BH490" s="136"/>
      <c r="BI490" s="136"/>
      <c r="BJ490" s="136"/>
      <c r="BK490" s="136"/>
      <c r="BL490" s="136"/>
      <c r="BM490" s="136"/>
      <c r="BN490" s="136"/>
    </row>
    <row r="491" spans="1:66" ht="15.75" customHeight="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136"/>
      <c r="BD491" s="136"/>
      <c r="BE491" s="136"/>
      <c r="BF491" s="136"/>
      <c r="BG491" s="136"/>
      <c r="BH491" s="136"/>
      <c r="BI491" s="136"/>
      <c r="BJ491" s="136"/>
      <c r="BK491" s="136"/>
      <c r="BL491" s="136"/>
      <c r="BM491" s="136"/>
      <c r="BN491" s="136"/>
    </row>
    <row r="492" spans="1:66" ht="15.75" customHeight="1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  <c r="AR492" s="136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136"/>
      <c r="BD492" s="136"/>
      <c r="BE492" s="136"/>
      <c r="BF492" s="136"/>
      <c r="BG492" s="136"/>
      <c r="BH492" s="136"/>
      <c r="BI492" s="136"/>
      <c r="BJ492" s="136"/>
      <c r="BK492" s="136"/>
      <c r="BL492" s="136"/>
      <c r="BM492" s="136"/>
      <c r="BN492" s="136"/>
    </row>
    <row r="493" spans="1:66" ht="15.75" customHeight="1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136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136"/>
      <c r="BD493" s="136"/>
      <c r="BE493" s="136"/>
      <c r="BF493" s="136"/>
      <c r="BG493" s="136"/>
      <c r="BH493" s="136"/>
      <c r="BI493" s="136"/>
      <c r="BJ493" s="136"/>
      <c r="BK493" s="136"/>
      <c r="BL493" s="136"/>
      <c r="BM493" s="136"/>
      <c r="BN493" s="136"/>
    </row>
    <row r="494" spans="1:66" ht="15.75" customHeight="1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136"/>
      <c r="AU494" s="136"/>
      <c r="AV494" s="136"/>
      <c r="AW494" s="136"/>
      <c r="AX494" s="136"/>
      <c r="AY494" s="136"/>
      <c r="AZ494" s="136"/>
      <c r="BA494" s="136"/>
      <c r="BB494" s="136"/>
      <c r="BC494" s="136"/>
      <c r="BD494" s="136"/>
      <c r="BE494" s="136"/>
      <c r="BF494" s="136"/>
      <c r="BG494" s="136"/>
      <c r="BH494" s="136"/>
      <c r="BI494" s="136"/>
      <c r="BJ494" s="136"/>
      <c r="BK494" s="136"/>
      <c r="BL494" s="136"/>
      <c r="BM494" s="136"/>
      <c r="BN494" s="136"/>
    </row>
    <row r="495" spans="1:66" ht="15.75" customHeight="1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136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136"/>
      <c r="BD495" s="136"/>
      <c r="BE495" s="136"/>
      <c r="BF495" s="136"/>
      <c r="BG495" s="136"/>
      <c r="BH495" s="136"/>
      <c r="BI495" s="136"/>
      <c r="BJ495" s="136"/>
      <c r="BK495" s="136"/>
      <c r="BL495" s="136"/>
      <c r="BM495" s="136"/>
      <c r="BN495" s="136"/>
    </row>
    <row r="496" spans="1:66" ht="15.75" customHeight="1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136"/>
      <c r="BD496" s="136"/>
      <c r="BE496" s="136"/>
      <c r="BF496" s="136"/>
      <c r="BG496" s="136"/>
      <c r="BH496" s="136"/>
      <c r="BI496" s="136"/>
      <c r="BJ496" s="136"/>
      <c r="BK496" s="136"/>
      <c r="BL496" s="136"/>
      <c r="BM496" s="136"/>
      <c r="BN496" s="136"/>
    </row>
    <row r="497" spans="1:66" ht="15.75" customHeight="1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136"/>
      <c r="BD497" s="136"/>
      <c r="BE497" s="136"/>
      <c r="BF497" s="136"/>
      <c r="BG497" s="136"/>
      <c r="BH497" s="136"/>
      <c r="BI497" s="136"/>
      <c r="BJ497" s="136"/>
      <c r="BK497" s="136"/>
      <c r="BL497" s="136"/>
      <c r="BM497" s="136"/>
      <c r="BN497" s="136"/>
    </row>
    <row r="498" spans="1:66" ht="15.75" customHeight="1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/>
      <c r="AQ498" s="136"/>
      <c r="AR498" s="136"/>
      <c r="AS498" s="136"/>
      <c r="AT498" s="136"/>
      <c r="AU498" s="136"/>
      <c r="AV498" s="136"/>
      <c r="AW498" s="136"/>
      <c r="AX498" s="136"/>
      <c r="AY498" s="136"/>
      <c r="AZ498" s="136"/>
      <c r="BA498" s="136"/>
      <c r="BB498" s="136"/>
      <c r="BC498" s="136"/>
      <c r="BD498" s="136"/>
      <c r="BE498" s="136"/>
      <c r="BF498" s="136"/>
      <c r="BG498" s="136"/>
      <c r="BH498" s="136"/>
      <c r="BI498" s="136"/>
      <c r="BJ498" s="136"/>
      <c r="BK498" s="136"/>
      <c r="BL498" s="136"/>
      <c r="BM498" s="136"/>
      <c r="BN498" s="136"/>
    </row>
    <row r="499" spans="1:66" ht="15.75" customHeight="1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136"/>
      <c r="BD499" s="136"/>
      <c r="BE499" s="136"/>
      <c r="BF499" s="136"/>
      <c r="BG499" s="136"/>
      <c r="BH499" s="136"/>
      <c r="BI499" s="136"/>
      <c r="BJ499" s="136"/>
      <c r="BK499" s="136"/>
      <c r="BL499" s="136"/>
      <c r="BM499" s="136"/>
      <c r="BN499" s="136"/>
    </row>
    <row r="500" spans="1:66" ht="15.75" customHeight="1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136"/>
      <c r="BD500" s="136"/>
      <c r="BE500" s="136"/>
      <c r="BF500" s="136"/>
      <c r="BG500" s="136"/>
      <c r="BH500" s="136"/>
      <c r="BI500" s="136"/>
      <c r="BJ500" s="136"/>
      <c r="BK500" s="136"/>
      <c r="BL500" s="136"/>
      <c r="BM500" s="136"/>
      <c r="BN500" s="136"/>
    </row>
    <row r="501" spans="1:66" ht="15.75" customHeight="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136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136"/>
      <c r="BD501" s="136"/>
      <c r="BE501" s="136"/>
      <c r="BF501" s="136"/>
      <c r="BG501" s="136"/>
      <c r="BH501" s="136"/>
      <c r="BI501" s="136"/>
      <c r="BJ501" s="136"/>
      <c r="BK501" s="136"/>
      <c r="BL501" s="136"/>
      <c r="BM501" s="136"/>
      <c r="BN501" s="136"/>
    </row>
    <row r="502" spans="1:66" ht="15.75" customHeight="1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136"/>
      <c r="BD502" s="136"/>
      <c r="BE502" s="136"/>
      <c r="BF502" s="136"/>
      <c r="BG502" s="136"/>
      <c r="BH502" s="136"/>
      <c r="BI502" s="136"/>
      <c r="BJ502" s="136"/>
      <c r="BK502" s="136"/>
      <c r="BL502" s="136"/>
      <c r="BM502" s="136"/>
      <c r="BN502" s="136"/>
    </row>
    <row r="503" spans="1:66" ht="15.75" customHeight="1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136"/>
      <c r="BD503" s="136"/>
      <c r="BE503" s="136"/>
      <c r="BF503" s="136"/>
      <c r="BG503" s="136"/>
      <c r="BH503" s="136"/>
      <c r="BI503" s="136"/>
      <c r="BJ503" s="136"/>
      <c r="BK503" s="136"/>
      <c r="BL503" s="136"/>
      <c r="BM503" s="136"/>
      <c r="BN503" s="136"/>
    </row>
    <row r="504" spans="1:66" ht="15.75" customHeight="1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  <c r="BF504" s="136"/>
      <c r="BG504" s="136"/>
      <c r="BH504" s="136"/>
      <c r="BI504" s="136"/>
      <c r="BJ504" s="136"/>
      <c r="BK504" s="136"/>
      <c r="BL504" s="136"/>
      <c r="BM504" s="136"/>
      <c r="BN504" s="136"/>
    </row>
    <row r="505" spans="1:66" ht="15.75" customHeight="1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136"/>
      <c r="BD505" s="136"/>
      <c r="BE505" s="136"/>
      <c r="BF505" s="136"/>
      <c r="BG505" s="136"/>
      <c r="BH505" s="136"/>
      <c r="BI505" s="136"/>
      <c r="BJ505" s="136"/>
      <c r="BK505" s="136"/>
      <c r="BL505" s="136"/>
      <c r="BM505" s="136"/>
      <c r="BN505" s="136"/>
    </row>
    <row r="506" spans="1:66" ht="15.75" customHeight="1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136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136"/>
      <c r="BD506" s="136"/>
      <c r="BE506" s="136"/>
      <c r="BF506" s="136"/>
      <c r="BG506" s="136"/>
      <c r="BH506" s="136"/>
      <c r="BI506" s="136"/>
      <c r="BJ506" s="136"/>
      <c r="BK506" s="136"/>
      <c r="BL506" s="136"/>
      <c r="BM506" s="136"/>
      <c r="BN506" s="136"/>
    </row>
    <row r="507" spans="1:66" ht="15.75" customHeight="1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  <c r="AR507" s="136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136"/>
      <c r="BD507" s="136"/>
      <c r="BE507" s="136"/>
      <c r="BF507" s="136"/>
      <c r="BG507" s="136"/>
      <c r="BH507" s="136"/>
      <c r="BI507" s="136"/>
      <c r="BJ507" s="136"/>
      <c r="BK507" s="136"/>
      <c r="BL507" s="136"/>
      <c r="BM507" s="136"/>
      <c r="BN507" s="136"/>
    </row>
    <row r="508" spans="1:66" ht="15.75" customHeight="1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136"/>
      <c r="BD508" s="136"/>
      <c r="BE508" s="136"/>
      <c r="BF508" s="136"/>
      <c r="BG508" s="136"/>
      <c r="BH508" s="136"/>
      <c r="BI508" s="136"/>
      <c r="BJ508" s="136"/>
      <c r="BK508" s="136"/>
      <c r="BL508" s="136"/>
      <c r="BM508" s="136"/>
      <c r="BN508" s="136"/>
    </row>
    <row r="509" spans="1:66" ht="15.75" customHeight="1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136"/>
      <c r="AU509" s="136"/>
      <c r="AV509" s="136"/>
      <c r="AW509" s="136"/>
      <c r="AX509" s="136"/>
      <c r="AY509" s="136"/>
      <c r="AZ509" s="136"/>
      <c r="BA509" s="136"/>
      <c r="BB509" s="136"/>
      <c r="BC509" s="136"/>
      <c r="BD509" s="136"/>
      <c r="BE509" s="136"/>
      <c r="BF509" s="136"/>
      <c r="BG509" s="136"/>
      <c r="BH509" s="136"/>
      <c r="BI509" s="136"/>
      <c r="BJ509" s="136"/>
      <c r="BK509" s="136"/>
      <c r="BL509" s="136"/>
      <c r="BM509" s="136"/>
      <c r="BN509" s="136"/>
    </row>
    <row r="510" spans="1:66" ht="15.75" customHeight="1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136"/>
      <c r="AS510" s="136"/>
      <c r="AT510" s="136"/>
      <c r="AU510" s="136"/>
      <c r="AV510" s="136"/>
      <c r="AW510" s="136"/>
      <c r="AX510" s="136"/>
      <c r="AY510" s="136"/>
      <c r="AZ510" s="136"/>
      <c r="BA510" s="136"/>
      <c r="BB510" s="136"/>
      <c r="BC510" s="136"/>
      <c r="BD510" s="136"/>
      <c r="BE510" s="136"/>
      <c r="BF510" s="136"/>
      <c r="BG510" s="136"/>
      <c r="BH510" s="136"/>
      <c r="BI510" s="136"/>
      <c r="BJ510" s="136"/>
      <c r="BK510" s="136"/>
      <c r="BL510" s="136"/>
      <c r="BM510" s="136"/>
      <c r="BN510" s="136"/>
    </row>
    <row r="511" spans="1:66" ht="15.75" customHeight="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  <c r="BC511" s="136"/>
      <c r="BD511" s="136"/>
      <c r="BE511" s="136"/>
      <c r="BF511" s="136"/>
      <c r="BG511" s="136"/>
      <c r="BH511" s="136"/>
      <c r="BI511" s="136"/>
      <c r="BJ511" s="136"/>
      <c r="BK511" s="136"/>
      <c r="BL511" s="136"/>
      <c r="BM511" s="136"/>
      <c r="BN511" s="136"/>
    </row>
    <row r="512" spans="1:66" ht="15.75" customHeight="1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136"/>
      <c r="BD512" s="136"/>
      <c r="BE512" s="136"/>
      <c r="BF512" s="136"/>
      <c r="BG512" s="136"/>
      <c r="BH512" s="136"/>
      <c r="BI512" s="136"/>
      <c r="BJ512" s="136"/>
      <c r="BK512" s="136"/>
      <c r="BL512" s="136"/>
      <c r="BM512" s="136"/>
      <c r="BN512" s="136"/>
    </row>
    <row r="513" spans="1:66" ht="15.75" customHeight="1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136"/>
      <c r="AQ513" s="136"/>
      <c r="AR513" s="136"/>
      <c r="AS513" s="136"/>
      <c r="AT513" s="136"/>
      <c r="AU513" s="136"/>
      <c r="AV513" s="136"/>
      <c r="AW513" s="136"/>
      <c r="AX513" s="136"/>
      <c r="AY513" s="136"/>
      <c r="AZ513" s="136"/>
      <c r="BA513" s="136"/>
      <c r="BB513" s="136"/>
      <c r="BC513" s="136"/>
      <c r="BD513" s="136"/>
      <c r="BE513" s="136"/>
      <c r="BF513" s="136"/>
      <c r="BG513" s="136"/>
      <c r="BH513" s="136"/>
      <c r="BI513" s="136"/>
      <c r="BJ513" s="136"/>
      <c r="BK513" s="136"/>
      <c r="BL513" s="136"/>
      <c r="BM513" s="136"/>
      <c r="BN513" s="136"/>
    </row>
    <row r="514" spans="1:66" ht="15.75" customHeight="1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136"/>
      <c r="AS514" s="136"/>
      <c r="AT514" s="136"/>
      <c r="AU514" s="136"/>
      <c r="AV514" s="136"/>
      <c r="AW514" s="136"/>
      <c r="AX514" s="136"/>
      <c r="AY514" s="136"/>
      <c r="AZ514" s="136"/>
      <c r="BA514" s="136"/>
      <c r="BB514" s="136"/>
      <c r="BC514" s="136"/>
      <c r="BD514" s="136"/>
      <c r="BE514" s="136"/>
      <c r="BF514" s="136"/>
      <c r="BG514" s="136"/>
      <c r="BH514" s="136"/>
      <c r="BI514" s="136"/>
      <c r="BJ514" s="136"/>
      <c r="BK514" s="136"/>
      <c r="BL514" s="136"/>
      <c r="BM514" s="136"/>
      <c r="BN514" s="136"/>
    </row>
    <row r="515" spans="1:66" ht="15.75" customHeight="1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136"/>
      <c r="AS515" s="136"/>
      <c r="AT515" s="136"/>
      <c r="AU515" s="136"/>
      <c r="AV515" s="136"/>
      <c r="AW515" s="136"/>
      <c r="AX515" s="136"/>
      <c r="AY515" s="136"/>
      <c r="AZ515" s="136"/>
      <c r="BA515" s="136"/>
      <c r="BB515" s="136"/>
      <c r="BC515" s="136"/>
      <c r="BD515" s="136"/>
      <c r="BE515" s="136"/>
      <c r="BF515" s="136"/>
      <c r="BG515" s="136"/>
      <c r="BH515" s="136"/>
      <c r="BI515" s="136"/>
      <c r="BJ515" s="136"/>
      <c r="BK515" s="136"/>
      <c r="BL515" s="136"/>
      <c r="BM515" s="136"/>
      <c r="BN515" s="136"/>
    </row>
    <row r="516" spans="1:66" ht="15.75" customHeight="1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136"/>
      <c r="AQ516" s="136"/>
      <c r="AR516" s="136"/>
      <c r="AS516" s="136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136"/>
      <c r="BD516" s="136"/>
      <c r="BE516" s="136"/>
      <c r="BF516" s="136"/>
      <c r="BG516" s="136"/>
      <c r="BH516" s="136"/>
      <c r="BI516" s="136"/>
      <c r="BJ516" s="136"/>
      <c r="BK516" s="136"/>
      <c r="BL516" s="136"/>
      <c r="BM516" s="136"/>
      <c r="BN516" s="136"/>
    </row>
    <row r="517" spans="1:66" ht="15.75" customHeight="1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136"/>
      <c r="AS517" s="136"/>
      <c r="AT517" s="136"/>
      <c r="AU517" s="136"/>
      <c r="AV517" s="136"/>
      <c r="AW517" s="136"/>
      <c r="AX517" s="136"/>
      <c r="AY517" s="136"/>
      <c r="AZ517" s="136"/>
      <c r="BA517" s="136"/>
      <c r="BB517" s="136"/>
      <c r="BC517" s="136"/>
      <c r="BD517" s="136"/>
      <c r="BE517" s="136"/>
      <c r="BF517" s="136"/>
      <c r="BG517" s="136"/>
      <c r="BH517" s="136"/>
      <c r="BI517" s="136"/>
      <c r="BJ517" s="136"/>
      <c r="BK517" s="136"/>
      <c r="BL517" s="136"/>
      <c r="BM517" s="136"/>
      <c r="BN517" s="136"/>
    </row>
    <row r="518" spans="1:66" ht="15.75" customHeight="1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136"/>
      <c r="AU518" s="136"/>
      <c r="AV518" s="136"/>
      <c r="AW518" s="136"/>
      <c r="AX518" s="136"/>
      <c r="AY518" s="136"/>
      <c r="AZ518" s="136"/>
      <c r="BA518" s="136"/>
      <c r="BB518" s="136"/>
      <c r="BC518" s="136"/>
      <c r="BD518" s="136"/>
      <c r="BE518" s="136"/>
      <c r="BF518" s="136"/>
      <c r="BG518" s="136"/>
      <c r="BH518" s="136"/>
      <c r="BI518" s="136"/>
      <c r="BJ518" s="136"/>
      <c r="BK518" s="136"/>
      <c r="BL518" s="136"/>
      <c r="BM518" s="136"/>
      <c r="BN518" s="136"/>
    </row>
    <row r="519" spans="1:66" ht="15.75" customHeight="1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136"/>
      <c r="AS519" s="136"/>
      <c r="AT519" s="136"/>
      <c r="AU519" s="136"/>
      <c r="AV519" s="136"/>
      <c r="AW519" s="136"/>
      <c r="AX519" s="136"/>
      <c r="AY519" s="136"/>
      <c r="AZ519" s="136"/>
      <c r="BA519" s="136"/>
      <c r="BB519" s="136"/>
      <c r="BC519" s="136"/>
      <c r="BD519" s="136"/>
      <c r="BE519" s="136"/>
      <c r="BF519" s="136"/>
      <c r="BG519" s="136"/>
      <c r="BH519" s="136"/>
      <c r="BI519" s="136"/>
      <c r="BJ519" s="136"/>
      <c r="BK519" s="136"/>
      <c r="BL519" s="136"/>
      <c r="BM519" s="136"/>
      <c r="BN519" s="136"/>
    </row>
    <row r="520" spans="1:66" ht="15.75" customHeight="1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136"/>
      <c r="AS520" s="136"/>
      <c r="AT520" s="136"/>
      <c r="AU520" s="136"/>
      <c r="AV520" s="136"/>
      <c r="AW520" s="136"/>
      <c r="AX520" s="136"/>
      <c r="AY520" s="136"/>
      <c r="AZ520" s="136"/>
      <c r="BA520" s="136"/>
      <c r="BB520" s="136"/>
      <c r="BC520" s="136"/>
      <c r="BD520" s="136"/>
      <c r="BE520" s="136"/>
      <c r="BF520" s="136"/>
      <c r="BG520" s="136"/>
      <c r="BH520" s="136"/>
      <c r="BI520" s="136"/>
      <c r="BJ520" s="136"/>
      <c r="BK520" s="136"/>
      <c r="BL520" s="136"/>
      <c r="BM520" s="136"/>
      <c r="BN520" s="136"/>
    </row>
    <row r="521" spans="1:66" ht="15.75" customHeight="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136"/>
      <c r="AS521" s="136"/>
      <c r="AT521" s="136"/>
      <c r="AU521" s="136"/>
      <c r="AV521" s="136"/>
      <c r="AW521" s="136"/>
      <c r="AX521" s="136"/>
      <c r="AY521" s="136"/>
      <c r="AZ521" s="136"/>
      <c r="BA521" s="136"/>
      <c r="BB521" s="136"/>
      <c r="BC521" s="136"/>
      <c r="BD521" s="136"/>
      <c r="BE521" s="136"/>
      <c r="BF521" s="136"/>
      <c r="BG521" s="136"/>
      <c r="BH521" s="136"/>
      <c r="BI521" s="136"/>
      <c r="BJ521" s="136"/>
      <c r="BK521" s="136"/>
      <c r="BL521" s="136"/>
      <c r="BM521" s="136"/>
      <c r="BN521" s="136"/>
    </row>
    <row r="522" spans="1:66" ht="15.75" customHeight="1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136"/>
      <c r="AQ522" s="136"/>
      <c r="AR522" s="136"/>
      <c r="AS522" s="136"/>
      <c r="AT522" s="136"/>
      <c r="AU522" s="136"/>
      <c r="AV522" s="136"/>
      <c r="AW522" s="136"/>
      <c r="AX522" s="136"/>
      <c r="AY522" s="136"/>
      <c r="AZ522" s="136"/>
      <c r="BA522" s="136"/>
      <c r="BB522" s="136"/>
      <c r="BC522" s="136"/>
      <c r="BD522" s="136"/>
      <c r="BE522" s="136"/>
      <c r="BF522" s="136"/>
      <c r="BG522" s="136"/>
      <c r="BH522" s="136"/>
      <c r="BI522" s="136"/>
      <c r="BJ522" s="136"/>
      <c r="BK522" s="136"/>
      <c r="BL522" s="136"/>
      <c r="BM522" s="136"/>
      <c r="BN522" s="136"/>
    </row>
    <row r="523" spans="1:66" ht="15.75" customHeight="1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  <c r="BC523" s="136"/>
      <c r="BD523" s="136"/>
      <c r="BE523" s="136"/>
      <c r="BF523" s="136"/>
      <c r="BG523" s="136"/>
      <c r="BH523" s="136"/>
      <c r="BI523" s="136"/>
      <c r="BJ523" s="136"/>
      <c r="BK523" s="136"/>
      <c r="BL523" s="136"/>
      <c r="BM523" s="136"/>
      <c r="BN523" s="136"/>
    </row>
    <row r="524" spans="1:66" ht="15.75" customHeight="1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/>
      <c r="BC524" s="136"/>
      <c r="BD524" s="136"/>
      <c r="BE524" s="136"/>
      <c r="BF524" s="136"/>
      <c r="BG524" s="136"/>
      <c r="BH524" s="136"/>
      <c r="BI524" s="136"/>
      <c r="BJ524" s="136"/>
      <c r="BK524" s="136"/>
      <c r="BL524" s="136"/>
      <c r="BM524" s="136"/>
      <c r="BN524" s="136"/>
    </row>
    <row r="525" spans="1:66" ht="15.75" customHeight="1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136"/>
      <c r="AQ525" s="136"/>
      <c r="AR525" s="136"/>
      <c r="AS525" s="136"/>
      <c r="AT525" s="136"/>
      <c r="AU525" s="136"/>
      <c r="AV525" s="136"/>
      <c r="AW525" s="136"/>
      <c r="AX525" s="136"/>
      <c r="AY525" s="136"/>
      <c r="AZ525" s="136"/>
      <c r="BA525" s="136"/>
      <c r="BB525" s="136"/>
      <c r="BC525" s="136"/>
      <c r="BD525" s="136"/>
      <c r="BE525" s="136"/>
      <c r="BF525" s="136"/>
      <c r="BG525" s="136"/>
      <c r="BH525" s="136"/>
      <c r="BI525" s="136"/>
      <c r="BJ525" s="136"/>
      <c r="BK525" s="136"/>
      <c r="BL525" s="136"/>
      <c r="BM525" s="136"/>
      <c r="BN525" s="136"/>
    </row>
    <row r="526" spans="1:66" ht="15.75" customHeight="1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  <c r="AW526" s="136"/>
      <c r="AX526" s="136"/>
      <c r="AY526" s="136"/>
      <c r="AZ526" s="136"/>
      <c r="BA526" s="136"/>
      <c r="BB526" s="136"/>
      <c r="BC526" s="136"/>
      <c r="BD526" s="136"/>
      <c r="BE526" s="136"/>
      <c r="BF526" s="136"/>
      <c r="BG526" s="136"/>
      <c r="BH526" s="136"/>
      <c r="BI526" s="136"/>
      <c r="BJ526" s="136"/>
      <c r="BK526" s="136"/>
      <c r="BL526" s="136"/>
      <c r="BM526" s="136"/>
      <c r="BN526" s="136"/>
    </row>
    <row r="527" spans="1:66" ht="15.75" customHeight="1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136"/>
      <c r="AS527" s="136"/>
      <c r="AT527" s="136"/>
      <c r="AU527" s="136"/>
      <c r="AV527" s="136"/>
      <c r="AW527" s="136"/>
      <c r="AX527" s="136"/>
      <c r="AY527" s="136"/>
      <c r="AZ527" s="136"/>
      <c r="BA527" s="136"/>
      <c r="BB527" s="136"/>
      <c r="BC527" s="136"/>
      <c r="BD527" s="136"/>
      <c r="BE527" s="136"/>
      <c r="BF527" s="136"/>
      <c r="BG527" s="136"/>
      <c r="BH527" s="136"/>
      <c r="BI527" s="136"/>
      <c r="BJ527" s="136"/>
      <c r="BK527" s="136"/>
      <c r="BL527" s="136"/>
      <c r="BM527" s="136"/>
      <c r="BN527" s="136"/>
    </row>
    <row r="528" spans="1:66" ht="15.75" customHeight="1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136"/>
      <c r="AQ528" s="136"/>
      <c r="AR528" s="136"/>
      <c r="AS528" s="136"/>
      <c r="AT528" s="136"/>
      <c r="AU528" s="136"/>
      <c r="AV528" s="136"/>
      <c r="AW528" s="136"/>
      <c r="AX528" s="136"/>
      <c r="AY528" s="136"/>
      <c r="AZ528" s="136"/>
      <c r="BA528" s="136"/>
      <c r="BB528" s="136"/>
      <c r="BC528" s="136"/>
      <c r="BD528" s="136"/>
      <c r="BE528" s="136"/>
      <c r="BF528" s="136"/>
      <c r="BG528" s="136"/>
      <c r="BH528" s="136"/>
      <c r="BI528" s="136"/>
      <c r="BJ528" s="136"/>
      <c r="BK528" s="136"/>
      <c r="BL528" s="136"/>
      <c r="BM528" s="136"/>
      <c r="BN528" s="136"/>
    </row>
    <row r="529" spans="1:66" ht="15.75" customHeight="1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136"/>
      <c r="AS529" s="136"/>
      <c r="AT529" s="136"/>
      <c r="AU529" s="136"/>
      <c r="AV529" s="136"/>
      <c r="AW529" s="136"/>
      <c r="AX529" s="136"/>
      <c r="AY529" s="136"/>
      <c r="AZ529" s="136"/>
      <c r="BA529" s="136"/>
      <c r="BB529" s="136"/>
      <c r="BC529" s="136"/>
      <c r="BD529" s="136"/>
      <c r="BE529" s="136"/>
      <c r="BF529" s="136"/>
      <c r="BG529" s="136"/>
      <c r="BH529" s="136"/>
      <c r="BI529" s="136"/>
      <c r="BJ529" s="136"/>
      <c r="BK529" s="136"/>
      <c r="BL529" s="136"/>
      <c r="BM529" s="136"/>
      <c r="BN529" s="136"/>
    </row>
    <row r="530" spans="1:66" ht="15.75" customHeight="1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136"/>
      <c r="AS530" s="136"/>
      <c r="AT530" s="136"/>
      <c r="AU530" s="136"/>
      <c r="AV530" s="136"/>
      <c r="AW530" s="136"/>
      <c r="AX530" s="136"/>
      <c r="AY530" s="136"/>
      <c r="AZ530" s="136"/>
      <c r="BA530" s="136"/>
      <c r="BB530" s="136"/>
      <c r="BC530" s="136"/>
      <c r="BD530" s="136"/>
      <c r="BE530" s="136"/>
      <c r="BF530" s="136"/>
      <c r="BG530" s="136"/>
      <c r="BH530" s="136"/>
      <c r="BI530" s="136"/>
      <c r="BJ530" s="136"/>
      <c r="BK530" s="136"/>
      <c r="BL530" s="136"/>
      <c r="BM530" s="136"/>
      <c r="BN530" s="136"/>
    </row>
    <row r="531" spans="1:66" ht="15.75" customHeight="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136"/>
      <c r="AQ531" s="136"/>
      <c r="AR531" s="136"/>
      <c r="AS531" s="136"/>
      <c r="AT531" s="136"/>
      <c r="AU531" s="136"/>
      <c r="AV531" s="136"/>
      <c r="AW531" s="136"/>
      <c r="AX531" s="136"/>
      <c r="AY531" s="136"/>
      <c r="AZ531" s="136"/>
      <c r="BA531" s="136"/>
      <c r="BB531" s="136"/>
      <c r="BC531" s="136"/>
      <c r="BD531" s="136"/>
      <c r="BE531" s="136"/>
      <c r="BF531" s="136"/>
      <c r="BG531" s="136"/>
      <c r="BH531" s="136"/>
      <c r="BI531" s="136"/>
      <c r="BJ531" s="136"/>
      <c r="BK531" s="136"/>
      <c r="BL531" s="136"/>
      <c r="BM531" s="136"/>
      <c r="BN531" s="136"/>
    </row>
    <row r="532" spans="1:66" ht="15.75" customHeight="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136"/>
      <c r="AS532" s="136"/>
      <c r="AT532" s="136"/>
      <c r="AU532" s="136"/>
      <c r="AV532" s="136"/>
      <c r="AW532" s="136"/>
      <c r="AX532" s="136"/>
      <c r="AY532" s="136"/>
      <c r="AZ532" s="136"/>
      <c r="BA532" s="136"/>
      <c r="BB532" s="136"/>
      <c r="BC532" s="136"/>
      <c r="BD532" s="136"/>
      <c r="BE532" s="136"/>
      <c r="BF532" s="136"/>
      <c r="BG532" s="136"/>
      <c r="BH532" s="136"/>
      <c r="BI532" s="136"/>
      <c r="BJ532" s="136"/>
      <c r="BK532" s="136"/>
      <c r="BL532" s="136"/>
      <c r="BM532" s="136"/>
      <c r="BN532" s="136"/>
    </row>
    <row r="533" spans="1:66" ht="15.75" customHeight="1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  <c r="AW533" s="136"/>
      <c r="AX533" s="136"/>
      <c r="AY533" s="136"/>
      <c r="AZ533" s="136"/>
      <c r="BA533" s="136"/>
      <c r="BB533" s="136"/>
      <c r="BC533" s="136"/>
      <c r="BD533" s="136"/>
      <c r="BE533" s="136"/>
      <c r="BF533" s="136"/>
      <c r="BG533" s="136"/>
      <c r="BH533" s="136"/>
      <c r="BI533" s="136"/>
      <c r="BJ533" s="136"/>
      <c r="BK533" s="136"/>
      <c r="BL533" s="136"/>
      <c r="BM533" s="136"/>
      <c r="BN533" s="136"/>
    </row>
    <row r="534" spans="1:66" ht="15.75" customHeight="1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136"/>
      <c r="AQ534" s="136"/>
      <c r="AR534" s="136"/>
      <c r="AS534" s="136"/>
      <c r="AT534" s="136"/>
      <c r="AU534" s="136"/>
      <c r="AV534" s="136"/>
      <c r="AW534" s="136"/>
      <c r="AX534" s="136"/>
      <c r="AY534" s="136"/>
      <c r="AZ534" s="136"/>
      <c r="BA534" s="136"/>
      <c r="BB534" s="136"/>
      <c r="BC534" s="136"/>
      <c r="BD534" s="136"/>
      <c r="BE534" s="136"/>
      <c r="BF534" s="136"/>
      <c r="BG534" s="136"/>
      <c r="BH534" s="136"/>
      <c r="BI534" s="136"/>
      <c r="BJ534" s="136"/>
      <c r="BK534" s="136"/>
      <c r="BL534" s="136"/>
      <c r="BM534" s="136"/>
      <c r="BN534" s="136"/>
    </row>
    <row r="535" spans="1:66" ht="15.75" customHeight="1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136"/>
      <c r="AS535" s="136"/>
      <c r="AT535" s="136"/>
      <c r="AU535" s="136"/>
      <c r="AV535" s="136"/>
      <c r="AW535" s="136"/>
      <c r="AX535" s="136"/>
      <c r="AY535" s="136"/>
      <c r="AZ535" s="136"/>
      <c r="BA535" s="136"/>
      <c r="BB535" s="136"/>
      <c r="BC535" s="136"/>
      <c r="BD535" s="136"/>
      <c r="BE535" s="136"/>
      <c r="BF535" s="136"/>
      <c r="BG535" s="136"/>
      <c r="BH535" s="136"/>
      <c r="BI535" s="136"/>
      <c r="BJ535" s="136"/>
      <c r="BK535" s="136"/>
      <c r="BL535" s="136"/>
      <c r="BM535" s="136"/>
      <c r="BN535" s="136"/>
    </row>
    <row r="536" spans="1:66" ht="15.75" customHeight="1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136"/>
      <c r="AS536" s="136"/>
      <c r="AT536" s="136"/>
      <c r="AU536" s="136"/>
      <c r="AV536" s="136"/>
      <c r="AW536" s="136"/>
      <c r="AX536" s="136"/>
      <c r="AY536" s="136"/>
      <c r="AZ536" s="136"/>
      <c r="BA536" s="136"/>
      <c r="BB536" s="136"/>
      <c r="BC536" s="136"/>
      <c r="BD536" s="136"/>
      <c r="BE536" s="136"/>
      <c r="BF536" s="136"/>
      <c r="BG536" s="136"/>
      <c r="BH536" s="136"/>
      <c r="BI536" s="136"/>
      <c r="BJ536" s="136"/>
      <c r="BK536" s="136"/>
      <c r="BL536" s="136"/>
      <c r="BM536" s="136"/>
      <c r="BN536" s="136"/>
    </row>
    <row r="537" spans="1:66" ht="15.75" customHeight="1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136"/>
      <c r="AQ537" s="136"/>
      <c r="AR537" s="136"/>
      <c r="AS537" s="136"/>
      <c r="AT537" s="136"/>
      <c r="AU537" s="136"/>
      <c r="AV537" s="136"/>
      <c r="AW537" s="136"/>
      <c r="AX537" s="136"/>
      <c r="AY537" s="136"/>
      <c r="AZ537" s="136"/>
      <c r="BA537" s="136"/>
      <c r="BB537" s="136"/>
      <c r="BC537" s="136"/>
      <c r="BD537" s="136"/>
      <c r="BE537" s="136"/>
      <c r="BF537" s="136"/>
      <c r="BG537" s="136"/>
      <c r="BH537" s="136"/>
      <c r="BI537" s="136"/>
      <c r="BJ537" s="136"/>
      <c r="BK537" s="136"/>
      <c r="BL537" s="136"/>
      <c r="BM537" s="136"/>
      <c r="BN537" s="136"/>
    </row>
    <row r="538" spans="1:66" ht="15.75" customHeight="1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136"/>
      <c r="AS538" s="136"/>
      <c r="AT538" s="136"/>
      <c r="AU538" s="136"/>
      <c r="AV538" s="136"/>
      <c r="AW538" s="136"/>
      <c r="AX538" s="136"/>
      <c r="AY538" s="136"/>
      <c r="AZ538" s="136"/>
      <c r="BA538" s="136"/>
      <c r="BB538" s="136"/>
      <c r="BC538" s="136"/>
      <c r="BD538" s="136"/>
      <c r="BE538" s="136"/>
      <c r="BF538" s="136"/>
      <c r="BG538" s="136"/>
      <c r="BH538" s="136"/>
      <c r="BI538" s="136"/>
      <c r="BJ538" s="136"/>
      <c r="BK538" s="136"/>
      <c r="BL538" s="136"/>
      <c r="BM538" s="136"/>
      <c r="BN538" s="136"/>
    </row>
    <row r="539" spans="1:66" ht="15.75" customHeight="1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  <c r="AX539" s="136"/>
      <c r="AY539" s="136"/>
      <c r="AZ539" s="136"/>
      <c r="BA539" s="136"/>
      <c r="BB539" s="136"/>
      <c r="BC539" s="136"/>
      <c r="BD539" s="136"/>
      <c r="BE539" s="136"/>
      <c r="BF539" s="136"/>
      <c r="BG539" s="136"/>
      <c r="BH539" s="136"/>
      <c r="BI539" s="136"/>
      <c r="BJ539" s="136"/>
      <c r="BK539" s="136"/>
      <c r="BL539" s="136"/>
      <c r="BM539" s="136"/>
      <c r="BN539" s="136"/>
    </row>
    <row r="540" spans="1:66" ht="15.75" customHeight="1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  <c r="BF540" s="136"/>
      <c r="BG540" s="136"/>
      <c r="BH540" s="136"/>
      <c r="BI540" s="136"/>
      <c r="BJ540" s="136"/>
      <c r="BK540" s="136"/>
      <c r="BL540" s="136"/>
      <c r="BM540" s="136"/>
      <c r="BN540" s="136"/>
    </row>
    <row r="541" spans="1:66" ht="15.75" customHeight="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136"/>
      <c r="AS541" s="136"/>
      <c r="AT541" s="136"/>
      <c r="AU541" s="136"/>
      <c r="AV541" s="136"/>
      <c r="AW541" s="136"/>
      <c r="AX541" s="136"/>
      <c r="AY541" s="136"/>
      <c r="AZ541" s="136"/>
      <c r="BA541" s="136"/>
      <c r="BB541" s="136"/>
      <c r="BC541" s="136"/>
      <c r="BD541" s="136"/>
      <c r="BE541" s="136"/>
      <c r="BF541" s="136"/>
      <c r="BG541" s="136"/>
      <c r="BH541" s="136"/>
      <c r="BI541" s="136"/>
      <c r="BJ541" s="136"/>
      <c r="BK541" s="136"/>
      <c r="BL541" s="136"/>
      <c r="BM541" s="136"/>
      <c r="BN541" s="136"/>
    </row>
    <row r="542" spans="1:66" ht="15.75" customHeight="1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  <c r="AW542" s="136"/>
      <c r="AX542" s="136"/>
      <c r="AY542" s="136"/>
      <c r="AZ542" s="136"/>
      <c r="BA542" s="136"/>
      <c r="BB542" s="136"/>
      <c r="BC542" s="136"/>
      <c r="BD542" s="136"/>
      <c r="BE542" s="136"/>
      <c r="BF542" s="136"/>
      <c r="BG542" s="136"/>
      <c r="BH542" s="136"/>
      <c r="BI542" s="136"/>
      <c r="BJ542" s="136"/>
      <c r="BK542" s="136"/>
      <c r="BL542" s="136"/>
      <c r="BM542" s="136"/>
      <c r="BN542" s="136"/>
    </row>
    <row r="543" spans="1:66" ht="15.75" customHeight="1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  <c r="AU543" s="136"/>
      <c r="AV543" s="136"/>
      <c r="AW543" s="136"/>
      <c r="AX543" s="136"/>
      <c r="AY543" s="136"/>
      <c r="AZ543" s="136"/>
      <c r="BA543" s="136"/>
      <c r="BB543" s="136"/>
      <c r="BC543" s="136"/>
      <c r="BD543" s="136"/>
      <c r="BE543" s="136"/>
      <c r="BF543" s="136"/>
      <c r="BG543" s="136"/>
      <c r="BH543" s="136"/>
      <c r="BI543" s="136"/>
      <c r="BJ543" s="136"/>
      <c r="BK543" s="136"/>
      <c r="BL543" s="136"/>
      <c r="BM543" s="136"/>
      <c r="BN543" s="136"/>
    </row>
    <row r="544" spans="1:66" ht="15.75" customHeight="1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  <c r="AX544" s="136"/>
      <c r="AY544" s="136"/>
      <c r="AZ544" s="136"/>
      <c r="BA544" s="136"/>
      <c r="BB544" s="136"/>
      <c r="BC544" s="136"/>
      <c r="BD544" s="136"/>
      <c r="BE544" s="136"/>
      <c r="BF544" s="136"/>
      <c r="BG544" s="136"/>
      <c r="BH544" s="136"/>
      <c r="BI544" s="136"/>
      <c r="BJ544" s="136"/>
      <c r="BK544" s="136"/>
      <c r="BL544" s="136"/>
      <c r="BM544" s="136"/>
      <c r="BN544" s="136"/>
    </row>
    <row r="545" spans="1:66" ht="15.75" customHeight="1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136"/>
      <c r="AU545" s="136"/>
      <c r="AV545" s="136"/>
      <c r="AW545" s="136"/>
      <c r="AX545" s="136"/>
      <c r="AY545" s="136"/>
      <c r="AZ545" s="136"/>
      <c r="BA545" s="136"/>
      <c r="BB545" s="136"/>
      <c r="BC545" s="136"/>
      <c r="BD545" s="136"/>
      <c r="BE545" s="136"/>
      <c r="BF545" s="136"/>
      <c r="BG545" s="136"/>
      <c r="BH545" s="136"/>
      <c r="BI545" s="136"/>
      <c r="BJ545" s="136"/>
      <c r="BK545" s="136"/>
      <c r="BL545" s="136"/>
      <c r="BM545" s="136"/>
      <c r="BN545" s="136"/>
    </row>
    <row r="546" spans="1:66" ht="15.75" customHeight="1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136"/>
      <c r="AS546" s="136"/>
      <c r="AT546" s="136"/>
      <c r="AU546" s="136"/>
      <c r="AV546" s="136"/>
      <c r="AW546" s="136"/>
      <c r="AX546" s="136"/>
      <c r="AY546" s="136"/>
      <c r="AZ546" s="136"/>
      <c r="BA546" s="136"/>
      <c r="BB546" s="136"/>
      <c r="BC546" s="136"/>
      <c r="BD546" s="136"/>
      <c r="BE546" s="136"/>
      <c r="BF546" s="136"/>
      <c r="BG546" s="136"/>
      <c r="BH546" s="136"/>
      <c r="BI546" s="136"/>
      <c r="BJ546" s="136"/>
      <c r="BK546" s="136"/>
      <c r="BL546" s="136"/>
      <c r="BM546" s="136"/>
      <c r="BN546" s="136"/>
    </row>
    <row r="547" spans="1:66" ht="15.75" customHeight="1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  <c r="AW547" s="136"/>
      <c r="AX547" s="136"/>
      <c r="AY547" s="136"/>
      <c r="AZ547" s="136"/>
      <c r="BA547" s="136"/>
      <c r="BB547" s="136"/>
      <c r="BC547" s="136"/>
      <c r="BD547" s="136"/>
      <c r="BE547" s="136"/>
      <c r="BF547" s="136"/>
      <c r="BG547" s="136"/>
      <c r="BH547" s="136"/>
      <c r="BI547" s="136"/>
      <c r="BJ547" s="136"/>
      <c r="BK547" s="136"/>
      <c r="BL547" s="136"/>
      <c r="BM547" s="136"/>
      <c r="BN547" s="136"/>
    </row>
    <row r="548" spans="1:66" ht="15.75" customHeight="1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  <c r="BE548" s="136"/>
      <c r="BF548" s="136"/>
      <c r="BG548" s="136"/>
      <c r="BH548" s="136"/>
      <c r="BI548" s="136"/>
      <c r="BJ548" s="136"/>
      <c r="BK548" s="136"/>
      <c r="BL548" s="136"/>
      <c r="BM548" s="136"/>
      <c r="BN548" s="136"/>
    </row>
    <row r="549" spans="1:66" ht="15.75" customHeight="1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  <c r="AW549" s="136"/>
      <c r="AX549" s="136"/>
      <c r="AY549" s="136"/>
      <c r="AZ549" s="136"/>
      <c r="BA549" s="136"/>
      <c r="BB549" s="136"/>
      <c r="BC549" s="136"/>
      <c r="BD549" s="136"/>
      <c r="BE549" s="136"/>
      <c r="BF549" s="136"/>
      <c r="BG549" s="136"/>
      <c r="BH549" s="136"/>
      <c r="BI549" s="136"/>
      <c r="BJ549" s="136"/>
      <c r="BK549" s="136"/>
      <c r="BL549" s="136"/>
      <c r="BM549" s="136"/>
      <c r="BN549" s="136"/>
    </row>
    <row r="550" spans="1:66" ht="15.75" customHeight="1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  <c r="AW550" s="136"/>
      <c r="AX550" s="136"/>
      <c r="AY550" s="136"/>
      <c r="AZ550" s="136"/>
      <c r="BA550" s="136"/>
      <c r="BB550" s="136"/>
      <c r="BC550" s="136"/>
      <c r="BD550" s="136"/>
      <c r="BE550" s="136"/>
      <c r="BF550" s="136"/>
      <c r="BG550" s="136"/>
      <c r="BH550" s="136"/>
      <c r="BI550" s="136"/>
      <c r="BJ550" s="136"/>
      <c r="BK550" s="136"/>
      <c r="BL550" s="136"/>
      <c r="BM550" s="136"/>
      <c r="BN550" s="136"/>
    </row>
    <row r="551" spans="1:66" ht="15.75" customHeight="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  <c r="AW551" s="136"/>
      <c r="AX551" s="136"/>
      <c r="AY551" s="136"/>
      <c r="AZ551" s="136"/>
      <c r="BA551" s="136"/>
      <c r="BB551" s="136"/>
      <c r="BC551" s="136"/>
      <c r="BD551" s="136"/>
      <c r="BE551" s="136"/>
      <c r="BF551" s="136"/>
      <c r="BG551" s="136"/>
      <c r="BH551" s="136"/>
      <c r="BI551" s="136"/>
      <c r="BJ551" s="136"/>
      <c r="BK551" s="136"/>
      <c r="BL551" s="136"/>
      <c r="BM551" s="136"/>
      <c r="BN551" s="136"/>
    </row>
    <row r="552" spans="1:66" ht="15.75" customHeight="1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136"/>
      <c r="AQ552" s="136"/>
      <c r="AR552" s="136"/>
      <c r="AS552" s="136"/>
      <c r="AT552" s="136"/>
      <c r="AU552" s="136"/>
      <c r="AV552" s="136"/>
      <c r="AW552" s="136"/>
      <c r="AX552" s="136"/>
      <c r="AY552" s="136"/>
      <c r="AZ552" s="136"/>
      <c r="BA552" s="136"/>
      <c r="BB552" s="136"/>
      <c r="BC552" s="136"/>
      <c r="BD552" s="136"/>
      <c r="BE552" s="136"/>
      <c r="BF552" s="136"/>
      <c r="BG552" s="136"/>
      <c r="BH552" s="136"/>
      <c r="BI552" s="136"/>
      <c r="BJ552" s="136"/>
      <c r="BK552" s="136"/>
      <c r="BL552" s="136"/>
      <c r="BM552" s="136"/>
      <c r="BN552" s="136"/>
    </row>
    <row r="553" spans="1:66" ht="15.75" customHeight="1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  <c r="AW553" s="136"/>
      <c r="AX553" s="136"/>
      <c r="AY553" s="136"/>
      <c r="AZ553" s="136"/>
      <c r="BA553" s="136"/>
      <c r="BB553" s="136"/>
      <c r="BC553" s="136"/>
      <c r="BD553" s="136"/>
      <c r="BE553" s="136"/>
      <c r="BF553" s="136"/>
      <c r="BG553" s="136"/>
      <c r="BH553" s="136"/>
      <c r="BI553" s="136"/>
      <c r="BJ553" s="136"/>
      <c r="BK553" s="136"/>
      <c r="BL553" s="136"/>
      <c r="BM553" s="136"/>
      <c r="BN553" s="136"/>
    </row>
    <row r="554" spans="1:66" ht="15.75" customHeight="1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  <c r="AW554" s="136"/>
      <c r="AX554" s="136"/>
      <c r="AY554" s="136"/>
      <c r="AZ554" s="136"/>
      <c r="BA554" s="136"/>
      <c r="BB554" s="136"/>
      <c r="BC554" s="136"/>
      <c r="BD554" s="136"/>
      <c r="BE554" s="136"/>
      <c r="BF554" s="136"/>
      <c r="BG554" s="136"/>
      <c r="BH554" s="136"/>
      <c r="BI554" s="136"/>
      <c r="BJ554" s="136"/>
      <c r="BK554" s="136"/>
      <c r="BL554" s="136"/>
      <c r="BM554" s="136"/>
      <c r="BN554" s="136"/>
    </row>
    <row r="555" spans="1:66" ht="15.75" customHeight="1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136"/>
      <c r="AS555" s="136"/>
      <c r="AT555" s="136"/>
      <c r="AU555" s="136"/>
      <c r="AV555" s="136"/>
      <c r="AW555" s="136"/>
      <c r="AX555" s="136"/>
      <c r="AY555" s="136"/>
      <c r="AZ555" s="136"/>
      <c r="BA555" s="136"/>
      <c r="BB555" s="136"/>
      <c r="BC555" s="136"/>
      <c r="BD555" s="136"/>
      <c r="BE555" s="136"/>
      <c r="BF555" s="136"/>
      <c r="BG555" s="136"/>
      <c r="BH555" s="136"/>
      <c r="BI555" s="136"/>
      <c r="BJ555" s="136"/>
      <c r="BK555" s="136"/>
      <c r="BL555" s="136"/>
      <c r="BM555" s="136"/>
      <c r="BN555" s="136"/>
    </row>
    <row r="556" spans="1:66" ht="15.75" customHeight="1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136"/>
      <c r="AS556" s="136"/>
      <c r="AT556" s="136"/>
      <c r="AU556" s="136"/>
      <c r="AV556" s="136"/>
      <c r="AW556" s="136"/>
      <c r="AX556" s="136"/>
      <c r="AY556" s="136"/>
      <c r="AZ556" s="136"/>
      <c r="BA556" s="136"/>
      <c r="BB556" s="136"/>
      <c r="BC556" s="136"/>
      <c r="BD556" s="136"/>
      <c r="BE556" s="136"/>
      <c r="BF556" s="136"/>
      <c r="BG556" s="136"/>
      <c r="BH556" s="136"/>
      <c r="BI556" s="136"/>
      <c r="BJ556" s="136"/>
      <c r="BK556" s="136"/>
      <c r="BL556" s="136"/>
      <c r="BM556" s="136"/>
      <c r="BN556" s="136"/>
    </row>
    <row r="557" spans="1:66" ht="15.75" customHeight="1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  <c r="AW557" s="136"/>
      <c r="AX557" s="136"/>
      <c r="AY557" s="136"/>
      <c r="AZ557" s="136"/>
      <c r="BA557" s="136"/>
      <c r="BB557" s="136"/>
      <c r="BC557" s="136"/>
      <c r="BD557" s="136"/>
      <c r="BE557" s="136"/>
      <c r="BF557" s="136"/>
      <c r="BG557" s="136"/>
      <c r="BH557" s="136"/>
      <c r="BI557" s="136"/>
      <c r="BJ557" s="136"/>
      <c r="BK557" s="136"/>
      <c r="BL557" s="136"/>
      <c r="BM557" s="136"/>
      <c r="BN557" s="136"/>
    </row>
    <row r="558" spans="1:66" ht="15.75" customHeight="1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136"/>
      <c r="AS558" s="136"/>
      <c r="AT558" s="136"/>
      <c r="AU558" s="136"/>
      <c r="AV558" s="136"/>
      <c r="AW558" s="136"/>
      <c r="AX558" s="136"/>
      <c r="AY558" s="136"/>
      <c r="AZ558" s="136"/>
      <c r="BA558" s="136"/>
      <c r="BB558" s="136"/>
      <c r="BC558" s="136"/>
      <c r="BD558" s="136"/>
      <c r="BE558" s="136"/>
      <c r="BF558" s="136"/>
      <c r="BG558" s="136"/>
      <c r="BH558" s="136"/>
      <c r="BI558" s="136"/>
      <c r="BJ558" s="136"/>
      <c r="BK558" s="136"/>
      <c r="BL558" s="136"/>
      <c r="BM558" s="136"/>
      <c r="BN558" s="136"/>
    </row>
    <row r="559" spans="1:66" ht="15.75" customHeight="1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136"/>
      <c r="AS559" s="136"/>
      <c r="AT559" s="136"/>
      <c r="AU559" s="136"/>
      <c r="AV559" s="136"/>
      <c r="AW559" s="136"/>
      <c r="AX559" s="136"/>
      <c r="AY559" s="136"/>
      <c r="AZ559" s="136"/>
      <c r="BA559" s="136"/>
      <c r="BB559" s="136"/>
      <c r="BC559" s="136"/>
      <c r="BD559" s="136"/>
      <c r="BE559" s="136"/>
      <c r="BF559" s="136"/>
      <c r="BG559" s="136"/>
      <c r="BH559" s="136"/>
      <c r="BI559" s="136"/>
      <c r="BJ559" s="136"/>
      <c r="BK559" s="136"/>
      <c r="BL559" s="136"/>
      <c r="BM559" s="136"/>
      <c r="BN559" s="136"/>
    </row>
    <row r="560" spans="1:66" ht="15.75" customHeight="1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  <c r="AX560" s="136"/>
      <c r="AY560" s="136"/>
      <c r="AZ560" s="136"/>
      <c r="BA560" s="136"/>
      <c r="BB560" s="136"/>
      <c r="BC560" s="136"/>
      <c r="BD560" s="136"/>
      <c r="BE560" s="136"/>
      <c r="BF560" s="136"/>
      <c r="BG560" s="136"/>
      <c r="BH560" s="136"/>
      <c r="BI560" s="136"/>
      <c r="BJ560" s="136"/>
      <c r="BK560" s="136"/>
      <c r="BL560" s="136"/>
      <c r="BM560" s="136"/>
      <c r="BN560" s="136"/>
    </row>
    <row r="561" spans="1:66" ht="15.75" customHeight="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  <c r="AW561" s="136"/>
      <c r="AX561" s="136"/>
      <c r="AY561" s="136"/>
      <c r="AZ561" s="136"/>
      <c r="BA561" s="136"/>
      <c r="BB561" s="136"/>
      <c r="BC561" s="136"/>
      <c r="BD561" s="136"/>
      <c r="BE561" s="136"/>
      <c r="BF561" s="136"/>
      <c r="BG561" s="136"/>
      <c r="BH561" s="136"/>
      <c r="BI561" s="136"/>
      <c r="BJ561" s="136"/>
      <c r="BK561" s="136"/>
      <c r="BL561" s="136"/>
      <c r="BM561" s="136"/>
      <c r="BN561" s="136"/>
    </row>
    <row r="562" spans="1:66" ht="15.75" customHeight="1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136"/>
      <c r="AU562" s="136"/>
      <c r="AV562" s="136"/>
      <c r="AW562" s="136"/>
      <c r="AX562" s="136"/>
      <c r="AY562" s="136"/>
      <c r="AZ562" s="136"/>
      <c r="BA562" s="136"/>
      <c r="BB562" s="136"/>
      <c r="BC562" s="136"/>
      <c r="BD562" s="136"/>
      <c r="BE562" s="136"/>
      <c r="BF562" s="136"/>
      <c r="BG562" s="136"/>
      <c r="BH562" s="136"/>
      <c r="BI562" s="136"/>
      <c r="BJ562" s="136"/>
      <c r="BK562" s="136"/>
      <c r="BL562" s="136"/>
      <c r="BM562" s="136"/>
      <c r="BN562" s="136"/>
    </row>
    <row r="563" spans="1:66" ht="15.75" customHeight="1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  <c r="BE563" s="136"/>
      <c r="BF563" s="136"/>
      <c r="BG563" s="136"/>
      <c r="BH563" s="136"/>
      <c r="BI563" s="136"/>
      <c r="BJ563" s="136"/>
      <c r="BK563" s="136"/>
      <c r="BL563" s="136"/>
      <c r="BM563" s="136"/>
      <c r="BN563" s="136"/>
    </row>
    <row r="564" spans="1:66" ht="15.75" customHeight="1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136"/>
      <c r="AQ564" s="136"/>
      <c r="AR564" s="136"/>
      <c r="AS564" s="136"/>
      <c r="AT564" s="136"/>
      <c r="AU564" s="136"/>
      <c r="AV564" s="136"/>
      <c r="AW564" s="136"/>
      <c r="AX564" s="136"/>
      <c r="AY564" s="136"/>
      <c r="AZ564" s="136"/>
      <c r="BA564" s="136"/>
      <c r="BB564" s="136"/>
      <c r="BC564" s="136"/>
      <c r="BD564" s="136"/>
      <c r="BE564" s="136"/>
      <c r="BF564" s="136"/>
      <c r="BG564" s="136"/>
      <c r="BH564" s="136"/>
      <c r="BI564" s="136"/>
      <c r="BJ564" s="136"/>
      <c r="BK564" s="136"/>
      <c r="BL564" s="136"/>
      <c r="BM564" s="136"/>
      <c r="BN564" s="136"/>
    </row>
    <row r="565" spans="1:66" ht="15.75" customHeight="1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/>
      <c r="AX565" s="136"/>
      <c r="AY565" s="136"/>
      <c r="AZ565" s="136"/>
      <c r="BA565" s="136"/>
      <c r="BB565" s="136"/>
      <c r="BC565" s="136"/>
      <c r="BD565" s="136"/>
      <c r="BE565" s="136"/>
      <c r="BF565" s="136"/>
      <c r="BG565" s="136"/>
      <c r="BH565" s="136"/>
      <c r="BI565" s="136"/>
      <c r="BJ565" s="136"/>
      <c r="BK565" s="136"/>
      <c r="BL565" s="136"/>
      <c r="BM565" s="136"/>
      <c r="BN565" s="136"/>
    </row>
    <row r="566" spans="1:66" ht="15.75" customHeight="1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136"/>
      <c r="AU566" s="136"/>
      <c r="AV566" s="136"/>
      <c r="AW566" s="136"/>
      <c r="AX566" s="136"/>
      <c r="AY566" s="136"/>
      <c r="AZ566" s="136"/>
      <c r="BA566" s="136"/>
      <c r="BB566" s="136"/>
      <c r="BC566" s="136"/>
      <c r="BD566" s="136"/>
      <c r="BE566" s="136"/>
      <c r="BF566" s="136"/>
      <c r="BG566" s="136"/>
      <c r="BH566" s="136"/>
      <c r="BI566" s="136"/>
      <c r="BJ566" s="136"/>
      <c r="BK566" s="136"/>
      <c r="BL566" s="136"/>
      <c r="BM566" s="136"/>
      <c r="BN566" s="136"/>
    </row>
    <row r="567" spans="1:66" ht="15.75" customHeight="1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/>
      <c r="AT567" s="136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  <c r="BE567" s="136"/>
      <c r="BF567" s="136"/>
      <c r="BG567" s="136"/>
      <c r="BH567" s="136"/>
      <c r="BI567" s="136"/>
      <c r="BJ567" s="136"/>
      <c r="BK567" s="136"/>
      <c r="BL567" s="136"/>
      <c r="BM567" s="136"/>
      <c r="BN567" s="136"/>
    </row>
    <row r="568" spans="1:66" ht="15.75" customHeight="1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  <c r="AX568" s="136"/>
      <c r="AY568" s="136"/>
      <c r="AZ568" s="136"/>
      <c r="BA568" s="136"/>
      <c r="BB568" s="136"/>
      <c r="BC568" s="136"/>
      <c r="BD568" s="136"/>
      <c r="BE568" s="136"/>
      <c r="BF568" s="136"/>
      <c r="BG568" s="136"/>
      <c r="BH568" s="136"/>
      <c r="BI568" s="136"/>
      <c r="BJ568" s="136"/>
      <c r="BK568" s="136"/>
      <c r="BL568" s="136"/>
      <c r="BM568" s="136"/>
      <c r="BN568" s="136"/>
    </row>
    <row r="569" spans="1:66" ht="15.75" customHeight="1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  <c r="AW569" s="136"/>
      <c r="AX569" s="136"/>
      <c r="AY569" s="136"/>
      <c r="AZ569" s="136"/>
      <c r="BA569" s="136"/>
      <c r="BB569" s="136"/>
      <c r="BC569" s="136"/>
      <c r="BD569" s="136"/>
      <c r="BE569" s="136"/>
      <c r="BF569" s="136"/>
      <c r="BG569" s="136"/>
      <c r="BH569" s="136"/>
      <c r="BI569" s="136"/>
      <c r="BJ569" s="136"/>
      <c r="BK569" s="136"/>
      <c r="BL569" s="136"/>
      <c r="BM569" s="136"/>
      <c r="BN569" s="136"/>
    </row>
    <row r="570" spans="1:66" ht="15.75" customHeight="1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136"/>
      <c r="AQ570" s="136"/>
      <c r="AR570" s="136"/>
      <c r="AS570" s="136"/>
      <c r="AT570" s="136"/>
      <c r="AU570" s="136"/>
      <c r="AV570" s="136"/>
      <c r="AW570" s="136"/>
      <c r="AX570" s="136"/>
      <c r="AY570" s="136"/>
      <c r="AZ570" s="136"/>
      <c r="BA570" s="136"/>
      <c r="BB570" s="136"/>
      <c r="BC570" s="136"/>
      <c r="BD570" s="136"/>
      <c r="BE570" s="136"/>
      <c r="BF570" s="136"/>
      <c r="BG570" s="136"/>
      <c r="BH570" s="136"/>
      <c r="BI570" s="136"/>
      <c r="BJ570" s="136"/>
      <c r="BK570" s="136"/>
      <c r="BL570" s="136"/>
      <c r="BM570" s="136"/>
      <c r="BN570" s="136"/>
    </row>
    <row r="571" spans="1:66" ht="15.75" customHeight="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  <c r="AW571" s="136"/>
      <c r="AX571" s="136"/>
      <c r="AY571" s="136"/>
      <c r="AZ571" s="136"/>
      <c r="BA571" s="136"/>
      <c r="BB571" s="136"/>
      <c r="BC571" s="136"/>
      <c r="BD571" s="136"/>
      <c r="BE571" s="136"/>
      <c r="BF571" s="136"/>
      <c r="BG571" s="136"/>
      <c r="BH571" s="136"/>
      <c r="BI571" s="136"/>
      <c r="BJ571" s="136"/>
      <c r="BK571" s="136"/>
      <c r="BL571" s="136"/>
      <c r="BM571" s="136"/>
      <c r="BN571" s="136"/>
    </row>
    <row r="572" spans="1:66" ht="15.75" customHeight="1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  <c r="AW572" s="136"/>
      <c r="AX572" s="136"/>
      <c r="AY572" s="136"/>
      <c r="AZ572" s="136"/>
      <c r="BA572" s="136"/>
      <c r="BB572" s="136"/>
      <c r="BC572" s="136"/>
      <c r="BD572" s="136"/>
      <c r="BE572" s="136"/>
      <c r="BF572" s="136"/>
      <c r="BG572" s="136"/>
      <c r="BH572" s="136"/>
      <c r="BI572" s="136"/>
      <c r="BJ572" s="136"/>
      <c r="BK572" s="136"/>
      <c r="BL572" s="136"/>
      <c r="BM572" s="136"/>
      <c r="BN572" s="136"/>
    </row>
    <row r="573" spans="1:66" ht="15.75" customHeight="1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136"/>
      <c r="AQ573" s="136"/>
      <c r="AR573" s="136"/>
      <c r="AS573" s="136"/>
      <c r="AT573" s="136"/>
      <c r="AU573" s="136"/>
      <c r="AV573" s="136"/>
      <c r="AW573" s="136"/>
      <c r="AX573" s="136"/>
      <c r="AY573" s="136"/>
      <c r="AZ573" s="136"/>
      <c r="BA573" s="136"/>
      <c r="BB573" s="136"/>
      <c r="BC573" s="136"/>
      <c r="BD573" s="136"/>
      <c r="BE573" s="136"/>
      <c r="BF573" s="136"/>
      <c r="BG573" s="136"/>
      <c r="BH573" s="136"/>
      <c r="BI573" s="136"/>
      <c r="BJ573" s="136"/>
      <c r="BK573" s="136"/>
      <c r="BL573" s="136"/>
      <c r="BM573" s="136"/>
      <c r="BN573" s="136"/>
    </row>
    <row r="574" spans="1:66" ht="15.75" customHeight="1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136"/>
      <c r="AU574" s="136"/>
      <c r="AV574" s="136"/>
      <c r="AW574" s="136"/>
      <c r="AX574" s="136"/>
      <c r="AY574" s="136"/>
      <c r="AZ574" s="136"/>
      <c r="BA574" s="136"/>
      <c r="BB574" s="136"/>
      <c r="BC574" s="136"/>
      <c r="BD574" s="136"/>
      <c r="BE574" s="136"/>
      <c r="BF574" s="136"/>
      <c r="BG574" s="136"/>
      <c r="BH574" s="136"/>
      <c r="BI574" s="136"/>
      <c r="BJ574" s="136"/>
      <c r="BK574" s="136"/>
      <c r="BL574" s="136"/>
      <c r="BM574" s="136"/>
      <c r="BN574" s="136"/>
    </row>
    <row r="575" spans="1:66" ht="15.75" customHeight="1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  <c r="AX575" s="136"/>
      <c r="AY575" s="136"/>
      <c r="AZ575" s="136"/>
      <c r="BA575" s="136"/>
      <c r="BB575" s="136"/>
      <c r="BC575" s="136"/>
      <c r="BD575" s="136"/>
      <c r="BE575" s="136"/>
      <c r="BF575" s="136"/>
      <c r="BG575" s="136"/>
      <c r="BH575" s="136"/>
      <c r="BI575" s="136"/>
      <c r="BJ575" s="136"/>
      <c r="BK575" s="136"/>
      <c r="BL575" s="136"/>
      <c r="BM575" s="136"/>
      <c r="BN575" s="136"/>
    </row>
    <row r="576" spans="1:66" ht="15.75" customHeight="1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136"/>
      <c r="AS576" s="136"/>
      <c r="AT576" s="136"/>
      <c r="AU576" s="136"/>
      <c r="AV576" s="136"/>
      <c r="AW576" s="136"/>
      <c r="AX576" s="136"/>
      <c r="AY576" s="136"/>
      <c r="AZ576" s="136"/>
      <c r="BA576" s="136"/>
      <c r="BB576" s="136"/>
      <c r="BC576" s="136"/>
      <c r="BD576" s="136"/>
      <c r="BE576" s="136"/>
      <c r="BF576" s="136"/>
      <c r="BG576" s="136"/>
      <c r="BH576" s="136"/>
      <c r="BI576" s="136"/>
      <c r="BJ576" s="136"/>
      <c r="BK576" s="136"/>
      <c r="BL576" s="136"/>
      <c r="BM576" s="136"/>
      <c r="BN576" s="136"/>
    </row>
    <row r="577" spans="1:66" ht="15.75" customHeight="1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136"/>
      <c r="AU577" s="136"/>
      <c r="AV577" s="136"/>
      <c r="AW577" s="136"/>
      <c r="AX577" s="136"/>
      <c r="AY577" s="136"/>
      <c r="AZ577" s="136"/>
      <c r="BA577" s="136"/>
      <c r="BB577" s="136"/>
      <c r="BC577" s="136"/>
      <c r="BD577" s="136"/>
      <c r="BE577" s="136"/>
      <c r="BF577" s="136"/>
      <c r="BG577" s="136"/>
      <c r="BH577" s="136"/>
      <c r="BI577" s="136"/>
      <c r="BJ577" s="136"/>
      <c r="BK577" s="136"/>
      <c r="BL577" s="136"/>
      <c r="BM577" s="136"/>
      <c r="BN577" s="136"/>
    </row>
    <row r="578" spans="1:66" ht="15.75" customHeight="1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136"/>
      <c r="AS578" s="136"/>
      <c r="AT578" s="136"/>
      <c r="AU578" s="136"/>
      <c r="AV578" s="136"/>
      <c r="AW578" s="136"/>
      <c r="AX578" s="136"/>
      <c r="AY578" s="136"/>
      <c r="AZ578" s="136"/>
      <c r="BA578" s="136"/>
      <c r="BB578" s="136"/>
      <c r="BC578" s="136"/>
      <c r="BD578" s="136"/>
      <c r="BE578" s="136"/>
      <c r="BF578" s="136"/>
      <c r="BG578" s="136"/>
      <c r="BH578" s="136"/>
      <c r="BI578" s="136"/>
      <c r="BJ578" s="136"/>
      <c r="BK578" s="136"/>
      <c r="BL578" s="136"/>
      <c r="BM578" s="136"/>
      <c r="BN578" s="136"/>
    </row>
    <row r="579" spans="1:66" ht="15.75" customHeight="1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/>
      <c r="AT579" s="136"/>
      <c r="AU579" s="136"/>
      <c r="AV579" s="136"/>
      <c r="AW579" s="136"/>
      <c r="AX579" s="136"/>
      <c r="AY579" s="136"/>
      <c r="AZ579" s="136"/>
      <c r="BA579" s="136"/>
      <c r="BB579" s="136"/>
      <c r="BC579" s="136"/>
      <c r="BD579" s="136"/>
      <c r="BE579" s="136"/>
      <c r="BF579" s="136"/>
      <c r="BG579" s="136"/>
      <c r="BH579" s="136"/>
      <c r="BI579" s="136"/>
      <c r="BJ579" s="136"/>
      <c r="BK579" s="136"/>
      <c r="BL579" s="136"/>
      <c r="BM579" s="136"/>
      <c r="BN579" s="136"/>
    </row>
    <row r="580" spans="1:66" ht="15.75" customHeight="1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  <c r="AW580" s="136"/>
      <c r="AX580" s="136"/>
      <c r="AY580" s="136"/>
      <c r="AZ580" s="136"/>
      <c r="BA580" s="136"/>
      <c r="BB580" s="136"/>
      <c r="BC580" s="136"/>
      <c r="BD580" s="136"/>
      <c r="BE580" s="136"/>
      <c r="BF580" s="136"/>
      <c r="BG580" s="136"/>
      <c r="BH580" s="136"/>
      <c r="BI580" s="136"/>
      <c r="BJ580" s="136"/>
      <c r="BK580" s="136"/>
      <c r="BL580" s="136"/>
      <c r="BM580" s="136"/>
      <c r="BN580" s="136"/>
    </row>
    <row r="581" spans="1:66" ht="15.75" customHeight="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  <c r="AW581" s="136"/>
      <c r="AX581" s="136"/>
      <c r="AY581" s="136"/>
      <c r="AZ581" s="136"/>
      <c r="BA581" s="136"/>
      <c r="BB581" s="136"/>
      <c r="BC581" s="136"/>
      <c r="BD581" s="136"/>
      <c r="BE581" s="136"/>
      <c r="BF581" s="136"/>
      <c r="BG581" s="136"/>
      <c r="BH581" s="136"/>
      <c r="BI581" s="136"/>
      <c r="BJ581" s="136"/>
      <c r="BK581" s="136"/>
      <c r="BL581" s="136"/>
      <c r="BM581" s="136"/>
      <c r="BN581" s="136"/>
    </row>
    <row r="582" spans="1:66" ht="15.75" customHeight="1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136"/>
      <c r="AQ582" s="136"/>
      <c r="AR582" s="136"/>
      <c r="AS582" s="136"/>
      <c r="AT582" s="136"/>
      <c r="AU582" s="136"/>
      <c r="AV582" s="136"/>
      <c r="AW582" s="136"/>
      <c r="AX582" s="136"/>
      <c r="AY582" s="136"/>
      <c r="AZ582" s="136"/>
      <c r="BA582" s="136"/>
      <c r="BB582" s="136"/>
      <c r="BC582" s="136"/>
      <c r="BD582" s="136"/>
      <c r="BE582" s="136"/>
      <c r="BF582" s="136"/>
      <c r="BG582" s="136"/>
      <c r="BH582" s="136"/>
      <c r="BI582" s="136"/>
      <c r="BJ582" s="136"/>
      <c r="BK582" s="136"/>
      <c r="BL582" s="136"/>
      <c r="BM582" s="136"/>
      <c r="BN582" s="136"/>
    </row>
    <row r="583" spans="1:66" ht="15.75" customHeight="1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  <c r="AW583" s="136"/>
      <c r="AX583" s="136"/>
      <c r="AY583" s="136"/>
      <c r="AZ583" s="136"/>
      <c r="BA583" s="136"/>
      <c r="BB583" s="136"/>
      <c r="BC583" s="136"/>
      <c r="BD583" s="136"/>
      <c r="BE583" s="136"/>
      <c r="BF583" s="136"/>
      <c r="BG583" s="136"/>
      <c r="BH583" s="136"/>
      <c r="BI583" s="136"/>
      <c r="BJ583" s="136"/>
      <c r="BK583" s="136"/>
      <c r="BL583" s="136"/>
      <c r="BM583" s="136"/>
      <c r="BN583" s="136"/>
    </row>
    <row r="584" spans="1:66" ht="15.75" customHeight="1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  <c r="AX584" s="136"/>
      <c r="AY584" s="136"/>
      <c r="AZ584" s="136"/>
      <c r="BA584" s="136"/>
      <c r="BB584" s="136"/>
      <c r="BC584" s="136"/>
      <c r="BD584" s="136"/>
      <c r="BE584" s="136"/>
      <c r="BF584" s="136"/>
      <c r="BG584" s="136"/>
      <c r="BH584" s="136"/>
      <c r="BI584" s="136"/>
      <c r="BJ584" s="136"/>
      <c r="BK584" s="136"/>
      <c r="BL584" s="136"/>
      <c r="BM584" s="136"/>
      <c r="BN584" s="136"/>
    </row>
    <row r="585" spans="1:66" ht="15.75" customHeight="1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136"/>
      <c r="AQ585" s="136"/>
      <c r="AR585" s="136"/>
      <c r="AS585" s="136"/>
      <c r="AT585" s="136"/>
      <c r="AU585" s="136"/>
      <c r="AV585" s="136"/>
      <c r="AW585" s="136"/>
      <c r="AX585" s="136"/>
      <c r="AY585" s="136"/>
      <c r="AZ585" s="136"/>
      <c r="BA585" s="136"/>
      <c r="BB585" s="136"/>
      <c r="BC585" s="136"/>
      <c r="BD585" s="136"/>
      <c r="BE585" s="136"/>
      <c r="BF585" s="136"/>
      <c r="BG585" s="136"/>
      <c r="BH585" s="136"/>
      <c r="BI585" s="136"/>
      <c r="BJ585" s="136"/>
      <c r="BK585" s="136"/>
      <c r="BL585" s="136"/>
      <c r="BM585" s="136"/>
      <c r="BN585" s="136"/>
    </row>
    <row r="586" spans="1:66" ht="15.75" customHeight="1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  <c r="AW586" s="136"/>
      <c r="AX586" s="136"/>
      <c r="AY586" s="136"/>
      <c r="AZ586" s="136"/>
      <c r="BA586" s="136"/>
      <c r="BB586" s="136"/>
      <c r="BC586" s="136"/>
      <c r="BD586" s="136"/>
      <c r="BE586" s="136"/>
      <c r="BF586" s="136"/>
      <c r="BG586" s="136"/>
      <c r="BH586" s="136"/>
      <c r="BI586" s="136"/>
      <c r="BJ586" s="136"/>
      <c r="BK586" s="136"/>
      <c r="BL586" s="136"/>
      <c r="BM586" s="136"/>
      <c r="BN586" s="136"/>
    </row>
    <row r="587" spans="1:66" ht="15.75" customHeight="1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  <c r="AW587" s="136"/>
      <c r="AX587" s="136"/>
      <c r="AY587" s="136"/>
      <c r="AZ587" s="136"/>
      <c r="BA587" s="136"/>
      <c r="BB587" s="136"/>
      <c r="BC587" s="136"/>
      <c r="BD587" s="136"/>
      <c r="BE587" s="136"/>
      <c r="BF587" s="136"/>
      <c r="BG587" s="136"/>
      <c r="BH587" s="136"/>
      <c r="BI587" s="136"/>
      <c r="BJ587" s="136"/>
      <c r="BK587" s="136"/>
      <c r="BL587" s="136"/>
      <c r="BM587" s="136"/>
      <c r="BN587" s="136"/>
    </row>
    <row r="588" spans="1:66" ht="15.75" customHeight="1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136"/>
      <c r="AQ588" s="136"/>
      <c r="AR588" s="136"/>
      <c r="AS588" s="136"/>
      <c r="AT588" s="136"/>
      <c r="AU588" s="136"/>
      <c r="AV588" s="136"/>
      <c r="AW588" s="136"/>
      <c r="AX588" s="136"/>
      <c r="AY588" s="136"/>
      <c r="AZ588" s="136"/>
      <c r="BA588" s="136"/>
      <c r="BB588" s="136"/>
      <c r="BC588" s="136"/>
      <c r="BD588" s="136"/>
      <c r="BE588" s="136"/>
      <c r="BF588" s="136"/>
      <c r="BG588" s="136"/>
      <c r="BH588" s="136"/>
      <c r="BI588" s="136"/>
      <c r="BJ588" s="136"/>
      <c r="BK588" s="136"/>
      <c r="BL588" s="136"/>
      <c r="BM588" s="136"/>
      <c r="BN588" s="136"/>
    </row>
    <row r="589" spans="1:66" ht="15.75" customHeight="1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  <c r="AW589" s="136"/>
      <c r="AX589" s="136"/>
      <c r="AY589" s="136"/>
      <c r="AZ589" s="136"/>
      <c r="BA589" s="136"/>
      <c r="BB589" s="136"/>
      <c r="BC589" s="136"/>
      <c r="BD589" s="136"/>
      <c r="BE589" s="136"/>
      <c r="BF589" s="136"/>
      <c r="BG589" s="136"/>
      <c r="BH589" s="136"/>
      <c r="BI589" s="136"/>
      <c r="BJ589" s="136"/>
      <c r="BK589" s="136"/>
      <c r="BL589" s="136"/>
      <c r="BM589" s="136"/>
      <c r="BN589" s="136"/>
    </row>
    <row r="590" spans="1:66" ht="15.75" customHeight="1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136"/>
      <c r="AU590" s="136"/>
      <c r="AV590" s="136"/>
      <c r="AW590" s="136"/>
      <c r="AX590" s="136"/>
      <c r="AY590" s="136"/>
      <c r="AZ590" s="136"/>
      <c r="BA590" s="136"/>
      <c r="BB590" s="136"/>
      <c r="BC590" s="136"/>
      <c r="BD590" s="136"/>
      <c r="BE590" s="136"/>
      <c r="BF590" s="136"/>
      <c r="BG590" s="136"/>
      <c r="BH590" s="136"/>
      <c r="BI590" s="136"/>
      <c r="BJ590" s="136"/>
      <c r="BK590" s="136"/>
      <c r="BL590" s="136"/>
      <c r="BM590" s="136"/>
      <c r="BN590" s="136"/>
    </row>
    <row r="591" spans="1:66" ht="15.75" customHeight="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136"/>
      <c r="AQ591" s="136"/>
      <c r="AR591" s="136"/>
      <c r="AS591" s="136"/>
      <c r="AT591" s="136"/>
      <c r="AU591" s="136"/>
      <c r="AV591" s="136"/>
      <c r="AW591" s="136"/>
      <c r="AX591" s="136"/>
      <c r="AY591" s="136"/>
      <c r="AZ591" s="136"/>
      <c r="BA591" s="136"/>
      <c r="BB591" s="136"/>
      <c r="BC591" s="136"/>
      <c r="BD591" s="136"/>
      <c r="BE591" s="136"/>
      <c r="BF591" s="136"/>
      <c r="BG591" s="136"/>
      <c r="BH591" s="136"/>
      <c r="BI591" s="136"/>
      <c r="BJ591" s="136"/>
      <c r="BK591" s="136"/>
      <c r="BL591" s="136"/>
      <c r="BM591" s="136"/>
      <c r="BN591" s="136"/>
    </row>
    <row r="592" spans="1:66" ht="15.75" customHeight="1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136"/>
      <c r="AU592" s="136"/>
      <c r="AV592" s="136"/>
      <c r="AW592" s="136"/>
      <c r="AX592" s="136"/>
      <c r="AY592" s="136"/>
      <c r="AZ592" s="136"/>
      <c r="BA592" s="136"/>
      <c r="BB592" s="136"/>
      <c r="BC592" s="136"/>
      <c r="BD592" s="136"/>
      <c r="BE592" s="136"/>
      <c r="BF592" s="136"/>
      <c r="BG592" s="136"/>
      <c r="BH592" s="136"/>
      <c r="BI592" s="136"/>
      <c r="BJ592" s="136"/>
      <c r="BK592" s="136"/>
      <c r="BL592" s="136"/>
      <c r="BM592" s="136"/>
      <c r="BN592" s="136"/>
    </row>
    <row r="593" spans="1:66" ht="15.75" customHeight="1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  <c r="BF593" s="136"/>
      <c r="BG593" s="136"/>
      <c r="BH593" s="136"/>
      <c r="BI593" s="136"/>
      <c r="BJ593" s="136"/>
      <c r="BK593" s="136"/>
      <c r="BL593" s="136"/>
      <c r="BM593" s="136"/>
      <c r="BN593" s="136"/>
    </row>
    <row r="594" spans="1:66" ht="15.75" customHeight="1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  <c r="AW594" s="136"/>
      <c r="AX594" s="136"/>
      <c r="AY594" s="136"/>
      <c r="AZ594" s="136"/>
      <c r="BA594" s="136"/>
      <c r="BB594" s="136"/>
      <c r="BC594" s="136"/>
      <c r="BD594" s="136"/>
      <c r="BE594" s="136"/>
      <c r="BF594" s="136"/>
      <c r="BG594" s="136"/>
      <c r="BH594" s="136"/>
      <c r="BI594" s="136"/>
      <c r="BJ594" s="136"/>
      <c r="BK594" s="136"/>
      <c r="BL594" s="136"/>
      <c r="BM594" s="136"/>
      <c r="BN594" s="136"/>
    </row>
    <row r="595" spans="1:66" ht="15.75" customHeight="1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  <c r="AX595" s="136"/>
      <c r="AY595" s="136"/>
      <c r="AZ595" s="136"/>
      <c r="BA595" s="136"/>
      <c r="BB595" s="136"/>
      <c r="BC595" s="136"/>
      <c r="BD595" s="136"/>
      <c r="BE595" s="136"/>
      <c r="BF595" s="136"/>
      <c r="BG595" s="136"/>
      <c r="BH595" s="136"/>
      <c r="BI595" s="136"/>
      <c r="BJ595" s="136"/>
      <c r="BK595" s="136"/>
      <c r="BL595" s="136"/>
      <c r="BM595" s="136"/>
      <c r="BN595" s="136"/>
    </row>
    <row r="596" spans="1:66" ht="15.75" customHeight="1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  <c r="AW596" s="136"/>
      <c r="AX596" s="136"/>
      <c r="AY596" s="136"/>
      <c r="AZ596" s="136"/>
      <c r="BA596" s="136"/>
      <c r="BB596" s="136"/>
      <c r="BC596" s="136"/>
      <c r="BD596" s="136"/>
      <c r="BE596" s="136"/>
      <c r="BF596" s="136"/>
      <c r="BG596" s="136"/>
      <c r="BH596" s="136"/>
      <c r="BI596" s="136"/>
      <c r="BJ596" s="136"/>
      <c r="BK596" s="136"/>
      <c r="BL596" s="136"/>
      <c r="BM596" s="136"/>
      <c r="BN596" s="136"/>
    </row>
    <row r="597" spans="1:66" ht="15.75" customHeight="1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136"/>
      <c r="AQ597" s="136"/>
      <c r="AR597" s="136"/>
      <c r="AS597" s="136"/>
      <c r="AT597" s="136"/>
      <c r="AU597" s="136"/>
      <c r="AV597" s="136"/>
      <c r="AW597" s="136"/>
      <c r="AX597" s="136"/>
      <c r="AY597" s="136"/>
      <c r="AZ597" s="136"/>
      <c r="BA597" s="136"/>
      <c r="BB597" s="136"/>
      <c r="BC597" s="136"/>
      <c r="BD597" s="136"/>
      <c r="BE597" s="136"/>
      <c r="BF597" s="136"/>
      <c r="BG597" s="136"/>
      <c r="BH597" s="136"/>
      <c r="BI597" s="136"/>
      <c r="BJ597" s="136"/>
      <c r="BK597" s="136"/>
      <c r="BL597" s="136"/>
      <c r="BM597" s="136"/>
      <c r="BN597" s="136"/>
    </row>
    <row r="598" spans="1:66" ht="15.75" customHeight="1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136"/>
      <c r="AU598" s="136"/>
      <c r="AV598" s="136"/>
      <c r="AW598" s="136"/>
      <c r="AX598" s="136"/>
      <c r="AY598" s="136"/>
      <c r="AZ598" s="136"/>
      <c r="BA598" s="136"/>
      <c r="BB598" s="136"/>
      <c r="BC598" s="136"/>
      <c r="BD598" s="136"/>
      <c r="BE598" s="136"/>
      <c r="BF598" s="136"/>
      <c r="BG598" s="136"/>
      <c r="BH598" s="136"/>
      <c r="BI598" s="136"/>
      <c r="BJ598" s="136"/>
      <c r="BK598" s="136"/>
      <c r="BL598" s="136"/>
      <c r="BM598" s="136"/>
      <c r="BN598" s="136"/>
    </row>
    <row r="599" spans="1:66" ht="15.75" customHeight="1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  <c r="BE599" s="136"/>
      <c r="BF599" s="136"/>
      <c r="BG599" s="136"/>
      <c r="BH599" s="136"/>
      <c r="BI599" s="136"/>
      <c r="BJ599" s="136"/>
      <c r="BK599" s="136"/>
      <c r="BL599" s="136"/>
      <c r="BM599" s="136"/>
      <c r="BN599" s="136"/>
    </row>
    <row r="600" spans="1:66" ht="15.75" customHeight="1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136"/>
      <c r="AS600" s="136"/>
      <c r="AT600" s="136"/>
      <c r="AU600" s="136"/>
      <c r="AV600" s="136"/>
      <c r="AW600" s="136"/>
      <c r="AX600" s="136"/>
      <c r="AY600" s="136"/>
      <c r="AZ600" s="136"/>
      <c r="BA600" s="136"/>
      <c r="BB600" s="136"/>
      <c r="BC600" s="136"/>
      <c r="BD600" s="136"/>
      <c r="BE600" s="136"/>
      <c r="BF600" s="136"/>
      <c r="BG600" s="136"/>
      <c r="BH600" s="136"/>
      <c r="BI600" s="136"/>
      <c r="BJ600" s="136"/>
      <c r="BK600" s="136"/>
      <c r="BL600" s="136"/>
      <c r="BM600" s="136"/>
      <c r="BN600" s="136"/>
    </row>
    <row r="601" spans="1:66" ht="15.75" customHeight="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  <c r="AW601" s="136"/>
      <c r="AX601" s="136"/>
      <c r="AY601" s="136"/>
      <c r="AZ601" s="136"/>
      <c r="BA601" s="136"/>
      <c r="BB601" s="136"/>
      <c r="BC601" s="136"/>
      <c r="BD601" s="136"/>
      <c r="BE601" s="136"/>
      <c r="BF601" s="136"/>
      <c r="BG601" s="136"/>
      <c r="BH601" s="136"/>
      <c r="BI601" s="136"/>
      <c r="BJ601" s="136"/>
      <c r="BK601" s="136"/>
      <c r="BL601" s="136"/>
      <c r="BM601" s="136"/>
      <c r="BN601" s="136"/>
    </row>
    <row r="602" spans="1:66" ht="15.75" customHeight="1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136"/>
      <c r="AU602" s="136"/>
      <c r="AV602" s="136"/>
      <c r="AW602" s="136"/>
      <c r="AX602" s="136"/>
      <c r="AY602" s="136"/>
      <c r="AZ602" s="136"/>
      <c r="BA602" s="136"/>
      <c r="BB602" s="136"/>
      <c r="BC602" s="136"/>
      <c r="BD602" s="136"/>
      <c r="BE602" s="136"/>
      <c r="BF602" s="136"/>
      <c r="BG602" s="136"/>
      <c r="BH602" s="136"/>
      <c r="BI602" s="136"/>
      <c r="BJ602" s="136"/>
      <c r="BK602" s="136"/>
      <c r="BL602" s="136"/>
      <c r="BM602" s="136"/>
      <c r="BN602" s="136"/>
    </row>
    <row r="603" spans="1:66" ht="15.75" customHeight="1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136"/>
      <c r="AQ603" s="136"/>
      <c r="AR603" s="136"/>
      <c r="AS603" s="136"/>
      <c r="AT603" s="136"/>
      <c r="AU603" s="136"/>
      <c r="AV603" s="136"/>
      <c r="AW603" s="136"/>
      <c r="AX603" s="136"/>
      <c r="AY603" s="136"/>
      <c r="AZ603" s="136"/>
      <c r="BA603" s="136"/>
      <c r="BB603" s="136"/>
      <c r="BC603" s="136"/>
      <c r="BD603" s="136"/>
      <c r="BE603" s="136"/>
      <c r="BF603" s="136"/>
      <c r="BG603" s="136"/>
      <c r="BH603" s="136"/>
      <c r="BI603" s="136"/>
      <c r="BJ603" s="136"/>
      <c r="BK603" s="136"/>
      <c r="BL603" s="136"/>
      <c r="BM603" s="136"/>
      <c r="BN603" s="136"/>
    </row>
    <row r="604" spans="1:66" ht="15.75" customHeight="1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  <c r="AW604" s="136"/>
      <c r="AX604" s="136"/>
      <c r="AY604" s="136"/>
      <c r="AZ604" s="136"/>
      <c r="BA604" s="136"/>
      <c r="BB604" s="136"/>
      <c r="BC604" s="136"/>
      <c r="BD604" s="136"/>
      <c r="BE604" s="136"/>
      <c r="BF604" s="136"/>
      <c r="BG604" s="136"/>
      <c r="BH604" s="136"/>
      <c r="BI604" s="136"/>
      <c r="BJ604" s="136"/>
      <c r="BK604" s="136"/>
      <c r="BL604" s="136"/>
      <c r="BM604" s="136"/>
      <c r="BN604" s="136"/>
    </row>
    <row r="605" spans="1:66" ht="15.75" customHeight="1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  <c r="AW605" s="136"/>
      <c r="AX605" s="136"/>
      <c r="AY605" s="136"/>
      <c r="AZ605" s="136"/>
      <c r="BA605" s="136"/>
      <c r="BB605" s="136"/>
      <c r="BC605" s="136"/>
      <c r="BD605" s="136"/>
      <c r="BE605" s="136"/>
      <c r="BF605" s="136"/>
      <c r="BG605" s="136"/>
      <c r="BH605" s="136"/>
      <c r="BI605" s="136"/>
      <c r="BJ605" s="136"/>
      <c r="BK605" s="136"/>
      <c r="BL605" s="136"/>
      <c r="BM605" s="136"/>
      <c r="BN605" s="136"/>
    </row>
    <row r="606" spans="1:66" ht="15.75" customHeight="1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  <c r="AW606" s="136"/>
      <c r="AX606" s="136"/>
      <c r="AY606" s="136"/>
      <c r="AZ606" s="136"/>
      <c r="BA606" s="136"/>
      <c r="BB606" s="136"/>
      <c r="BC606" s="136"/>
      <c r="BD606" s="136"/>
      <c r="BE606" s="136"/>
      <c r="BF606" s="136"/>
      <c r="BG606" s="136"/>
      <c r="BH606" s="136"/>
      <c r="BI606" s="136"/>
      <c r="BJ606" s="136"/>
      <c r="BK606" s="136"/>
      <c r="BL606" s="136"/>
      <c r="BM606" s="136"/>
      <c r="BN606" s="136"/>
    </row>
    <row r="607" spans="1:66" ht="15.75" customHeight="1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  <c r="AW607" s="136"/>
      <c r="AX607" s="136"/>
      <c r="AY607" s="136"/>
      <c r="AZ607" s="136"/>
      <c r="BA607" s="136"/>
      <c r="BB607" s="136"/>
      <c r="BC607" s="136"/>
      <c r="BD607" s="136"/>
      <c r="BE607" s="136"/>
      <c r="BF607" s="136"/>
      <c r="BG607" s="136"/>
      <c r="BH607" s="136"/>
      <c r="BI607" s="136"/>
      <c r="BJ607" s="136"/>
      <c r="BK607" s="136"/>
      <c r="BL607" s="136"/>
      <c r="BM607" s="136"/>
      <c r="BN607" s="136"/>
    </row>
    <row r="608" spans="1:66" ht="15.75" customHeight="1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136"/>
      <c r="AU608" s="136"/>
      <c r="AV608" s="136"/>
      <c r="AW608" s="136"/>
      <c r="AX608" s="136"/>
      <c r="AY608" s="136"/>
      <c r="AZ608" s="136"/>
      <c r="BA608" s="136"/>
      <c r="BB608" s="136"/>
      <c r="BC608" s="136"/>
      <c r="BD608" s="136"/>
      <c r="BE608" s="136"/>
      <c r="BF608" s="136"/>
      <c r="BG608" s="136"/>
      <c r="BH608" s="136"/>
      <c r="BI608" s="136"/>
      <c r="BJ608" s="136"/>
      <c r="BK608" s="136"/>
      <c r="BL608" s="136"/>
      <c r="BM608" s="136"/>
      <c r="BN608" s="136"/>
    </row>
    <row r="609" spans="1:66" ht="15.75" customHeight="1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136"/>
      <c r="AQ609" s="136"/>
      <c r="AR609" s="136"/>
      <c r="AS609" s="136"/>
      <c r="AT609" s="136"/>
      <c r="AU609" s="136"/>
      <c r="AV609" s="136"/>
      <c r="AW609" s="136"/>
      <c r="AX609" s="136"/>
      <c r="AY609" s="136"/>
      <c r="AZ609" s="136"/>
      <c r="BA609" s="136"/>
      <c r="BB609" s="136"/>
      <c r="BC609" s="136"/>
      <c r="BD609" s="136"/>
      <c r="BE609" s="136"/>
      <c r="BF609" s="136"/>
      <c r="BG609" s="136"/>
      <c r="BH609" s="136"/>
      <c r="BI609" s="136"/>
      <c r="BJ609" s="136"/>
      <c r="BK609" s="136"/>
      <c r="BL609" s="136"/>
      <c r="BM609" s="136"/>
      <c r="BN609" s="136"/>
    </row>
    <row r="610" spans="1:66" ht="15.75" customHeight="1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  <c r="AW610" s="136"/>
      <c r="AX610" s="136"/>
      <c r="AY610" s="136"/>
      <c r="AZ610" s="136"/>
      <c r="BA610" s="136"/>
      <c r="BB610" s="136"/>
      <c r="BC610" s="136"/>
      <c r="BD610" s="136"/>
      <c r="BE610" s="136"/>
      <c r="BF610" s="136"/>
      <c r="BG610" s="136"/>
      <c r="BH610" s="136"/>
      <c r="BI610" s="136"/>
      <c r="BJ610" s="136"/>
      <c r="BK610" s="136"/>
      <c r="BL610" s="136"/>
      <c r="BM610" s="136"/>
      <c r="BN610" s="136"/>
    </row>
    <row r="611" spans="1:66" ht="15.75" customHeight="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136"/>
      <c r="AS611" s="136"/>
      <c r="AT611" s="136"/>
      <c r="AU611" s="136"/>
      <c r="AV611" s="136"/>
      <c r="AW611" s="136"/>
      <c r="AX611" s="136"/>
      <c r="AY611" s="136"/>
      <c r="AZ611" s="136"/>
      <c r="BA611" s="136"/>
      <c r="BB611" s="136"/>
      <c r="BC611" s="136"/>
      <c r="BD611" s="136"/>
      <c r="BE611" s="136"/>
      <c r="BF611" s="136"/>
      <c r="BG611" s="136"/>
      <c r="BH611" s="136"/>
      <c r="BI611" s="136"/>
      <c r="BJ611" s="136"/>
      <c r="BK611" s="136"/>
      <c r="BL611" s="136"/>
      <c r="BM611" s="136"/>
      <c r="BN611" s="136"/>
    </row>
    <row r="612" spans="1:66" ht="15.75" customHeight="1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  <c r="AW612" s="136"/>
      <c r="AX612" s="136"/>
      <c r="AY612" s="136"/>
      <c r="AZ612" s="136"/>
      <c r="BA612" s="136"/>
      <c r="BB612" s="136"/>
      <c r="BC612" s="136"/>
      <c r="BD612" s="136"/>
      <c r="BE612" s="136"/>
      <c r="BF612" s="136"/>
      <c r="BG612" s="136"/>
      <c r="BH612" s="136"/>
      <c r="BI612" s="136"/>
      <c r="BJ612" s="136"/>
      <c r="BK612" s="136"/>
      <c r="BL612" s="136"/>
      <c r="BM612" s="136"/>
      <c r="BN612" s="136"/>
    </row>
    <row r="613" spans="1:66" ht="15.75" customHeight="1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  <c r="AW613" s="136"/>
      <c r="AX613" s="136"/>
      <c r="AY613" s="136"/>
      <c r="AZ613" s="136"/>
      <c r="BA613" s="136"/>
      <c r="BB613" s="136"/>
      <c r="BC613" s="136"/>
      <c r="BD613" s="136"/>
      <c r="BE613" s="136"/>
      <c r="BF613" s="136"/>
      <c r="BG613" s="136"/>
      <c r="BH613" s="136"/>
      <c r="BI613" s="136"/>
      <c r="BJ613" s="136"/>
      <c r="BK613" s="136"/>
      <c r="BL613" s="136"/>
      <c r="BM613" s="136"/>
      <c r="BN613" s="136"/>
    </row>
    <row r="614" spans="1:66" ht="15.75" customHeight="1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136"/>
      <c r="AU614" s="136"/>
      <c r="AV614" s="136"/>
      <c r="AW614" s="136"/>
      <c r="AX614" s="136"/>
      <c r="AY614" s="136"/>
      <c r="AZ614" s="136"/>
      <c r="BA614" s="136"/>
      <c r="BB614" s="136"/>
      <c r="BC614" s="136"/>
      <c r="BD614" s="136"/>
      <c r="BE614" s="136"/>
      <c r="BF614" s="136"/>
      <c r="BG614" s="136"/>
      <c r="BH614" s="136"/>
      <c r="BI614" s="136"/>
      <c r="BJ614" s="136"/>
      <c r="BK614" s="136"/>
      <c r="BL614" s="136"/>
      <c r="BM614" s="136"/>
      <c r="BN614" s="136"/>
    </row>
    <row r="615" spans="1:66" ht="15.75" customHeight="1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136"/>
      <c r="AQ615" s="136"/>
      <c r="AR615" s="136"/>
      <c r="AS615" s="136"/>
      <c r="AT615" s="136"/>
      <c r="AU615" s="136"/>
      <c r="AV615" s="136"/>
      <c r="AW615" s="136"/>
      <c r="AX615" s="136"/>
      <c r="AY615" s="136"/>
      <c r="AZ615" s="136"/>
      <c r="BA615" s="136"/>
      <c r="BB615" s="136"/>
      <c r="BC615" s="136"/>
      <c r="BD615" s="136"/>
      <c r="BE615" s="136"/>
      <c r="BF615" s="136"/>
      <c r="BG615" s="136"/>
      <c r="BH615" s="136"/>
      <c r="BI615" s="136"/>
      <c r="BJ615" s="136"/>
      <c r="BK615" s="136"/>
      <c r="BL615" s="136"/>
      <c r="BM615" s="136"/>
      <c r="BN615" s="136"/>
    </row>
    <row r="616" spans="1:66" ht="15.75" customHeight="1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  <c r="AX616" s="136"/>
      <c r="AY616" s="136"/>
      <c r="AZ616" s="136"/>
      <c r="BA616" s="136"/>
      <c r="BB616" s="136"/>
      <c r="BC616" s="136"/>
      <c r="BD616" s="136"/>
      <c r="BE616" s="136"/>
      <c r="BF616" s="136"/>
      <c r="BG616" s="136"/>
      <c r="BH616" s="136"/>
      <c r="BI616" s="136"/>
      <c r="BJ616" s="136"/>
      <c r="BK616" s="136"/>
      <c r="BL616" s="136"/>
      <c r="BM616" s="136"/>
      <c r="BN616" s="136"/>
    </row>
    <row r="617" spans="1:66" ht="15.75" customHeight="1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  <c r="AX617" s="136"/>
      <c r="AY617" s="136"/>
      <c r="AZ617" s="136"/>
      <c r="BA617" s="136"/>
      <c r="BB617" s="136"/>
      <c r="BC617" s="136"/>
      <c r="BD617" s="136"/>
      <c r="BE617" s="136"/>
      <c r="BF617" s="136"/>
      <c r="BG617" s="136"/>
      <c r="BH617" s="136"/>
      <c r="BI617" s="136"/>
      <c r="BJ617" s="136"/>
      <c r="BK617" s="136"/>
      <c r="BL617" s="136"/>
      <c r="BM617" s="136"/>
      <c r="BN617" s="136"/>
    </row>
    <row r="618" spans="1:66" ht="15.75" customHeight="1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136"/>
      <c r="AQ618" s="136"/>
      <c r="AR618" s="136"/>
      <c r="AS618" s="136"/>
      <c r="AT618" s="136"/>
      <c r="AU618" s="136"/>
      <c r="AV618" s="136"/>
      <c r="AW618" s="136"/>
      <c r="AX618" s="136"/>
      <c r="AY618" s="136"/>
      <c r="AZ618" s="136"/>
      <c r="BA618" s="136"/>
      <c r="BB618" s="136"/>
      <c r="BC618" s="136"/>
      <c r="BD618" s="136"/>
      <c r="BE618" s="136"/>
      <c r="BF618" s="136"/>
      <c r="BG618" s="136"/>
      <c r="BH618" s="136"/>
      <c r="BI618" s="136"/>
      <c r="BJ618" s="136"/>
      <c r="BK618" s="136"/>
      <c r="BL618" s="136"/>
      <c r="BM618" s="136"/>
      <c r="BN618" s="136"/>
    </row>
    <row r="619" spans="1:66" ht="15.75" customHeight="1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  <c r="AX619" s="136"/>
      <c r="AY619" s="136"/>
      <c r="AZ619" s="136"/>
      <c r="BA619" s="136"/>
      <c r="BB619" s="136"/>
      <c r="BC619" s="136"/>
      <c r="BD619" s="136"/>
      <c r="BE619" s="136"/>
      <c r="BF619" s="136"/>
      <c r="BG619" s="136"/>
      <c r="BH619" s="136"/>
      <c r="BI619" s="136"/>
      <c r="BJ619" s="136"/>
      <c r="BK619" s="136"/>
      <c r="BL619" s="136"/>
      <c r="BM619" s="136"/>
      <c r="BN619" s="136"/>
    </row>
    <row r="620" spans="1:66" ht="15.75" customHeight="1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  <c r="BE620" s="136"/>
      <c r="BF620" s="136"/>
      <c r="BG620" s="136"/>
      <c r="BH620" s="136"/>
      <c r="BI620" s="136"/>
      <c r="BJ620" s="136"/>
      <c r="BK620" s="136"/>
      <c r="BL620" s="136"/>
      <c r="BM620" s="136"/>
      <c r="BN620" s="136"/>
    </row>
    <row r="621" spans="1:66" ht="15.75" customHeight="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136"/>
      <c r="AQ621" s="136"/>
      <c r="AR621" s="136"/>
      <c r="AS621" s="136"/>
      <c r="AT621" s="136"/>
      <c r="AU621" s="136"/>
      <c r="AV621" s="136"/>
      <c r="AW621" s="136"/>
      <c r="AX621" s="136"/>
      <c r="AY621" s="136"/>
      <c r="AZ621" s="136"/>
      <c r="BA621" s="136"/>
      <c r="BB621" s="136"/>
      <c r="BC621" s="136"/>
      <c r="BD621" s="136"/>
      <c r="BE621" s="136"/>
      <c r="BF621" s="136"/>
      <c r="BG621" s="136"/>
      <c r="BH621" s="136"/>
      <c r="BI621" s="136"/>
      <c r="BJ621" s="136"/>
      <c r="BK621" s="136"/>
      <c r="BL621" s="136"/>
      <c r="BM621" s="136"/>
      <c r="BN621" s="136"/>
    </row>
    <row r="622" spans="1:66" ht="15.75" customHeight="1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  <c r="AW622" s="136"/>
      <c r="AX622" s="136"/>
      <c r="AY622" s="136"/>
      <c r="AZ622" s="136"/>
      <c r="BA622" s="136"/>
      <c r="BB622" s="136"/>
      <c r="BC622" s="136"/>
      <c r="BD622" s="136"/>
      <c r="BE622" s="136"/>
      <c r="BF622" s="136"/>
      <c r="BG622" s="136"/>
      <c r="BH622" s="136"/>
      <c r="BI622" s="136"/>
      <c r="BJ622" s="136"/>
      <c r="BK622" s="136"/>
      <c r="BL622" s="136"/>
      <c r="BM622" s="136"/>
      <c r="BN622" s="136"/>
    </row>
    <row r="623" spans="1:66" ht="15.75" customHeight="1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  <c r="AW623" s="136"/>
      <c r="AX623" s="136"/>
      <c r="AY623" s="136"/>
      <c r="AZ623" s="136"/>
      <c r="BA623" s="136"/>
      <c r="BB623" s="136"/>
      <c r="BC623" s="136"/>
      <c r="BD623" s="136"/>
      <c r="BE623" s="136"/>
      <c r="BF623" s="136"/>
      <c r="BG623" s="136"/>
      <c r="BH623" s="136"/>
      <c r="BI623" s="136"/>
      <c r="BJ623" s="136"/>
      <c r="BK623" s="136"/>
      <c r="BL623" s="136"/>
      <c r="BM623" s="136"/>
      <c r="BN623" s="136"/>
    </row>
    <row r="624" spans="1:66" ht="15.75" customHeight="1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  <c r="BE624" s="136"/>
      <c r="BF624" s="136"/>
      <c r="BG624" s="136"/>
      <c r="BH624" s="136"/>
      <c r="BI624" s="136"/>
      <c r="BJ624" s="136"/>
      <c r="BK624" s="136"/>
      <c r="BL624" s="136"/>
      <c r="BM624" s="136"/>
      <c r="BN624" s="136"/>
    </row>
    <row r="625" spans="1:66" ht="15.75" customHeight="1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  <c r="AW625" s="136"/>
      <c r="AX625" s="136"/>
      <c r="AY625" s="136"/>
      <c r="AZ625" s="136"/>
      <c r="BA625" s="136"/>
      <c r="BB625" s="136"/>
      <c r="BC625" s="136"/>
      <c r="BD625" s="136"/>
      <c r="BE625" s="136"/>
      <c r="BF625" s="136"/>
      <c r="BG625" s="136"/>
      <c r="BH625" s="136"/>
      <c r="BI625" s="136"/>
      <c r="BJ625" s="136"/>
      <c r="BK625" s="136"/>
      <c r="BL625" s="136"/>
      <c r="BM625" s="136"/>
      <c r="BN625" s="136"/>
    </row>
    <row r="626" spans="1:66" ht="15.75" customHeight="1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  <c r="AW626" s="136"/>
      <c r="AX626" s="136"/>
      <c r="AY626" s="136"/>
      <c r="AZ626" s="136"/>
      <c r="BA626" s="136"/>
      <c r="BB626" s="136"/>
      <c r="BC626" s="136"/>
      <c r="BD626" s="136"/>
      <c r="BE626" s="136"/>
      <c r="BF626" s="136"/>
      <c r="BG626" s="136"/>
      <c r="BH626" s="136"/>
      <c r="BI626" s="136"/>
      <c r="BJ626" s="136"/>
      <c r="BK626" s="136"/>
      <c r="BL626" s="136"/>
      <c r="BM626" s="136"/>
      <c r="BN626" s="136"/>
    </row>
    <row r="627" spans="1:66" ht="15.75" customHeight="1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136"/>
      <c r="AS627" s="136"/>
      <c r="AT627" s="136"/>
      <c r="AU627" s="136"/>
      <c r="AV627" s="136"/>
      <c r="AW627" s="136"/>
      <c r="AX627" s="136"/>
      <c r="AY627" s="136"/>
      <c r="AZ627" s="136"/>
      <c r="BA627" s="136"/>
      <c r="BB627" s="136"/>
      <c r="BC627" s="136"/>
      <c r="BD627" s="136"/>
      <c r="BE627" s="136"/>
      <c r="BF627" s="136"/>
      <c r="BG627" s="136"/>
      <c r="BH627" s="136"/>
      <c r="BI627" s="136"/>
      <c r="BJ627" s="136"/>
      <c r="BK627" s="136"/>
      <c r="BL627" s="136"/>
      <c r="BM627" s="136"/>
      <c r="BN627" s="136"/>
    </row>
    <row r="628" spans="1:66" ht="15.75" customHeight="1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  <c r="BE628" s="136"/>
      <c r="BF628" s="136"/>
      <c r="BG628" s="136"/>
      <c r="BH628" s="136"/>
      <c r="BI628" s="136"/>
      <c r="BJ628" s="136"/>
      <c r="BK628" s="136"/>
      <c r="BL628" s="136"/>
      <c r="BM628" s="136"/>
      <c r="BN628" s="136"/>
    </row>
    <row r="629" spans="1:66" ht="15.75" customHeight="1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  <c r="BF629" s="136"/>
      <c r="BG629" s="136"/>
      <c r="BH629" s="136"/>
      <c r="BI629" s="136"/>
      <c r="BJ629" s="136"/>
      <c r="BK629" s="136"/>
      <c r="BL629" s="136"/>
      <c r="BM629" s="136"/>
      <c r="BN629" s="136"/>
    </row>
    <row r="630" spans="1:66" ht="15.75" customHeight="1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  <c r="AW630" s="136"/>
      <c r="AX630" s="136"/>
      <c r="AY630" s="136"/>
      <c r="AZ630" s="136"/>
      <c r="BA630" s="136"/>
      <c r="BB630" s="136"/>
      <c r="BC630" s="136"/>
      <c r="BD630" s="136"/>
      <c r="BE630" s="136"/>
      <c r="BF630" s="136"/>
      <c r="BG630" s="136"/>
      <c r="BH630" s="136"/>
      <c r="BI630" s="136"/>
      <c r="BJ630" s="136"/>
      <c r="BK630" s="136"/>
      <c r="BL630" s="136"/>
      <c r="BM630" s="136"/>
      <c r="BN630" s="136"/>
    </row>
    <row r="631" spans="1:66" ht="15.75" customHeight="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  <c r="AW631" s="136"/>
      <c r="AX631" s="136"/>
      <c r="AY631" s="136"/>
      <c r="AZ631" s="136"/>
      <c r="BA631" s="136"/>
      <c r="BB631" s="136"/>
      <c r="BC631" s="136"/>
      <c r="BD631" s="136"/>
      <c r="BE631" s="136"/>
      <c r="BF631" s="136"/>
      <c r="BG631" s="136"/>
      <c r="BH631" s="136"/>
      <c r="BI631" s="136"/>
      <c r="BJ631" s="136"/>
      <c r="BK631" s="136"/>
      <c r="BL631" s="136"/>
      <c r="BM631" s="136"/>
      <c r="BN631" s="136"/>
    </row>
    <row r="632" spans="1:66" ht="15.75" customHeight="1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  <c r="BE632" s="136"/>
      <c r="BF632" s="136"/>
      <c r="BG632" s="136"/>
      <c r="BH632" s="136"/>
      <c r="BI632" s="136"/>
      <c r="BJ632" s="136"/>
      <c r="BK632" s="136"/>
      <c r="BL632" s="136"/>
      <c r="BM632" s="136"/>
      <c r="BN632" s="136"/>
    </row>
    <row r="633" spans="1:66" ht="15.75" customHeight="1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136"/>
      <c r="AS633" s="136"/>
      <c r="AT633" s="136"/>
      <c r="AU633" s="136"/>
      <c r="AV633" s="136"/>
      <c r="AW633" s="136"/>
      <c r="AX633" s="136"/>
      <c r="AY633" s="136"/>
      <c r="AZ633" s="136"/>
      <c r="BA633" s="136"/>
      <c r="BB633" s="136"/>
      <c r="BC633" s="136"/>
      <c r="BD633" s="136"/>
      <c r="BE633" s="136"/>
      <c r="BF633" s="136"/>
      <c r="BG633" s="136"/>
      <c r="BH633" s="136"/>
      <c r="BI633" s="136"/>
      <c r="BJ633" s="136"/>
      <c r="BK633" s="136"/>
      <c r="BL633" s="136"/>
      <c r="BM633" s="136"/>
      <c r="BN633" s="136"/>
    </row>
    <row r="634" spans="1:66" ht="15.75" customHeight="1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136"/>
      <c r="AU634" s="136"/>
      <c r="AV634" s="136"/>
      <c r="AW634" s="136"/>
      <c r="AX634" s="136"/>
      <c r="AY634" s="136"/>
      <c r="AZ634" s="136"/>
      <c r="BA634" s="136"/>
      <c r="BB634" s="136"/>
      <c r="BC634" s="136"/>
      <c r="BD634" s="136"/>
      <c r="BE634" s="136"/>
      <c r="BF634" s="136"/>
      <c r="BG634" s="136"/>
      <c r="BH634" s="136"/>
      <c r="BI634" s="136"/>
      <c r="BJ634" s="136"/>
      <c r="BK634" s="136"/>
      <c r="BL634" s="136"/>
      <c r="BM634" s="136"/>
      <c r="BN634" s="136"/>
    </row>
    <row r="635" spans="1:66" ht="15.75" customHeight="1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  <c r="AW635" s="136"/>
      <c r="AX635" s="136"/>
      <c r="AY635" s="136"/>
      <c r="AZ635" s="136"/>
      <c r="BA635" s="136"/>
      <c r="BB635" s="136"/>
      <c r="BC635" s="136"/>
      <c r="BD635" s="136"/>
      <c r="BE635" s="136"/>
      <c r="BF635" s="136"/>
      <c r="BG635" s="136"/>
      <c r="BH635" s="136"/>
      <c r="BI635" s="136"/>
      <c r="BJ635" s="136"/>
      <c r="BK635" s="136"/>
      <c r="BL635" s="136"/>
      <c r="BM635" s="136"/>
      <c r="BN635" s="136"/>
    </row>
    <row r="636" spans="1:66" ht="15.75" customHeight="1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  <c r="AW636" s="136"/>
      <c r="AX636" s="136"/>
      <c r="AY636" s="136"/>
      <c r="AZ636" s="136"/>
      <c r="BA636" s="136"/>
      <c r="BB636" s="136"/>
      <c r="BC636" s="136"/>
      <c r="BD636" s="136"/>
      <c r="BE636" s="136"/>
      <c r="BF636" s="136"/>
      <c r="BG636" s="136"/>
      <c r="BH636" s="136"/>
      <c r="BI636" s="136"/>
      <c r="BJ636" s="136"/>
      <c r="BK636" s="136"/>
      <c r="BL636" s="136"/>
      <c r="BM636" s="136"/>
      <c r="BN636" s="136"/>
    </row>
    <row r="637" spans="1:66" ht="15.75" customHeight="1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  <c r="AW637" s="136"/>
      <c r="AX637" s="136"/>
      <c r="AY637" s="136"/>
      <c r="AZ637" s="136"/>
      <c r="BA637" s="136"/>
      <c r="BB637" s="136"/>
      <c r="BC637" s="136"/>
      <c r="BD637" s="136"/>
      <c r="BE637" s="136"/>
      <c r="BF637" s="136"/>
      <c r="BG637" s="136"/>
      <c r="BH637" s="136"/>
      <c r="BI637" s="136"/>
      <c r="BJ637" s="136"/>
      <c r="BK637" s="136"/>
      <c r="BL637" s="136"/>
      <c r="BM637" s="136"/>
      <c r="BN637" s="136"/>
    </row>
    <row r="638" spans="1:66" ht="15.75" customHeight="1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136"/>
      <c r="AU638" s="136"/>
      <c r="AV638" s="136"/>
      <c r="AW638" s="136"/>
      <c r="AX638" s="136"/>
      <c r="AY638" s="136"/>
      <c r="AZ638" s="136"/>
      <c r="BA638" s="136"/>
      <c r="BB638" s="136"/>
      <c r="BC638" s="136"/>
      <c r="BD638" s="136"/>
      <c r="BE638" s="136"/>
      <c r="BF638" s="136"/>
      <c r="BG638" s="136"/>
      <c r="BH638" s="136"/>
      <c r="BI638" s="136"/>
      <c r="BJ638" s="136"/>
      <c r="BK638" s="136"/>
      <c r="BL638" s="136"/>
      <c r="BM638" s="136"/>
      <c r="BN638" s="136"/>
    </row>
    <row r="639" spans="1:66" ht="15.75" customHeight="1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136"/>
      <c r="BG639" s="136"/>
      <c r="BH639" s="136"/>
      <c r="BI639" s="136"/>
      <c r="BJ639" s="136"/>
      <c r="BK639" s="136"/>
      <c r="BL639" s="136"/>
      <c r="BM639" s="136"/>
      <c r="BN639" s="136"/>
    </row>
    <row r="640" spans="1:66" ht="15.75" customHeight="1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  <c r="BF640" s="136"/>
      <c r="BG640" s="136"/>
      <c r="BH640" s="136"/>
      <c r="BI640" s="136"/>
      <c r="BJ640" s="136"/>
      <c r="BK640" s="136"/>
      <c r="BL640" s="136"/>
      <c r="BM640" s="136"/>
      <c r="BN640" s="136"/>
    </row>
    <row r="641" spans="1:66" ht="15.75" customHeight="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136"/>
      <c r="BG641" s="136"/>
      <c r="BH641" s="136"/>
      <c r="BI641" s="136"/>
      <c r="BJ641" s="136"/>
      <c r="BK641" s="136"/>
      <c r="BL641" s="136"/>
      <c r="BM641" s="136"/>
      <c r="BN641" s="136"/>
    </row>
    <row r="642" spans="1:66" ht="15.75" customHeight="1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  <c r="AX642" s="136"/>
      <c r="AY642" s="136"/>
      <c r="AZ642" s="136"/>
      <c r="BA642" s="136"/>
      <c r="BB642" s="136"/>
      <c r="BC642" s="136"/>
      <c r="BD642" s="136"/>
      <c r="BE642" s="136"/>
      <c r="BF642" s="136"/>
      <c r="BG642" s="136"/>
      <c r="BH642" s="136"/>
      <c r="BI642" s="136"/>
      <c r="BJ642" s="136"/>
      <c r="BK642" s="136"/>
      <c r="BL642" s="136"/>
      <c r="BM642" s="136"/>
      <c r="BN642" s="136"/>
    </row>
    <row r="643" spans="1:66" ht="15.75" customHeight="1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  <c r="AW643" s="136"/>
      <c r="AX643" s="136"/>
      <c r="AY643" s="136"/>
      <c r="AZ643" s="136"/>
      <c r="BA643" s="136"/>
      <c r="BB643" s="136"/>
      <c r="BC643" s="136"/>
      <c r="BD643" s="136"/>
      <c r="BE643" s="136"/>
      <c r="BF643" s="136"/>
      <c r="BG643" s="136"/>
      <c r="BH643" s="136"/>
      <c r="BI643" s="136"/>
      <c r="BJ643" s="136"/>
      <c r="BK643" s="136"/>
      <c r="BL643" s="136"/>
      <c r="BM643" s="136"/>
      <c r="BN643" s="136"/>
    </row>
    <row r="644" spans="1:66" ht="15.75" customHeight="1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  <c r="BE644" s="136"/>
      <c r="BF644" s="136"/>
      <c r="BG644" s="136"/>
      <c r="BH644" s="136"/>
      <c r="BI644" s="136"/>
      <c r="BJ644" s="136"/>
      <c r="BK644" s="136"/>
      <c r="BL644" s="136"/>
      <c r="BM644" s="136"/>
      <c r="BN644" s="136"/>
    </row>
    <row r="645" spans="1:66" ht="15.75" customHeight="1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136"/>
      <c r="AS645" s="136"/>
      <c r="AT645" s="136"/>
      <c r="AU645" s="136"/>
      <c r="AV645" s="136"/>
      <c r="AW645" s="136"/>
      <c r="AX645" s="136"/>
      <c r="AY645" s="136"/>
      <c r="AZ645" s="136"/>
      <c r="BA645" s="136"/>
      <c r="BB645" s="136"/>
      <c r="BC645" s="136"/>
      <c r="BD645" s="136"/>
      <c r="BE645" s="136"/>
      <c r="BF645" s="136"/>
      <c r="BG645" s="136"/>
      <c r="BH645" s="136"/>
      <c r="BI645" s="136"/>
      <c r="BJ645" s="136"/>
      <c r="BK645" s="136"/>
      <c r="BL645" s="136"/>
      <c r="BM645" s="136"/>
      <c r="BN645" s="136"/>
    </row>
    <row r="646" spans="1:66" ht="15.75" customHeight="1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/>
      <c r="AT646" s="136"/>
      <c r="AU646" s="136"/>
      <c r="AV646" s="136"/>
      <c r="AW646" s="136"/>
      <c r="AX646" s="136"/>
      <c r="AY646" s="136"/>
      <c r="AZ646" s="136"/>
      <c r="BA646" s="136"/>
      <c r="BB646" s="136"/>
      <c r="BC646" s="136"/>
      <c r="BD646" s="136"/>
      <c r="BE646" s="136"/>
      <c r="BF646" s="136"/>
      <c r="BG646" s="136"/>
      <c r="BH646" s="136"/>
      <c r="BI646" s="136"/>
      <c r="BJ646" s="136"/>
      <c r="BK646" s="136"/>
      <c r="BL646" s="136"/>
      <c r="BM646" s="136"/>
      <c r="BN646" s="136"/>
    </row>
    <row r="647" spans="1:66" ht="15.75" customHeight="1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136"/>
      <c r="AS647" s="136"/>
      <c r="AT647" s="136"/>
      <c r="AU647" s="136"/>
      <c r="AV647" s="136"/>
      <c r="AW647" s="136"/>
      <c r="AX647" s="136"/>
      <c r="AY647" s="136"/>
      <c r="AZ647" s="136"/>
      <c r="BA647" s="136"/>
      <c r="BB647" s="136"/>
      <c r="BC647" s="136"/>
      <c r="BD647" s="136"/>
      <c r="BE647" s="136"/>
      <c r="BF647" s="136"/>
      <c r="BG647" s="136"/>
      <c r="BH647" s="136"/>
      <c r="BI647" s="136"/>
      <c r="BJ647" s="136"/>
      <c r="BK647" s="136"/>
      <c r="BL647" s="136"/>
      <c r="BM647" s="136"/>
      <c r="BN647" s="136"/>
    </row>
    <row r="648" spans="1:66" ht="15.75" customHeight="1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  <c r="BF648" s="136"/>
      <c r="BG648" s="136"/>
      <c r="BH648" s="136"/>
      <c r="BI648" s="136"/>
      <c r="BJ648" s="136"/>
      <c r="BK648" s="136"/>
      <c r="BL648" s="136"/>
      <c r="BM648" s="136"/>
      <c r="BN648" s="136"/>
    </row>
    <row r="649" spans="1:66" ht="15.75" customHeight="1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136"/>
      <c r="AS649" s="136"/>
      <c r="AT649" s="136"/>
      <c r="AU649" s="136"/>
      <c r="AV649" s="136"/>
      <c r="AW649" s="136"/>
      <c r="AX649" s="136"/>
      <c r="AY649" s="136"/>
      <c r="AZ649" s="136"/>
      <c r="BA649" s="136"/>
      <c r="BB649" s="136"/>
      <c r="BC649" s="136"/>
      <c r="BD649" s="136"/>
      <c r="BE649" s="136"/>
      <c r="BF649" s="136"/>
      <c r="BG649" s="136"/>
      <c r="BH649" s="136"/>
      <c r="BI649" s="136"/>
      <c r="BJ649" s="136"/>
      <c r="BK649" s="136"/>
      <c r="BL649" s="136"/>
      <c r="BM649" s="136"/>
      <c r="BN649" s="136"/>
    </row>
    <row r="650" spans="1:66" ht="15.75" customHeight="1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136"/>
      <c r="AS650" s="136"/>
      <c r="AT650" s="136"/>
      <c r="AU650" s="136"/>
      <c r="AV650" s="136"/>
      <c r="AW650" s="136"/>
      <c r="AX650" s="136"/>
      <c r="AY650" s="136"/>
      <c r="AZ650" s="136"/>
      <c r="BA650" s="136"/>
      <c r="BB650" s="136"/>
      <c r="BC650" s="136"/>
      <c r="BD650" s="136"/>
      <c r="BE650" s="136"/>
      <c r="BF650" s="136"/>
      <c r="BG650" s="136"/>
      <c r="BH650" s="136"/>
      <c r="BI650" s="136"/>
      <c r="BJ650" s="136"/>
      <c r="BK650" s="136"/>
      <c r="BL650" s="136"/>
      <c r="BM650" s="136"/>
      <c r="BN650" s="136"/>
    </row>
    <row r="651" spans="1:66" ht="15.75" customHeight="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136"/>
      <c r="AQ651" s="136"/>
      <c r="AR651" s="136"/>
      <c r="AS651" s="136"/>
      <c r="AT651" s="136"/>
      <c r="AU651" s="136"/>
      <c r="AV651" s="136"/>
      <c r="AW651" s="136"/>
      <c r="AX651" s="136"/>
      <c r="AY651" s="136"/>
      <c r="AZ651" s="136"/>
      <c r="BA651" s="136"/>
      <c r="BB651" s="136"/>
      <c r="BC651" s="136"/>
      <c r="BD651" s="136"/>
      <c r="BE651" s="136"/>
      <c r="BF651" s="136"/>
      <c r="BG651" s="136"/>
      <c r="BH651" s="136"/>
      <c r="BI651" s="136"/>
      <c r="BJ651" s="136"/>
      <c r="BK651" s="136"/>
      <c r="BL651" s="136"/>
      <c r="BM651" s="136"/>
      <c r="BN651" s="136"/>
    </row>
    <row r="652" spans="1:66" ht="15.75" customHeight="1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  <c r="AW652" s="136"/>
      <c r="AX652" s="136"/>
      <c r="AY652" s="136"/>
      <c r="AZ652" s="136"/>
      <c r="BA652" s="136"/>
      <c r="BB652" s="136"/>
      <c r="BC652" s="136"/>
      <c r="BD652" s="136"/>
      <c r="BE652" s="136"/>
      <c r="BF652" s="136"/>
      <c r="BG652" s="136"/>
      <c r="BH652" s="136"/>
      <c r="BI652" s="136"/>
      <c r="BJ652" s="136"/>
      <c r="BK652" s="136"/>
      <c r="BL652" s="136"/>
      <c r="BM652" s="136"/>
      <c r="BN652" s="136"/>
    </row>
    <row r="653" spans="1:66" ht="15.75" customHeight="1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  <c r="AU653" s="136"/>
      <c r="AV653" s="136"/>
      <c r="AW653" s="136"/>
      <c r="AX653" s="136"/>
      <c r="AY653" s="136"/>
      <c r="AZ653" s="136"/>
      <c r="BA653" s="136"/>
      <c r="BB653" s="136"/>
      <c r="BC653" s="136"/>
      <c r="BD653" s="136"/>
      <c r="BE653" s="136"/>
      <c r="BF653" s="136"/>
      <c r="BG653" s="136"/>
      <c r="BH653" s="136"/>
      <c r="BI653" s="136"/>
      <c r="BJ653" s="136"/>
      <c r="BK653" s="136"/>
      <c r="BL653" s="136"/>
      <c r="BM653" s="136"/>
      <c r="BN653" s="136"/>
    </row>
    <row r="654" spans="1:66" ht="15.75" customHeight="1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136"/>
      <c r="AS654" s="136"/>
      <c r="AT654" s="136"/>
      <c r="AU654" s="136"/>
      <c r="AV654" s="136"/>
      <c r="AW654" s="136"/>
      <c r="AX654" s="136"/>
      <c r="AY654" s="136"/>
      <c r="AZ654" s="136"/>
      <c r="BA654" s="136"/>
      <c r="BB654" s="136"/>
      <c r="BC654" s="136"/>
      <c r="BD654" s="136"/>
      <c r="BE654" s="136"/>
      <c r="BF654" s="136"/>
      <c r="BG654" s="136"/>
      <c r="BH654" s="136"/>
      <c r="BI654" s="136"/>
      <c r="BJ654" s="136"/>
      <c r="BK654" s="136"/>
      <c r="BL654" s="136"/>
      <c r="BM654" s="136"/>
      <c r="BN654" s="136"/>
    </row>
    <row r="655" spans="1:66" ht="15.75" customHeight="1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136"/>
      <c r="AS655" s="136"/>
      <c r="AT655" s="136"/>
      <c r="AU655" s="136"/>
      <c r="AV655" s="136"/>
      <c r="AW655" s="136"/>
      <c r="AX655" s="136"/>
      <c r="AY655" s="136"/>
      <c r="AZ655" s="136"/>
      <c r="BA655" s="136"/>
      <c r="BB655" s="136"/>
      <c r="BC655" s="136"/>
      <c r="BD655" s="136"/>
      <c r="BE655" s="136"/>
      <c r="BF655" s="136"/>
      <c r="BG655" s="136"/>
      <c r="BH655" s="136"/>
      <c r="BI655" s="136"/>
      <c r="BJ655" s="136"/>
      <c r="BK655" s="136"/>
      <c r="BL655" s="136"/>
      <c r="BM655" s="136"/>
      <c r="BN655" s="136"/>
    </row>
    <row r="656" spans="1:66" ht="15.75" customHeight="1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136"/>
      <c r="AS656" s="136"/>
      <c r="AT656" s="136"/>
      <c r="AU656" s="136"/>
      <c r="AV656" s="136"/>
      <c r="AW656" s="136"/>
      <c r="AX656" s="136"/>
      <c r="AY656" s="136"/>
      <c r="AZ656" s="136"/>
      <c r="BA656" s="136"/>
      <c r="BB656" s="136"/>
      <c r="BC656" s="136"/>
      <c r="BD656" s="136"/>
      <c r="BE656" s="136"/>
      <c r="BF656" s="136"/>
      <c r="BG656" s="136"/>
      <c r="BH656" s="136"/>
      <c r="BI656" s="136"/>
      <c r="BJ656" s="136"/>
      <c r="BK656" s="136"/>
      <c r="BL656" s="136"/>
      <c r="BM656" s="136"/>
      <c r="BN656" s="136"/>
    </row>
    <row r="657" spans="1:66" ht="15.75" customHeight="1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136"/>
      <c r="AQ657" s="136"/>
      <c r="AR657" s="136"/>
      <c r="AS657" s="136"/>
      <c r="AT657" s="136"/>
      <c r="AU657" s="136"/>
      <c r="AV657" s="136"/>
      <c r="AW657" s="136"/>
      <c r="AX657" s="136"/>
      <c r="AY657" s="136"/>
      <c r="AZ657" s="136"/>
      <c r="BA657" s="136"/>
      <c r="BB657" s="136"/>
      <c r="BC657" s="136"/>
      <c r="BD657" s="136"/>
      <c r="BE657" s="136"/>
      <c r="BF657" s="136"/>
      <c r="BG657" s="136"/>
      <c r="BH657" s="136"/>
      <c r="BI657" s="136"/>
      <c r="BJ657" s="136"/>
      <c r="BK657" s="136"/>
      <c r="BL657" s="136"/>
      <c r="BM657" s="136"/>
      <c r="BN657" s="136"/>
    </row>
    <row r="658" spans="1:66" ht="15.75" customHeight="1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136"/>
      <c r="AS658" s="136"/>
      <c r="AT658" s="136"/>
      <c r="AU658" s="136"/>
      <c r="AV658" s="136"/>
      <c r="AW658" s="136"/>
      <c r="AX658" s="136"/>
      <c r="AY658" s="136"/>
      <c r="AZ658" s="136"/>
      <c r="BA658" s="136"/>
      <c r="BB658" s="136"/>
      <c r="BC658" s="136"/>
      <c r="BD658" s="136"/>
      <c r="BE658" s="136"/>
      <c r="BF658" s="136"/>
      <c r="BG658" s="136"/>
      <c r="BH658" s="136"/>
      <c r="BI658" s="136"/>
      <c r="BJ658" s="136"/>
      <c r="BK658" s="136"/>
      <c r="BL658" s="136"/>
      <c r="BM658" s="136"/>
      <c r="BN658" s="136"/>
    </row>
    <row r="659" spans="1:66" ht="15.75" customHeight="1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  <c r="AW659" s="136"/>
      <c r="AX659" s="136"/>
      <c r="AY659" s="136"/>
      <c r="AZ659" s="136"/>
      <c r="BA659" s="136"/>
      <c r="BB659" s="136"/>
      <c r="BC659" s="136"/>
      <c r="BD659" s="136"/>
      <c r="BE659" s="136"/>
      <c r="BF659" s="136"/>
      <c r="BG659" s="136"/>
      <c r="BH659" s="136"/>
      <c r="BI659" s="136"/>
      <c r="BJ659" s="136"/>
      <c r="BK659" s="136"/>
      <c r="BL659" s="136"/>
      <c r="BM659" s="136"/>
      <c r="BN659" s="136"/>
    </row>
    <row r="660" spans="1:66" ht="15.75" customHeight="1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136"/>
      <c r="AQ660" s="136"/>
      <c r="AR660" s="136"/>
      <c r="AS660" s="136"/>
      <c r="AT660" s="136"/>
      <c r="AU660" s="136"/>
      <c r="AV660" s="136"/>
      <c r="AW660" s="136"/>
      <c r="AX660" s="136"/>
      <c r="AY660" s="136"/>
      <c r="AZ660" s="136"/>
      <c r="BA660" s="136"/>
      <c r="BB660" s="136"/>
      <c r="BC660" s="136"/>
      <c r="BD660" s="136"/>
      <c r="BE660" s="136"/>
      <c r="BF660" s="136"/>
      <c r="BG660" s="136"/>
      <c r="BH660" s="136"/>
      <c r="BI660" s="136"/>
      <c r="BJ660" s="136"/>
      <c r="BK660" s="136"/>
      <c r="BL660" s="136"/>
      <c r="BM660" s="136"/>
      <c r="BN660" s="136"/>
    </row>
    <row r="661" spans="1:66" ht="15.75" customHeight="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136"/>
      <c r="AS661" s="136"/>
      <c r="AT661" s="136"/>
      <c r="AU661" s="136"/>
      <c r="AV661" s="136"/>
      <c r="AW661" s="136"/>
      <c r="AX661" s="136"/>
      <c r="AY661" s="136"/>
      <c r="AZ661" s="136"/>
      <c r="BA661" s="136"/>
      <c r="BB661" s="136"/>
      <c r="BC661" s="136"/>
      <c r="BD661" s="136"/>
      <c r="BE661" s="136"/>
      <c r="BF661" s="136"/>
      <c r="BG661" s="136"/>
      <c r="BH661" s="136"/>
      <c r="BI661" s="136"/>
      <c r="BJ661" s="136"/>
      <c r="BK661" s="136"/>
      <c r="BL661" s="136"/>
      <c r="BM661" s="136"/>
      <c r="BN661" s="136"/>
    </row>
    <row r="662" spans="1:66" ht="15.75" customHeight="1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136"/>
      <c r="AS662" s="136"/>
      <c r="AT662" s="136"/>
      <c r="AU662" s="136"/>
      <c r="AV662" s="136"/>
      <c r="AW662" s="136"/>
      <c r="AX662" s="136"/>
      <c r="AY662" s="136"/>
      <c r="AZ662" s="136"/>
      <c r="BA662" s="136"/>
      <c r="BB662" s="136"/>
      <c r="BC662" s="136"/>
      <c r="BD662" s="136"/>
      <c r="BE662" s="136"/>
      <c r="BF662" s="136"/>
      <c r="BG662" s="136"/>
      <c r="BH662" s="136"/>
      <c r="BI662" s="136"/>
      <c r="BJ662" s="136"/>
      <c r="BK662" s="136"/>
      <c r="BL662" s="136"/>
      <c r="BM662" s="136"/>
      <c r="BN662" s="136"/>
    </row>
    <row r="663" spans="1:66" ht="15.75" customHeight="1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136"/>
      <c r="AQ663" s="136"/>
      <c r="AR663" s="136"/>
      <c r="AS663" s="136"/>
      <c r="AT663" s="136"/>
      <c r="AU663" s="136"/>
      <c r="AV663" s="136"/>
      <c r="AW663" s="136"/>
      <c r="AX663" s="136"/>
      <c r="AY663" s="136"/>
      <c r="AZ663" s="136"/>
      <c r="BA663" s="136"/>
      <c r="BB663" s="136"/>
      <c r="BC663" s="136"/>
      <c r="BD663" s="136"/>
      <c r="BE663" s="136"/>
      <c r="BF663" s="136"/>
      <c r="BG663" s="136"/>
      <c r="BH663" s="136"/>
      <c r="BI663" s="136"/>
      <c r="BJ663" s="136"/>
      <c r="BK663" s="136"/>
      <c r="BL663" s="136"/>
      <c r="BM663" s="136"/>
      <c r="BN663" s="136"/>
    </row>
    <row r="664" spans="1:66" ht="15.75" customHeight="1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136"/>
      <c r="AS664" s="136"/>
      <c r="AT664" s="136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  <c r="BE664" s="136"/>
      <c r="BF664" s="136"/>
      <c r="BG664" s="136"/>
      <c r="BH664" s="136"/>
      <c r="BI664" s="136"/>
      <c r="BJ664" s="136"/>
      <c r="BK664" s="136"/>
      <c r="BL664" s="136"/>
      <c r="BM664" s="136"/>
      <c r="BN664" s="136"/>
    </row>
    <row r="665" spans="1:66" ht="15.75" customHeight="1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  <c r="AW665" s="136"/>
      <c r="AX665" s="136"/>
      <c r="AY665" s="136"/>
      <c r="AZ665" s="136"/>
      <c r="BA665" s="136"/>
      <c r="BB665" s="136"/>
      <c r="BC665" s="136"/>
      <c r="BD665" s="136"/>
      <c r="BE665" s="136"/>
      <c r="BF665" s="136"/>
      <c r="BG665" s="136"/>
      <c r="BH665" s="136"/>
      <c r="BI665" s="136"/>
      <c r="BJ665" s="136"/>
      <c r="BK665" s="136"/>
      <c r="BL665" s="136"/>
      <c r="BM665" s="136"/>
      <c r="BN665" s="136"/>
    </row>
    <row r="666" spans="1:66" ht="15.75" customHeight="1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  <c r="AW666" s="136"/>
      <c r="AX666" s="136"/>
      <c r="AY666" s="136"/>
      <c r="AZ666" s="136"/>
      <c r="BA666" s="136"/>
      <c r="BB666" s="136"/>
      <c r="BC666" s="136"/>
      <c r="BD666" s="136"/>
      <c r="BE666" s="136"/>
      <c r="BF666" s="136"/>
      <c r="BG666" s="136"/>
      <c r="BH666" s="136"/>
      <c r="BI666" s="136"/>
      <c r="BJ666" s="136"/>
      <c r="BK666" s="136"/>
      <c r="BL666" s="136"/>
      <c r="BM666" s="136"/>
      <c r="BN666" s="136"/>
    </row>
    <row r="667" spans="1:66" ht="15.75" customHeight="1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  <c r="AW667" s="136"/>
      <c r="AX667" s="136"/>
      <c r="AY667" s="136"/>
      <c r="AZ667" s="136"/>
      <c r="BA667" s="136"/>
      <c r="BB667" s="136"/>
      <c r="BC667" s="136"/>
      <c r="BD667" s="136"/>
      <c r="BE667" s="136"/>
      <c r="BF667" s="136"/>
      <c r="BG667" s="136"/>
      <c r="BH667" s="136"/>
      <c r="BI667" s="136"/>
      <c r="BJ667" s="136"/>
      <c r="BK667" s="136"/>
      <c r="BL667" s="136"/>
      <c r="BM667" s="136"/>
      <c r="BN667" s="136"/>
    </row>
    <row r="668" spans="1:66" ht="15.75" customHeight="1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  <c r="BE668" s="136"/>
      <c r="BF668" s="136"/>
      <c r="BG668" s="136"/>
      <c r="BH668" s="136"/>
      <c r="BI668" s="136"/>
      <c r="BJ668" s="136"/>
      <c r="BK668" s="136"/>
      <c r="BL668" s="136"/>
      <c r="BM668" s="136"/>
      <c r="BN668" s="136"/>
    </row>
    <row r="669" spans="1:66" ht="15.75" customHeight="1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136"/>
      <c r="AS669" s="136"/>
      <c r="AT669" s="136"/>
      <c r="AU669" s="136"/>
      <c r="AV669" s="136"/>
      <c r="AW669" s="136"/>
      <c r="AX669" s="136"/>
      <c r="AY669" s="136"/>
      <c r="AZ669" s="136"/>
      <c r="BA669" s="136"/>
      <c r="BB669" s="136"/>
      <c r="BC669" s="136"/>
      <c r="BD669" s="136"/>
      <c r="BE669" s="136"/>
      <c r="BF669" s="136"/>
      <c r="BG669" s="136"/>
      <c r="BH669" s="136"/>
      <c r="BI669" s="136"/>
      <c r="BJ669" s="136"/>
      <c r="BK669" s="136"/>
      <c r="BL669" s="136"/>
      <c r="BM669" s="136"/>
      <c r="BN669" s="136"/>
    </row>
    <row r="670" spans="1:66" ht="15.75" customHeight="1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  <c r="AW670" s="136"/>
      <c r="AX670" s="136"/>
      <c r="AY670" s="136"/>
      <c r="AZ670" s="136"/>
      <c r="BA670" s="136"/>
      <c r="BB670" s="136"/>
      <c r="BC670" s="136"/>
      <c r="BD670" s="136"/>
      <c r="BE670" s="136"/>
      <c r="BF670" s="136"/>
      <c r="BG670" s="136"/>
      <c r="BH670" s="136"/>
      <c r="BI670" s="136"/>
      <c r="BJ670" s="136"/>
      <c r="BK670" s="136"/>
      <c r="BL670" s="136"/>
      <c r="BM670" s="136"/>
      <c r="BN670" s="136"/>
    </row>
    <row r="671" spans="1:66" ht="15.75" customHeight="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  <c r="AW671" s="136"/>
      <c r="AX671" s="136"/>
      <c r="AY671" s="136"/>
      <c r="AZ671" s="136"/>
      <c r="BA671" s="136"/>
      <c r="BB671" s="136"/>
      <c r="BC671" s="136"/>
      <c r="BD671" s="136"/>
      <c r="BE671" s="136"/>
      <c r="BF671" s="136"/>
      <c r="BG671" s="136"/>
      <c r="BH671" s="136"/>
      <c r="BI671" s="136"/>
      <c r="BJ671" s="136"/>
      <c r="BK671" s="136"/>
      <c r="BL671" s="136"/>
      <c r="BM671" s="136"/>
      <c r="BN671" s="136"/>
    </row>
    <row r="672" spans="1:66" ht="15.75" customHeight="1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  <c r="BE672" s="136"/>
      <c r="BF672" s="136"/>
      <c r="BG672" s="136"/>
      <c r="BH672" s="136"/>
      <c r="BI672" s="136"/>
      <c r="BJ672" s="136"/>
      <c r="BK672" s="136"/>
      <c r="BL672" s="136"/>
      <c r="BM672" s="136"/>
      <c r="BN672" s="136"/>
    </row>
    <row r="673" spans="1:66" ht="15.75" customHeight="1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136"/>
      <c r="AS673" s="136"/>
      <c r="AT673" s="136"/>
      <c r="AU673" s="136"/>
      <c r="AV673" s="136"/>
      <c r="AW673" s="136"/>
      <c r="AX673" s="136"/>
      <c r="AY673" s="136"/>
      <c r="AZ673" s="136"/>
      <c r="BA673" s="136"/>
      <c r="BB673" s="136"/>
      <c r="BC673" s="136"/>
      <c r="BD673" s="136"/>
      <c r="BE673" s="136"/>
      <c r="BF673" s="136"/>
      <c r="BG673" s="136"/>
      <c r="BH673" s="136"/>
      <c r="BI673" s="136"/>
      <c r="BJ673" s="136"/>
      <c r="BK673" s="136"/>
      <c r="BL673" s="136"/>
      <c r="BM673" s="136"/>
      <c r="BN673" s="136"/>
    </row>
    <row r="674" spans="1:66" ht="15.75" customHeight="1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136"/>
      <c r="AU674" s="136"/>
      <c r="AV674" s="136"/>
      <c r="AW674" s="136"/>
      <c r="AX674" s="136"/>
      <c r="AY674" s="136"/>
      <c r="AZ674" s="136"/>
      <c r="BA674" s="136"/>
      <c r="BB674" s="136"/>
      <c r="BC674" s="136"/>
      <c r="BD674" s="136"/>
      <c r="BE674" s="136"/>
      <c r="BF674" s="136"/>
      <c r="BG674" s="136"/>
      <c r="BH674" s="136"/>
      <c r="BI674" s="136"/>
      <c r="BJ674" s="136"/>
      <c r="BK674" s="136"/>
      <c r="BL674" s="136"/>
      <c r="BM674" s="136"/>
      <c r="BN674" s="136"/>
    </row>
    <row r="675" spans="1:66" ht="15.75" customHeight="1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136"/>
      <c r="AS675" s="136"/>
      <c r="AT675" s="136"/>
      <c r="AU675" s="136"/>
      <c r="AV675" s="136"/>
      <c r="AW675" s="136"/>
      <c r="AX675" s="136"/>
      <c r="AY675" s="136"/>
      <c r="AZ675" s="136"/>
      <c r="BA675" s="136"/>
      <c r="BB675" s="136"/>
      <c r="BC675" s="136"/>
      <c r="BD675" s="136"/>
      <c r="BE675" s="136"/>
      <c r="BF675" s="136"/>
      <c r="BG675" s="136"/>
      <c r="BH675" s="136"/>
      <c r="BI675" s="136"/>
      <c r="BJ675" s="136"/>
      <c r="BK675" s="136"/>
      <c r="BL675" s="136"/>
      <c r="BM675" s="136"/>
      <c r="BN675" s="136"/>
    </row>
    <row r="676" spans="1:66" ht="15.75" customHeight="1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  <c r="BE676" s="136"/>
      <c r="BF676" s="136"/>
      <c r="BG676" s="136"/>
      <c r="BH676" s="136"/>
      <c r="BI676" s="136"/>
      <c r="BJ676" s="136"/>
      <c r="BK676" s="136"/>
      <c r="BL676" s="136"/>
      <c r="BM676" s="136"/>
      <c r="BN676" s="136"/>
    </row>
    <row r="677" spans="1:66" ht="15.75" customHeight="1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  <c r="AW677" s="136"/>
      <c r="AX677" s="136"/>
      <c r="AY677" s="136"/>
      <c r="AZ677" s="136"/>
      <c r="BA677" s="136"/>
      <c r="BB677" s="136"/>
      <c r="BC677" s="136"/>
      <c r="BD677" s="136"/>
      <c r="BE677" s="136"/>
      <c r="BF677" s="136"/>
      <c r="BG677" s="136"/>
      <c r="BH677" s="136"/>
      <c r="BI677" s="136"/>
      <c r="BJ677" s="136"/>
      <c r="BK677" s="136"/>
      <c r="BL677" s="136"/>
      <c r="BM677" s="136"/>
      <c r="BN677" s="136"/>
    </row>
    <row r="678" spans="1:66" ht="15.75" customHeight="1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  <c r="AW678" s="136"/>
      <c r="AX678" s="136"/>
      <c r="AY678" s="136"/>
      <c r="AZ678" s="136"/>
      <c r="BA678" s="136"/>
      <c r="BB678" s="136"/>
      <c r="BC678" s="136"/>
      <c r="BD678" s="136"/>
      <c r="BE678" s="136"/>
      <c r="BF678" s="136"/>
      <c r="BG678" s="136"/>
      <c r="BH678" s="136"/>
      <c r="BI678" s="136"/>
      <c r="BJ678" s="136"/>
      <c r="BK678" s="136"/>
      <c r="BL678" s="136"/>
      <c r="BM678" s="136"/>
      <c r="BN678" s="136"/>
    </row>
    <row r="679" spans="1:66" ht="15.75" customHeight="1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  <c r="AW679" s="136"/>
      <c r="AX679" s="136"/>
      <c r="AY679" s="136"/>
      <c r="AZ679" s="136"/>
      <c r="BA679" s="136"/>
      <c r="BB679" s="136"/>
      <c r="BC679" s="136"/>
      <c r="BD679" s="136"/>
      <c r="BE679" s="136"/>
      <c r="BF679" s="136"/>
      <c r="BG679" s="136"/>
      <c r="BH679" s="136"/>
      <c r="BI679" s="136"/>
      <c r="BJ679" s="136"/>
      <c r="BK679" s="136"/>
      <c r="BL679" s="136"/>
      <c r="BM679" s="136"/>
      <c r="BN679" s="136"/>
    </row>
    <row r="680" spans="1:66" ht="15.75" customHeight="1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  <c r="BE680" s="136"/>
      <c r="BF680" s="136"/>
      <c r="BG680" s="136"/>
      <c r="BH680" s="136"/>
      <c r="BI680" s="136"/>
      <c r="BJ680" s="136"/>
      <c r="BK680" s="136"/>
      <c r="BL680" s="136"/>
      <c r="BM680" s="136"/>
      <c r="BN680" s="136"/>
    </row>
    <row r="681" spans="1:66" ht="15.75" customHeight="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136"/>
      <c r="AQ681" s="136"/>
      <c r="AR681" s="136"/>
      <c r="AS681" s="136"/>
      <c r="AT681" s="136"/>
      <c r="AU681" s="136"/>
      <c r="AV681" s="136"/>
      <c r="AW681" s="136"/>
      <c r="AX681" s="136"/>
      <c r="AY681" s="136"/>
      <c r="AZ681" s="136"/>
      <c r="BA681" s="136"/>
      <c r="BB681" s="136"/>
      <c r="BC681" s="136"/>
      <c r="BD681" s="136"/>
      <c r="BE681" s="136"/>
      <c r="BF681" s="136"/>
      <c r="BG681" s="136"/>
      <c r="BH681" s="136"/>
      <c r="BI681" s="136"/>
      <c r="BJ681" s="136"/>
      <c r="BK681" s="136"/>
      <c r="BL681" s="136"/>
      <c r="BM681" s="136"/>
      <c r="BN681" s="136"/>
    </row>
    <row r="682" spans="1:66" ht="15.75" customHeight="1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136"/>
      <c r="AS682" s="136"/>
      <c r="AT682" s="136"/>
      <c r="AU682" s="136"/>
      <c r="AV682" s="136"/>
      <c r="AW682" s="136"/>
      <c r="AX682" s="136"/>
      <c r="AY682" s="136"/>
      <c r="AZ682" s="136"/>
      <c r="BA682" s="136"/>
      <c r="BB682" s="136"/>
      <c r="BC682" s="136"/>
      <c r="BD682" s="136"/>
      <c r="BE682" s="136"/>
      <c r="BF682" s="136"/>
      <c r="BG682" s="136"/>
      <c r="BH682" s="136"/>
      <c r="BI682" s="136"/>
      <c r="BJ682" s="136"/>
      <c r="BK682" s="136"/>
      <c r="BL682" s="136"/>
      <c r="BM682" s="136"/>
      <c r="BN682" s="136"/>
    </row>
    <row r="683" spans="1:66" ht="15.75" customHeight="1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136"/>
      <c r="AS683" s="136"/>
      <c r="AT683" s="136"/>
      <c r="AU683" s="136"/>
      <c r="AV683" s="136"/>
      <c r="AW683" s="136"/>
      <c r="AX683" s="136"/>
      <c r="AY683" s="136"/>
      <c r="AZ683" s="136"/>
      <c r="BA683" s="136"/>
      <c r="BB683" s="136"/>
      <c r="BC683" s="136"/>
      <c r="BD683" s="136"/>
      <c r="BE683" s="136"/>
      <c r="BF683" s="136"/>
      <c r="BG683" s="136"/>
      <c r="BH683" s="136"/>
      <c r="BI683" s="136"/>
      <c r="BJ683" s="136"/>
      <c r="BK683" s="136"/>
      <c r="BL683" s="136"/>
      <c r="BM683" s="136"/>
      <c r="BN683" s="136"/>
    </row>
    <row r="684" spans="1:66" ht="15.75" customHeight="1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136"/>
      <c r="AQ684" s="136"/>
      <c r="AR684" s="136"/>
      <c r="AS684" s="136"/>
      <c r="AT684" s="136"/>
      <c r="AU684" s="136"/>
      <c r="AV684" s="136"/>
      <c r="AW684" s="136"/>
      <c r="AX684" s="136"/>
      <c r="AY684" s="136"/>
      <c r="AZ684" s="136"/>
      <c r="BA684" s="136"/>
      <c r="BB684" s="136"/>
      <c r="BC684" s="136"/>
      <c r="BD684" s="136"/>
      <c r="BE684" s="136"/>
      <c r="BF684" s="136"/>
      <c r="BG684" s="136"/>
      <c r="BH684" s="136"/>
      <c r="BI684" s="136"/>
      <c r="BJ684" s="136"/>
      <c r="BK684" s="136"/>
      <c r="BL684" s="136"/>
      <c r="BM684" s="136"/>
      <c r="BN684" s="136"/>
    </row>
    <row r="685" spans="1:66" ht="15.75" customHeight="1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  <c r="BE685" s="136"/>
      <c r="BF685" s="136"/>
      <c r="BG685" s="136"/>
      <c r="BH685" s="136"/>
      <c r="BI685" s="136"/>
      <c r="BJ685" s="136"/>
      <c r="BK685" s="136"/>
      <c r="BL685" s="136"/>
      <c r="BM685" s="136"/>
      <c r="BN685" s="136"/>
    </row>
    <row r="686" spans="1:66" ht="15.75" customHeight="1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136"/>
      <c r="AU686" s="136"/>
      <c r="AV686" s="136"/>
      <c r="AW686" s="136"/>
      <c r="AX686" s="136"/>
      <c r="AY686" s="136"/>
      <c r="AZ686" s="136"/>
      <c r="BA686" s="136"/>
      <c r="BB686" s="136"/>
      <c r="BC686" s="136"/>
      <c r="BD686" s="136"/>
      <c r="BE686" s="136"/>
      <c r="BF686" s="136"/>
      <c r="BG686" s="136"/>
      <c r="BH686" s="136"/>
      <c r="BI686" s="136"/>
      <c r="BJ686" s="136"/>
      <c r="BK686" s="136"/>
      <c r="BL686" s="136"/>
      <c r="BM686" s="136"/>
      <c r="BN686" s="136"/>
    </row>
    <row r="687" spans="1:66" ht="15.75" customHeight="1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  <c r="BE687" s="136"/>
      <c r="BF687" s="136"/>
      <c r="BG687" s="136"/>
      <c r="BH687" s="136"/>
      <c r="BI687" s="136"/>
      <c r="BJ687" s="136"/>
      <c r="BK687" s="136"/>
      <c r="BL687" s="136"/>
      <c r="BM687" s="136"/>
      <c r="BN687" s="136"/>
    </row>
    <row r="688" spans="1:66" ht="15.75" customHeight="1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  <c r="AW688" s="136"/>
      <c r="AX688" s="136"/>
      <c r="AY688" s="136"/>
      <c r="AZ688" s="136"/>
      <c r="BA688" s="136"/>
      <c r="BB688" s="136"/>
      <c r="BC688" s="136"/>
      <c r="BD688" s="136"/>
      <c r="BE688" s="136"/>
      <c r="BF688" s="136"/>
      <c r="BG688" s="136"/>
      <c r="BH688" s="136"/>
      <c r="BI688" s="136"/>
      <c r="BJ688" s="136"/>
      <c r="BK688" s="136"/>
      <c r="BL688" s="136"/>
      <c r="BM688" s="136"/>
      <c r="BN688" s="136"/>
    </row>
    <row r="689" spans="1:66" ht="15.75" customHeight="1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  <c r="AW689" s="136"/>
      <c r="AX689" s="136"/>
      <c r="AY689" s="136"/>
      <c r="AZ689" s="136"/>
      <c r="BA689" s="136"/>
      <c r="BB689" s="136"/>
      <c r="BC689" s="136"/>
      <c r="BD689" s="136"/>
      <c r="BE689" s="136"/>
      <c r="BF689" s="136"/>
      <c r="BG689" s="136"/>
      <c r="BH689" s="136"/>
      <c r="BI689" s="136"/>
      <c r="BJ689" s="136"/>
      <c r="BK689" s="136"/>
      <c r="BL689" s="136"/>
      <c r="BM689" s="136"/>
      <c r="BN689" s="136"/>
    </row>
    <row r="690" spans="1:66" ht="15.75" customHeight="1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136"/>
      <c r="AQ690" s="136"/>
      <c r="AR690" s="136"/>
      <c r="AS690" s="136"/>
      <c r="AT690" s="136"/>
      <c r="AU690" s="136"/>
      <c r="AV690" s="136"/>
      <c r="AW690" s="136"/>
      <c r="AX690" s="136"/>
      <c r="AY690" s="136"/>
      <c r="AZ690" s="136"/>
      <c r="BA690" s="136"/>
      <c r="BB690" s="136"/>
      <c r="BC690" s="136"/>
      <c r="BD690" s="136"/>
      <c r="BE690" s="136"/>
      <c r="BF690" s="136"/>
      <c r="BG690" s="136"/>
      <c r="BH690" s="136"/>
      <c r="BI690" s="136"/>
      <c r="BJ690" s="136"/>
      <c r="BK690" s="136"/>
      <c r="BL690" s="136"/>
      <c r="BM690" s="136"/>
      <c r="BN690" s="136"/>
    </row>
    <row r="691" spans="1:66" ht="15.75" customHeight="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  <c r="AW691" s="136"/>
      <c r="AX691" s="136"/>
      <c r="AY691" s="136"/>
      <c r="AZ691" s="136"/>
      <c r="BA691" s="136"/>
      <c r="BB691" s="136"/>
      <c r="BC691" s="136"/>
      <c r="BD691" s="136"/>
      <c r="BE691" s="136"/>
      <c r="BF691" s="136"/>
      <c r="BG691" s="136"/>
      <c r="BH691" s="136"/>
      <c r="BI691" s="136"/>
      <c r="BJ691" s="136"/>
      <c r="BK691" s="136"/>
      <c r="BL691" s="136"/>
      <c r="BM691" s="136"/>
      <c r="BN691" s="136"/>
    </row>
    <row r="692" spans="1:66" ht="15.75" customHeight="1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136"/>
      <c r="AS692" s="136"/>
      <c r="AT692" s="136"/>
      <c r="AU692" s="136"/>
      <c r="AV692" s="136"/>
      <c r="AW692" s="136"/>
      <c r="AX692" s="136"/>
      <c r="AY692" s="136"/>
      <c r="AZ692" s="136"/>
      <c r="BA692" s="136"/>
      <c r="BB692" s="136"/>
      <c r="BC692" s="136"/>
      <c r="BD692" s="136"/>
      <c r="BE692" s="136"/>
      <c r="BF692" s="136"/>
      <c r="BG692" s="136"/>
      <c r="BH692" s="136"/>
      <c r="BI692" s="136"/>
      <c r="BJ692" s="136"/>
      <c r="BK692" s="136"/>
      <c r="BL692" s="136"/>
      <c r="BM692" s="136"/>
      <c r="BN692" s="136"/>
    </row>
    <row r="693" spans="1:66" ht="15.75" customHeight="1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136"/>
      <c r="AS693" s="136"/>
      <c r="AT693" s="136"/>
      <c r="AU693" s="136"/>
      <c r="AV693" s="136"/>
      <c r="AW693" s="136"/>
      <c r="AX693" s="136"/>
      <c r="AY693" s="136"/>
      <c r="AZ693" s="136"/>
      <c r="BA693" s="136"/>
      <c r="BB693" s="136"/>
      <c r="BC693" s="136"/>
      <c r="BD693" s="136"/>
      <c r="BE693" s="136"/>
      <c r="BF693" s="136"/>
      <c r="BG693" s="136"/>
      <c r="BH693" s="136"/>
      <c r="BI693" s="136"/>
      <c r="BJ693" s="136"/>
      <c r="BK693" s="136"/>
      <c r="BL693" s="136"/>
      <c r="BM693" s="136"/>
      <c r="BN693" s="136"/>
    </row>
    <row r="694" spans="1:66" ht="15.75" customHeight="1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136"/>
      <c r="AS694" s="136"/>
      <c r="AT694" s="136"/>
      <c r="AU694" s="136"/>
      <c r="AV694" s="136"/>
      <c r="AW694" s="136"/>
      <c r="AX694" s="136"/>
      <c r="AY694" s="136"/>
      <c r="AZ694" s="136"/>
      <c r="BA694" s="136"/>
      <c r="BB694" s="136"/>
      <c r="BC694" s="136"/>
      <c r="BD694" s="136"/>
      <c r="BE694" s="136"/>
      <c r="BF694" s="136"/>
      <c r="BG694" s="136"/>
      <c r="BH694" s="136"/>
      <c r="BI694" s="136"/>
      <c r="BJ694" s="136"/>
      <c r="BK694" s="136"/>
      <c r="BL694" s="136"/>
      <c r="BM694" s="136"/>
      <c r="BN694" s="136"/>
    </row>
    <row r="695" spans="1:66" ht="15.75" customHeight="1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  <c r="AW695" s="136"/>
      <c r="AX695" s="136"/>
      <c r="AY695" s="136"/>
      <c r="AZ695" s="136"/>
      <c r="BA695" s="136"/>
      <c r="BB695" s="136"/>
      <c r="BC695" s="136"/>
      <c r="BD695" s="136"/>
      <c r="BE695" s="136"/>
      <c r="BF695" s="136"/>
      <c r="BG695" s="136"/>
      <c r="BH695" s="136"/>
      <c r="BI695" s="136"/>
      <c r="BJ695" s="136"/>
      <c r="BK695" s="136"/>
      <c r="BL695" s="136"/>
      <c r="BM695" s="136"/>
      <c r="BN695" s="136"/>
    </row>
    <row r="696" spans="1:66" ht="15.75" customHeight="1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136"/>
      <c r="AQ696" s="136"/>
      <c r="AR696" s="136"/>
      <c r="AS696" s="136"/>
      <c r="AT696" s="136"/>
      <c r="AU696" s="136"/>
      <c r="AV696" s="136"/>
      <c r="AW696" s="136"/>
      <c r="AX696" s="136"/>
      <c r="AY696" s="136"/>
      <c r="AZ696" s="136"/>
      <c r="BA696" s="136"/>
      <c r="BB696" s="136"/>
      <c r="BC696" s="136"/>
      <c r="BD696" s="136"/>
      <c r="BE696" s="136"/>
      <c r="BF696" s="136"/>
      <c r="BG696" s="136"/>
      <c r="BH696" s="136"/>
      <c r="BI696" s="136"/>
      <c r="BJ696" s="136"/>
      <c r="BK696" s="136"/>
      <c r="BL696" s="136"/>
      <c r="BM696" s="136"/>
      <c r="BN696" s="136"/>
    </row>
    <row r="697" spans="1:66" ht="15.75" customHeight="1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136"/>
      <c r="AS697" s="136"/>
      <c r="AT697" s="136"/>
      <c r="AU697" s="136"/>
      <c r="AV697" s="136"/>
      <c r="AW697" s="136"/>
      <c r="AX697" s="136"/>
      <c r="AY697" s="136"/>
      <c r="AZ697" s="136"/>
      <c r="BA697" s="136"/>
      <c r="BB697" s="136"/>
      <c r="BC697" s="136"/>
      <c r="BD697" s="136"/>
      <c r="BE697" s="136"/>
      <c r="BF697" s="136"/>
      <c r="BG697" s="136"/>
      <c r="BH697" s="136"/>
      <c r="BI697" s="136"/>
      <c r="BJ697" s="136"/>
      <c r="BK697" s="136"/>
      <c r="BL697" s="136"/>
      <c r="BM697" s="136"/>
      <c r="BN697" s="136"/>
    </row>
    <row r="698" spans="1:66" ht="15.75" customHeight="1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136"/>
      <c r="AS698" s="136"/>
      <c r="AT698" s="136"/>
      <c r="AU698" s="136"/>
      <c r="AV698" s="136"/>
      <c r="AW698" s="136"/>
      <c r="AX698" s="136"/>
      <c r="AY698" s="136"/>
      <c r="AZ698" s="136"/>
      <c r="BA698" s="136"/>
      <c r="BB698" s="136"/>
      <c r="BC698" s="136"/>
      <c r="BD698" s="136"/>
      <c r="BE698" s="136"/>
      <c r="BF698" s="136"/>
      <c r="BG698" s="136"/>
      <c r="BH698" s="136"/>
      <c r="BI698" s="136"/>
      <c r="BJ698" s="136"/>
      <c r="BK698" s="136"/>
      <c r="BL698" s="136"/>
      <c r="BM698" s="136"/>
      <c r="BN698" s="136"/>
    </row>
    <row r="699" spans="1:66" ht="15.75" customHeight="1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136"/>
      <c r="AQ699" s="136"/>
      <c r="AR699" s="136"/>
      <c r="AS699" s="136"/>
      <c r="AT699" s="136"/>
      <c r="AU699" s="136"/>
      <c r="AV699" s="136"/>
      <c r="AW699" s="136"/>
      <c r="AX699" s="136"/>
      <c r="AY699" s="136"/>
      <c r="AZ699" s="136"/>
      <c r="BA699" s="136"/>
      <c r="BB699" s="136"/>
      <c r="BC699" s="136"/>
      <c r="BD699" s="136"/>
      <c r="BE699" s="136"/>
      <c r="BF699" s="136"/>
      <c r="BG699" s="136"/>
      <c r="BH699" s="136"/>
      <c r="BI699" s="136"/>
      <c r="BJ699" s="136"/>
      <c r="BK699" s="136"/>
      <c r="BL699" s="136"/>
      <c r="BM699" s="136"/>
      <c r="BN699" s="136"/>
    </row>
    <row r="700" spans="1:66" ht="15.75" customHeight="1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136"/>
      <c r="AS700" s="136"/>
      <c r="AT700" s="136"/>
      <c r="AU700" s="136"/>
      <c r="AV700" s="136"/>
      <c r="AW700" s="136"/>
      <c r="AX700" s="136"/>
      <c r="AY700" s="136"/>
      <c r="AZ700" s="136"/>
      <c r="BA700" s="136"/>
      <c r="BB700" s="136"/>
      <c r="BC700" s="136"/>
      <c r="BD700" s="136"/>
      <c r="BE700" s="136"/>
      <c r="BF700" s="136"/>
      <c r="BG700" s="136"/>
      <c r="BH700" s="136"/>
      <c r="BI700" s="136"/>
      <c r="BJ700" s="136"/>
      <c r="BK700" s="136"/>
      <c r="BL700" s="136"/>
      <c r="BM700" s="136"/>
      <c r="BN700" s="136"/>
    </row>
    <row r="701" spans="1:66" ht="15.75" customHeight="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/>
      <c r="AX701" s="136"/>
      <c r="AY701" s="136"/>
      <c r="AZ701" s="136"/>
      <c r="BA701" s="136"/>
      <c r="BB701" s="136"/>
      <c r="BC701" s="136"/>
      <c r="BD701" s="136"/>
      <c r="BE701" s="136"/>
      <c r="BF701" s="136"/>
      <c r="BG701" s="136"/>
      <c r="BH701" s="136"/>
      <c r="BI701" s="136"/>
      <c r="BJ701" s="136"/>
      <c r="BK701" s="136"/>
      <c r="BL701" s="136"/>
      <c r="BM701" s="136"/>
      <c r="BN701" s="136"/>
    </row>
    <row r="702" spans="1:66" ht="15.75" customHeight="1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136"/>
      <c r="AQ702" s="136"/>
      <c r="AR702" s="136"/>
      <c r="AS702" s="136"/>
      <c r="AT702" s="136"/>
      <c r="AU702" s="136"/>
      <c r="AV702" s="136"/>
      <c r="AW702" s="136"/>
      <c r="AX702" s="136"/>
      <c r="AY702" s="136"/>
      <c r="AZ702" s="136"/>
      <c r="BA702" s="136"/>
      <c r="BB702" s="136"/>
      <c r="BC702" s="136"/>
      <c r="BD702" s="136"/>
      <c r="BE702" s="136"/>
      <c r="BF702" s="136"/>
      <c r="BG702" s="136"/>
      <c r="BH702" s="136"/>
      <c r="BI702" s="136"/>
      <c r="BJ702" s="136"/>
      <c r="BK702" s="136"/>
      <c r="BL702" s="136"/>
      <c r="BM702" s="136"/>
      <c r="BN702" s="136"/>
    </row>
    <row r="703" spans="1:66" ht="15.75" customHeight="1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136"/>
      <c r="AS703" s="136"/>
      <c r="AT703" s="136"/>
      <c r="AU703" s="136"/>
      <c r="AV703" s="136"/>
      <c r="AW703" s="136"/>
      <c r="AX703" s="136"/>
      <c r="AY703" s="136"/>
      <c r="AZ703" s="136"/>
      <c r="BA703" s="136"/>
      <c r="BB703" s="136"/>
      <c r="BC703" s="136"/>
      <c r="BD703" s="136"/>
      <c r="BE703" s="136"/>
      <c r="BF703" s="136"/>
      <c r="BG703" s="136"/>
      <c r="BH703" s="136"/>
      <c r="BI703" s="136"/>
      <c r="BJ703" s="136"/>
      <c r="BK703" s="136"/>
      <c r="BL703" s="136"/>
      <c r="BM703" s="136"/>
      <c r="BN703" s="136"/>
    </row>
    <row r="704" spans="1:66" ht="15.75" customHeight="1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  <c r="AW704" s="136"/>
      <c r="AX704" s="136"/>
      <c r="AY704" s="136"/>
      <c r="AZ704" s="136"/>
      <c r="BA704" s="136"/>
      <c r="BB704" s="136"/>
      <c r="BC704" s="136"/>
      <c r="BD704" s="136"/>
      <c r="BE704" s="136"/>
      <c r="BF704" s="136"/>
      <c r="BG704" s="136"/>
      <c r="BH704" s="136"/>
      <c r="BI704" s="136"/>
      <c r="BJ704" s="136"/>
      <c r="BK704" s="136"/>
      <c r="BL704" s="136"/>
      <c r="BM704" s="136"/>
      <c r="BN704" s="136"/>
    </row>
    <row r="705" spans="1:66" ht="15.75" customHeight="1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136"/>
      <c r="AQ705" s="136"/>
      <c r="AR705" s="136"/>
      <c r="AS705" s="136"/>
      <c r="AT705" s="136"/>
      <c r="AU705" s="136"/>
      <c r="AV705" s="136"/>
      <c r="AW705" s="136"/>
      <c r="AX705" s="136"/>
      <c r="AY705" s="136"/>
      <c r="AZ705" s="136"/>
      <c r="BA705" s="136"/>
      <c r="BB705" s="136"/>
      <c r="BC705" s="136"/>
      <c r="BD705" s="136"/>
      <c r="BE705" s="136"/>
      <c r="BF705" s="136"/>
      <c r="BG705" s="136"/>
      <c r="BH705" s="136"/>
      <c r="BI705" s="136"/>
      <c r="BJ705" s="136"/>
      <c r="BK705" s="136"/>
      <c r="BL705" s="136"/>
      <c r="BM705" s="136"/>
      <c r="BN705" s="136"/>
    </row>
    <row r="706" spans="1:66" ht="15.75" customHeight="1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136"/>
      <c r="AU706" s="136"/>
      <c r="AV706" s="136"/>
      <c r="AW706" s="136"/>
      <c r="AX706" s="136"/>
      <c r="AY706" s="136"/>
      <c r="AZ706" s="136"/>
      <c r="BA706" s="136"/>
      <c r="BB706" s="136"/>
      <c r="BC706" s="136"/>
      <c r="BD706" s="136"/>
      <c r="BE706" s="136"/>
      <c r="BF706" s="136"/>
      <c r="BG706" s="136"/>
      <c r="BH706" s="136"/>
      <c r="BI706" s="136"/>
      <c r="BJ706" s="136"/>
      <c r="BK706" s="136"/>
      <c r="BL706" s="136"/>
      <c r="BM706" s="136"/>
      <c r="BN706" s="136"/>
    </row>
    <row r="707" spans="1:66" ht="15.75" customHeight="1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136"/>
      <c r="AS707" s="136"/>
      <c r="AT707" s="136"/>
      <c r="AU707" s="136"/>
      <c r="AV707" s="136"/>
      <c r="AW707" s="136"/>
      <c r="AX707" s="136"/>
      <c r="AY707" s="136"/>
      <c r="AZ707" s="136"/>
      <c r="BA707" s="136"/>
      <c r="BB707" s="136"/>
      <c r="BC707" s="136"/>
      <c r="BD707" s="136"/>
      <c r="BE707" s="136"/>
      <c r="BF707" s="136"/>
      <c r="BG707" s="136"/>
      <c r="BH707" s="136"/>
      <c r="BI707" s="136"/>
      <c r="BJ707" s="136"/>
      <c r="BK707" s="136"/>
      <c r="BL707" s="136"/>
      <c r="BM707" s="136"/>
      <c r="BN707" s="136"/>
    </row>
    <row r="708" spans="1:66" ht="15.75" customHeight="1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136"/>
      <c r="AQ708" s="136"/>
      <c r="AR708" s="136"/>
      <c r="AS708" s="136"/>
      <c r="AT708" s="136"/>
      <c r="AU708" s="136"/>
      <c r="AV708" s="136"/>
      <c r="AW708" s="136"/>
      <c r="AX708" s="136"/>
      <c r="AY708" s="136"/>
      <c r="AZ708" s="136"/>
      <c r="BA708" s="136"/>
      <c r="BB708" s="136"/>
      <c r="BC708" s="136"/>
      <c r="BD708" s="136"/>
      <c r="BE708" s="136"/>
      <c r="BF708" s="136"/>
      <c r="BG708" s="136"/>
      <c r="BH708" s="136"/>
      <c r="BI708" s="136"/>
      <c r="BJ708" s="136"/>
      <c r="BK708" s="136"/>
      <c r="BL708" s="136"/>
      <c r="BM708" s="136"/>
      <c r="BN708" s="136"/>
    </row>
    <row r="709" spans="1:66" ht="15.75" customHeight="1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136"/>
      <c r="AS709" s="136"/>
      <c r="AT709" s="136"/>
      <c r="AU709" s="136"/>
      <c r="AV709" s="136"/>
      <c r="AW709" s="136"/>
      <c r="AX709" s="136"/>
      <c r="AY709" s="136"/>
      <c r="AZ709" s="136"/>
      <c r="BA709" s="136"/>
      <c r="BB709" s="136"/>
      <c r="BC709" s="136"/>
      <c r="BD709" s="136"/>
      <c r="BE709" s="136"/>
      <c r="BF709" s="136"/>
      <c r="BG709" s="136"/>
      <c r="BH709" s="136"/>
      <c r="BI709" s="136"/>
      <c r="BJ709" s="136"/>
      <c r="BK709" s="136"/>
      <c r="BL709" s="136"/>
      <c r="BM709" s="136"/>
      <c r="BN709" s="136"/>
    </row>
    <row r="710" spans="1:66" ht="15.75" customHeight="1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136"/>
      <c r="AS710" s="136"/>
      <c r="AT710" s="136"/>
      <c r="AU710" s="136"/>
      <c r="AV710" s="136"/>
      <c r="AW710" s="136"/>
      <c r="AX710" s="136"/>
      <c r="AY710" s="136"/>
      <c r="AZ710" s="136"/>
      <c r="BA710" s="136"/>
      <c r="BB710" s="136"/>
      <c r="BC710" s="136"/>
      <c r="BD710" s="136"/>
      <c r="BE710" s="136"/>
      <c r="BF710" s="136"/>
      <c r="BG710" s="136"/>
      <c r="BH710" s="136"/>
      <c r="BI710" s="136"/>
      <c r="BJ710" s="136"/>
      <c r="BK710" s="136"/>
      <c r="BL710" s="136"/>
      <c r="BM710" s="136"/>
      <c r="BN710" s="136"/>
    </row>
    <row r="711" spans="1:66" ht="15.75" customHeight="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136"/>
      <c r="AQ711" s="136"/>
      <c r="AR711" s="136"/>
      <c r="AS711" s="136"/>
      <c r="AT711" s="136"/>
      <c r="AU711" s="136"/>
      <c r="AV711" s="136"/>
      <c r="AW711" s="136"/>
      <c r="AX711" s="136"/>
      <c r="AY711" s="136"/>
      <c r="AZ711" s="136"/>
      <c r="BA711" s="136"/>
      <c r="BB711" s="136"/>
      <c r="BC711" s="136"/>
      <c r="BD711" s="136"/>
      <c r="BE711" s="136"/>
      <c r="BF711" s="136"/>
      <c r="BG711" s="136"/>
      <c r="BH711" s="136"/>
      <c r="BI711" s="136"/>
      <c r="BJ711" s="136"/>
      <c r="BK711" s="136"/>
      <c r="BL711" s="136"/>
      <c r="BM711" s="136"/>
      <c r="BN711" s="136"/>
    </row>
    <row r="712" spans="1:66" ht="15.75" customHeight="1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  <c r="AW712" s="136"/>
      <c r="AX712" s="136"/>
      <c r="AY712" s="136"/>
      <c r="AZ712" s="136"/>
      <c r="BA712" s="136"/>
      <c r="BB712" s="136"/>
      <c r="BC712" s="136"/>
      <c r="BD712" s="136"/>
      <c r="BE712" s="136"/>
      <c r="BF712" s="136"/>
      <c r="BG712" s="136"/>
      <c r="BH712" s="136"/>
      <c r="BI712" s="136"/>
      <c r="BJ712" s="136"/>
      <c r="BK712" s="136"/>
      <c r="BL712" s="136"/>
      <c r="BM712" s="136"/>
      <c r="BN712" s="136"/>
    </row>
    <row r="713" spans="1:66" ht="15.75" customHeight="1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136"/>
      <c r="AS713" s="136"/>
      <c r="AT713" s="136"/>
      <c r="AU713" s="136"/>
      <c r="AV713" s="136"/>
      <c r="AW713" s="136"/>
      <c r="AX713" s="136"/>
      <c r="AY713" s="136"/>
      <c r="AZ713" s="136"/>
      <c r="BA713" s="136"/>
      <c r="BB713" s="136"/>
      <c r="BC713" s="136"/>
      <c r="BD713" s="136"/>
      <c r="BE713" s="136"/>
      <c r="BF713" s="136"/>
      <c r="BG713" s="136"/>
      <c r="BH713" s="136"/>
      <c r="BI713" s="136"/>
      <c r="BJ713" s="136"/>
      <c r="BK713" s="136"/>
      <c r="BL713" s="136"/>
      <c r="BM713" s="136"/>
      <c r="BN713" s="136"/>
    </row>
    <row r="714" spans="1:66" ht="15.75" customHeight="1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136"/>
      <c r="AQ714" s="136"/>
      <c r="AR714" s="136"/>
      <c r="AS714" s="136"/>
      <c r="AT714" s="136"/>
      <c r="AU714" s="136"/>
      <c r="AV714" s="136"/>
      <c r="AW714" s="136"/>
      <c r="AX714" s="136"/>
      <c r="AY714" s="136"/>
      <c r="AZ714" s="136"/>
      <c r="BA714" s="136"/>
      <c r="BB714" s="136"/>
      <c r="BC714" s="136"/>
      <c r="BD714" s="136"/>
      <c r="BE714" s="136"/>
      <c r="BF714" s="136"/>
      <c r="BG714" s="136"/>
      <c r="BH714" s="136"/>
      <c r="BI714" s="136"/>
      <c r="BJ714" s="136"/>
      <c r="BK714" s="136"/>
      <c r="BL714" s="136"/>
      <c r="BM714" s="136"/>
      <c r="BN714" s="136"/>
    </row>
    <row r="715" spans="1:66" ht="15.75" customHeight="1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136"/>
      <c r="AS715" s="136"/>
      <c r="AT715" s="136"/>
      <c r="AU715" s="136"/>
      <c r="AV715" s="136"/>
      <c r="AW715" s="136"/>
      <c r="AX715" s="136"/>
      <c r="AY715" s="136"/>
      <c r="AZ715" s="136"/>
      <c r="BA715" s="136"/>
      <c r="BB715" s="136"/>
      <c r="BC715" s="136"/>
      <c r="BD715" s="136"/>
      <c r="BE715" s="136"/>
      <c r="BF715" s="136"/>
      <c r="BG715" s="136"/>
      <c r="BH715" s="136"/>
      <c r="BI715" s="136"/>
      <c r="BJ715" s="136"/>
      <c r="BK715" s="136"/>
      <c r="BL715" s="136"/>
      <c r="BM715" s="136"/>
      <c r="BN715" s="136"/>
    </row>
    <row r="716" spans="1:66" ht="15.75" customHeight="1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  <c r="AW716" s="136"/>
      <c r="AX716" s="136"/>
      <c r="AY716" s="136"/>
      <c r="AZ716" s="136"/>
      <c r="BA716" s="136"/>
      <c r="BB716" s="136"/>
      <c r="BC716" s="136"/>
      <c r="BD716" s="136"/>
      <c r="BE716" s="136"/>
      <c r="BF716" s="136"/>
      <c r="BG716" s="136"/>
      <c r="BH716" s="136"/>
      <c r="BI716" s="136"/>
      <c r="BJ716" s="136"/>
      <c r="BK716" s="136"/>
      <c r="BL716" s="136"/>
      <c r="BM716" s="136"/>
      <c r="BN716" s="136"/>
    </row>
    <row r="717" spans="1:66" ht="15.75" customHeight="1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136"/>
      <c r="AQ717" s="136"/>
      <c r="AR717" s="136"/>
      <c r="AS717" s="136"/>
      <c r="AT717" s="136"/>
      <c r="AU717" s="136"/>
      <c r="AV717" s="136"/>
      <c r="AW717" s="136"/>
      <c r="AX717" s="136"/>
      <c r="AY717" s="136"/>
      <c r="AZ717" s="136"/>
      <c r="BA717" s="136"/>
      <c r="BB717" s="136"/>
      <c r="BC717" s="136"/>
      <c r="BD717" s="136"/>
      <c r="BE717" s="136"/>
      <c r="BF717" s="136"/>
      <c r="BG717" s="136"/>
      <c r="BH717" s="136"/>
      <c r="BI717" s="136"/>
      <c r="BJ717" s="136"/>
      <c r="BK717" s="136"/>
      <c r="BL717" s="136"/>
      <c r="BM717" s="136"/>
      <c r="BN717" s="136"/>
    </row>
    <row r="718" spans="1:66" ht="15.75" customHeight="1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136"/>
      <c r="AU718" s="136"/>
      <c r="AV718" s="136"/>
      <c r="AW718" s="136"/>
      <c r="AX718" s="136"/>
      <c r="AY718" s="136"/>
      <c r="AZ718" s="136"/>
      <c r="BA718" s="136"/>
      <c r="BB718" s="136"/>
      <c r="BC718" s="136"/>
      <c r="BD718" s="136"/>
      <c r="BE718" s="136"/>
      <c r="BF718" s="136"/>
      <c r="BG718" s="136"/>
      <c r="BH718" s="136"/>
      <c r="BI718" s="136"/>
      <c r="BJ718" s="136"/>
      <c r="BK718" s="136"/>
      <c r="BL718" s="136"/>
      <c r="BM718" s="136"/>
      <c r="BN718" s="136"/>
    </row>
    <row r="719" spans="1:66" ht="15.75" customHeight="1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136"/>
      <c r="AS719" s="136"/>
      <c r="AT719" s="136"/>
      <c r="AU719" s="136"/>
      <c r="AV719" s="136"/>
      <c r="AW719" s="136"/>
      <c r="AX719" s="136"/>
      <c r="AY719" s="136"/>
      <c r="AZ719" s="136"/>
      <c r="BA719" s="136"/>
      <c r="BB719" s="136"/>
      <c r="BC719" s="136"/>
      <c r="BD719" s="136"/>
      <c r="BE719" s="136"/>
      <c r="BF719" s="136"/>
      <c r="BG719" s="136"/>
      <c r="BH719" s="136"/>
      <c r="BI719" s="136"/>
      <c r="BJ719" s="136"/>
      <c r="BK719" s="136"/>
      <c r="BL719" s="136"/>
      <c r="BM719" s="136"/>
      <c r="BN719" s="136"/>
    </row>
    <row r="720" spans="1:66" ht="15.75" customHeight="1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136"/>
      <c r="AQ720" s="136"/>
      <c r="AR720" s="136"/>
      <c r="AS720" s="136"/>
      <c r="AT720" s="136"/>
      <c r="AU720" s="136"/>
      <c r="AV720" s="136"/>
      <c r="AW720" s="136"/>
      <c r="AX720" s="136"/>
      <c r="AY720" s="136"/>
      <c r="AZ720" s="136"/>
      <c r="BA720" s="136"/>
      <c r="BB720" s="136"/>
      <c r="BC720" s="136"/>
      <c r="BD720" s="136"/>
      <c r="BE720" s="136"/>
      <c r="BF720" s="136"/>
      <c r="BG720" s="136"/>
      <c r="BH720" s="136"/>
      <c r="BI720" s="136"/>
      <c r="BJ720" s="136"/>
      <c r="BK720" s="136"/>
      <c r="BL720" s="136"/>
      <c r="BM720" s="136"/>
      <c r="BN720" s="136"/>
    </row>
    <row r="721" spans="1:66" ht="15.75" customHeight="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136"/>
      <c r="AS721" s="136"/>
      <c r="AT721" s="136"/>
      <c r="AU721" s="136"/>
      <c r="AV721" s="136"/>
      <c r="AW721" s="136"/>
      <c r="AX721" s="136"/>
      <c r="AY721" s="136"/>
      <c r="AZ721" s="136"/>
      <c r="BA721" s="136"/>
      <c r="BB721" s="136"/>
      <c r="BC721" s="136"/>
      <c r="BD721" s="136"/>
      <c r="BE721" s="136"/>
      <c r="BF721" s="136"/>
      <c r="BG721" s="136"/>
      <c r="BH721" s="136"/>
      <c r="BI721" s="136"/>
      <c r="BJ721" s="136"/>
      <c r="BK721" s="136"/>
      <c r="BL721" s="136"/>
      <c r="BM721" s="136"/>
      <c r="BN721" s="136"/>
    </row>
    <row r="722" spans="1:66" ht="15.75" customHeight="1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136"/>
      <c r="AS722" s="136"/>
      <c r="AT722" s="136"/>
      <c r="AU722" s="136"/>
      <c r="AV722" s="136"/>
      <c r="AW722" s="136"/>
      <c r="AX722" s="136"/>
      <c r="AY722" s="136"/>
      <c r="AZ722" s="136"/>
      <c r="BA722" s="136"/>
      <c r="BB722" s="136"/>
      <c r="BC722" s="136"/>
      <c r="BD722" s="136"/>
      <c r="BE722" s="136"/>
      <c r="BF722" s="136"/>
      <c r="BG722" s="136"/>
      <c r="BH722" s="136"/>
      <c r="BI722" s="136"/>
      <c r="BJ722" s="136"/>
      <c r="BK722" s="136"/>
      <c r="BL722" s="136"/>
      <c r="BM722" s="136"/>
      <c r="BN722" s="136"/>
    </row>
    <row r="723" spans="1:66" ht="15.75" customHeight="1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136"/>
      <c r="AQ723" s="136"/>
      <c r="AR723" s="136"/>
      <c r="AS723" s="136"/>
      <c r="AT723" s="136"/>
      <c r="AU723" s="136"/>
      <c r="AV723" s="136"/>
      <c r="AW723" s="136"/>
      <c r="AX723" s="136"/>
      <c r="AY723" s="136"/>
      <c r="AZ723" s="136"/>
      <c r="BA723" s="136"/>
      <c r="BB723" s="136"/>
      <c r="BC723" s="136"/>
      <c r="BD723" s="136"/>
      <c r="BE723" s="136"/>
      <c r="BF723" s="136"/>
      <c r="BG723" s="136"/>
      <c r="BH723" s="136"/>
      <c r="BI723" s="136"/>
      <c r="BJ723" s="136"/>
      <c r="BK723" s="136"/>
      <c r="BL723" s="136"/>
      <c r="BM723" s="136"/>
      <c r="BN723" s="136"/>
    </row>
    <row r="724" spans="1:66" ht="15.75" customHeight="1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  <c r="AW724" s="136"/>
      <c r="AX724" s="136"/>
      <c r="AY724" s="136"/>
      <c r="AZ724" s="136"/>
      <c r="BA724" s="136"/>
      <c r="BB724" s="136"/>
      <c r="BC724" s="136"/>
      <c r="BD724" s="136"/>
      <c r="BE724" s="136"/>
      <c r="BF724" s="136"/>
      <c r="BG724" s="136"/>
      <c r="BH724" s="136"/>
      <c r="BI724" s="136"/>
      <c r="BJ724" s="136"/>
      <c r="BK724" s="136"/>
      <c r="BL724" s="136"/>
      <c r="BM724" s="136"/>
      <c r="BN724" s="136"/>
    </row>
    <row r="725" spans="1:66" ht="15.75" customHeight="1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136"/>
      <c r="AS725" s="136"/>
      <c r="AT725" s="136"/>
      <c r="AU725" s="136"/>
      <c r="AV725" s="136"/>
      <c r="AW725" s="136"/>
      <c r="AX725" s="136"/>
      <c r="AY725" s="136"/>
      <c r="AZ725" s="136"/>
      <c r="BA725" s="136"/>
      <c r="BB725" s="136"/>
      <c r="BC725" s="136"/>
      <c r="BD725" s="136"/>
      <c r="BE725" s="136"/>
      <c r="BF725" s="136"/>
      <c r="BG725" s="136"/>
      <c r="BH725" s="136"/>
      <c r="BI725" s="136"/>
      <c r="BJ725" s="136"/>
      <c r="BK725" s="136"/>
      <c r="BL725" s="136"/>
      <c r="BM725" s="136"/>
      <c r="BN725" s="136"/>
    </row>
    <row r="726" spans="1:66" ht="15.75" customHeight="1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136"/>
      <c r="AQ726" s="136"/>
      <c r="AR726" s="136"/>
      <c r="AS726" s="136"/>
      <c r="AT726" s="136"/>
      <c r="AU726" s="136"/>
      <c r="AV726" s="136"/>
      <c r="AW726" s="136"/>
      <c r="AX726" s="136"/>
      <c r="AY726" s="136"/>
      <c r="AZ726" s="136"/>
      <c r="BA726" s="136"/>
      <c r="BB726" s="136"/>
      <c r="BC726" s="136"/>
      <c r="BD726" s="136"/>
      <c r="BE726" s="136"/>
      <c r="BF726" s="136"/>
      <c r="BG726" s="136"/>
      <c r="BH726" s="136"/>
      <c r="BI726" s="136"/>
      <c r="BJ726" s="136"/>
      <c r="BK726" s="136"/>
      <c r="BL726" s="136"/>
      <c r="BM726" s="136"/>
      <c r="BN726" s="136"/>
    </row>
    <row r="727" spans="1:66" ht="15.75" customHeight="1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136"/>
      <c r="AS727" s="136"/>
      <c r="AT727" s="136"/>
      <c r="AU727" s="136"/>
      <c r="AV727" s="136"/>
      <c r="AW727" s="136"/>
      <c r="AX727" s="136"/>
      <c r="AY727" s="136"/>
      <c r="AZ727" s="136"/>
      <c r="BA727" s="136"/>
      <c r="BB727" s="136"/>
      <c r="BC727" s="136"/>
      <c r="BD727" s="136"/>
      <c r="BE727" s="136"/>
      <c r="BF727" s="136"/>
      <c r="BG727" s="136"/>
      <c r="BH727" s="136"/>
      <c r="BI727" s="136"/>
      <c r="BJ727" s="136"/>
      <c r="BK727" s="136"/>
      <c r="BL727" s="136"/>
      <c r="BM727" s="136"/>
      <c r="BN727" s="136"/>
    </row>
    <row r="728" spans="1:66" ht="15.75" customHeight="1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  <c r="AW728" s="136"/>
      <c r="AX728" s="136"/>
      <c r="AY728" s="136"/>
      <c r="AZ728" s="136"/>
      <c r="BA728" s="136"/>
      <c r="BB728" s="136"/>
      <c r="BC728" s="136"/>
      <c r="BD728" s="136"/>
      <c r="BE728" s="136"/>
      <c r="BF728" s="136"/>
      <c r="BG728" s="136"/>
      <c r="BH728" s="136"/>
      <c r="BI728" s="136"/>
      <c r="BJ728" s="136"/>
      <c r="BK728" s="136"/>
      <c r="BL728" s="136"/>
      <c r="BM728" s="136"/>
      <c r="BN728" s="136"/>
    </row>
    <row r="729" spans="1:66" ht="15.75" customHeight="1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136"/>
      <c r="AQ729" s="136"/>
      <c r="AR729" s="136"/>
      <c r="AS729" s="136"/>
      <c r="AT729" s="136"/>
      <c r="AU729" s="136"/>
      <c r="AV729" s="136"/>
      <c r="AW729" s="136"/>
      <c r="AX729" s="136"/>
      <c r="AY729" s="136"/>
      <c r="AZ729" s="136"/>
      <c r="BA729" s="136"/>
      <c r="BB729" s="136"/>
      <c r="BC729" s="136"/>
      <c r="BD729" s="136"/>
      <c r="BE729" s="136"/>
      <c r="BF729" s="136"/>
      <c r="BG729" s="136"/>
      <c r="BH729" s="136"/>
      <c r="BI729" s="136"/>
      <c r="BJ729" s="136"/>
      <c r="BK729" s="136"/>
      <c r="BL729" s="136"/>
      <c r="BM729" s="136"/>
      <c r="BN729" s="136"/>
    </row>
    <row r="730" spans="1:66" ht="15.75" customHeight="1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136"/>
      <c r="AS730" s="136"/>
      <c r="AT730" s="136"/>
      <c r="AU730" s="136"/>
      <c r="AV730" s="136"/>
      <c r="AW730" s="136"/>
      <c r="AX730" s="136"/>
      <c r="AY730" s="136"/>
      <c r="AZ730" s="136"/>
      <c r="BA730" s="136"/>
      <c r="BB730" s="136"/>
      <c r="BC730" s="136"/>
      <c r="BD730" s="136"/>
      <c r="BE730" s="136"/>
      <c r="BF730" s="136"/>
      <c r="BG730" s="136"/>
      <c r="BH730" s="136"/>
      <c r="BI730" s="136"/>
      <c r="BJ730" s="136"/>
      <c r="BK730" s="136"/>
      <c r="BL730" s="136"/>
      <c r="BM730" s="136"/>
      <c r="BN730" s="136"/>
    </row>
    <row r="731" spans="1:66" ht="15.75" customHeight="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  <c r="AW731" s="136"/>
      <c r="AX731" s="136"/>
      <c r="AY731" s="136"/>
      <c r="AZ731" s="136"/>
      <c r="BA731" s="136"/>
      <c r="BB731" s="136"/>
      <c r="BC731" s="136"/>
      <c r="BD731" s="136"/>
      <c r="BE731" s="136"/>
      <c r="BF731" s="136"/>
      <c r="BG731" s="136"/>
      <c r="BH731" s="136"/>
      <c r="BI731" s="136"/>
      <c r="BJ731" s="136"/>
      <c r="BK731" s="136"/>
      <c r="BL731" s="136"/>
      <c r="BM731" s="136"/>
      <c r="BN731" s="136"/>
    </row>
    <row r="732" spans="1:66" ht="15.75" customHeight="1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136"/>
      <c r="AS732" s="136"/>
      <c r="AT732" s="136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  <c r="BE732" s="136"/>
      <c r="BF732" s="136"/>
      <c r="BG732" s="136"/>
      <c r="BH732" s="136"/>
      <c r="BI732" s="136"/>
      <c r="BJ732" s="136"/>
      <c r="BK732" s="136"/>
      <c r="BL732" s="136"/>
      <c r="BM732" s="136"/>
      <c r="BN732" s="136"/>
    </row>
    <row r="733" spans="1:66" ht="15.75" customHeight="1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  <c r="AW733" s="136"/>
      <c r="AX733" s="136"/>
      <c r="AY733" s="136"/>
      <c r="AZ733" s="136"/>
      <c r="BA733" s="136"/>
      <c r="BB733" s="136"/>
      <c r="BC733" s="136"/>
      <c r="BD733" s="136"/>
      <c r="BE733" s="136"/>
      <c r="BF733" s="136"/>
      <c r="BG733" s="136"/>
      <c r="BH733" s="136"/>
      <c r="BI733" s="136"/>
      <c r="BJ733" s="136"/>
      <c r="BK733" s="136"/>
      <c r="BL733" s="136"/>
      <c r="BM733" s="136"/>
      <c r="BN733" s="136"/>
    </row>
    <row r="734" spans="1:66" ht="15.75" customHeight="1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136"/>
      <c r="AU734" s="136"/>
      <c r="AV734" s="136"/>
      <c r="AW734" s="136"/>
      <c r="AX734" s="136"/>
      <c r="AY734" s="136"/>
      <c r="AZ734" s="136"/>
      <c r="BA734" s="136"/>
      <c r="BB734" s="136"/>
      <c r="BC734" s="136"/>
      <c r="BD734" s="136"/>
      <c r="BE734" s="136"/>
      <c r="BF734" s="136"/>
      <c r="BG734" s="136"/>
      <c r="BH734" s="136"/>
      <c r="BI734" s="136"/>
      <c r="BJ734" s="136"/>
      <c r="BK734" s="136"/>
      <c r="BL734" s="136"/>
      <c r="BM734" s="136"/>
      <c r="BN734" s="136"/>
    </row>
    <row r="735" spans="1:66" ht="15.75" customHeight="1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136"/>
      <c r="AQ735" s="136"/>
      <c r="AR735" s="136"/>
      <c r="AS735" s="136"/>
      <c r="AT735" s="136"/>
      <c r="AU735" s="136"/>
      <c r="AV735" s="136"/>
      <c r="AW735" s="136"/>
      <c r="AX735" s="136"/>
      <c r="AY735" s="136"/>
      <c r="AZ735" s="136"/>
      <c r="BA735" s="136"/>
      <c r="BB735" s="136"/>
      <c r="BC735" s="136"/>
      <c r="BD735" s="136"/>
      <c r="BE735" s="136"/>
      <c r="BF735" s="136"/>
      <c r="BG735" s="136"/>
      <c r="BH735" s="136"/>
      <c r="BI735" s="136"/>
      <c r="BJ735" s="136"/>
      <c r="BK735" s="136"/>
      <c r="BL735" s="136"/>
      <c r="BM735" s="136"/>
      <c r="BN735" s="136"/>
    </row>
    <row r="736" spans="1:66" ht="15.75" customHeight="1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136"/>
      <c r="AS736" s="136"/>
      <c r="AT736" s="136"/>
      <c r="AU736" s="136"/>
      <c r="AV736" s="136"/>
      <c r="AW736" s="136"/>
      <c r="AX736" s="136"/>
      <c r="AY736" s="136"/>
      <c r="AZ736" s="136"/>
      <c r="BA736" s="136"/>
      <c r="BB736" s="136"/>
      <c r="BC736" s="136"/>
      <c r="BD736" s="136"/>
      <c r="BE736" s="136"/>
      <c r="BF736" s="136"/>
      <c r="BG736" s="136"/>
      <c r="BH736" s="136"/>
      <c r="BI736" s="136"/>
      <c r="BJ736" s="136"/>
      <c r="BK736" s="136"/>
      <c r="BL736" s="136"/>
      <c r="BM736" s="136"/>
      <c r="BN736" s="136"/>
    </row>
    <row r="737" spans="1:66" ht="15.75" customHeight="1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136"/>
      <c r="AS737" s="136"/>
      <c r="AT737" s="136"/>
      <c r="AU737" s="136"/>
      <c r="AV737" s="136"/>
      <c r="AW737" s="136"/>
      <c r="AX737" s="136"/>
      <c r="AY737" s="136"/>
      <c r="AZ737" s="136"/>
      <c r="BA737" s="136"/>
      <c r="BB737" s="136"/>
      <c r="BC737" s="136"/>
      <c r="BD737" s="136"/>
      <c r="BE737" s="136"/>
      <c r="BF737" s="136"/>
      <c r="BG737" s="136"/>
      <c r="BH737" s="136"/>
      <c r="BI737" s="136"/>
      <c r="BJ737" s="136"/>
      <c r="BK737" s="136"/>
      <c r="BL737" s="136"/>
      <c r="BM737" s="136"/>
      <c r="BN737" s="136"/>
    </row>
    <row r="738" spans="1:66" ht="15.75" customHeight="1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136"/>
      <c r="AQ738" s="136"/>
      <c r="AR738" s="136"/>
      <c r="AS738" s="136"/>
      <c r="AT738" s="136"/>
      <c r="AU738" s="136"/>
      <c r="AV738" s="136"/>
      <c r="AW738" s="136"/>
      <c r="AX738" s="136"/>
      <c r="AY738" s="136"/>
      <c r="AZ738" s="136"/>
      <c r="BA738" s="136"/>
      <c r="BB738" s="136"/>
      <c r="BC738" s="136"/>
      <c r="BD738" s="136"/>
      <c r="BE738" s="136"/>
      <c r="BF738" s="136"/>
      <c r="BG738" s="136"/>
      <c r="BH738" s="136"/>
      <c r="BI738" s="136"/>
      <c r="BJ738" s="136"/>
      <c r="BK738" s="136"/>
      <c r="BL738" s="136"/>
      <c r="BM738" s="136"/>
      <c r="BN738" s="136"/>
    </row>
    <row r="739" spans="1:66" ht="15.75" customHeight="1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136"/>
      <c r="AS739" s="136"/>
      <c r="AT739" s="136"/>
      <c r="AU739" s="136"/>
      <c r="AV739" s="136"/>
      <c r="AW739" s="136"/>
      <c r="AX739" s="136"/>
      <c r="AY739" s="136"/>
      <c r="AZ739" s="136"/>
      <c r="BA739" s="136"/>
      <c r="BB739" s="136"/>
      <c r="BC739" s="136"/>
      <c r="BD739" s="136"/>
      <c r="BE739" s="136"/>
      <c r="BF739" s="136"/>
      <c r="BG739" s="136"/>
      <c r="BH739" s="136"/>
      <c r="BI739" s="136"/>
      <c r="BJ739" s="136"/>
      <c r="BK739" s="136"/>
      <c r="BL739" s="136"/>
      <c r="BM739" s="136"/>
      <c r="BN739" s="136"/>
    </row>
    <row r="740" spans="1:66" ht="15.75" customHeight="1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136"/>
      <c r="AS740" s="136"/>
      <c r="AT740" s="136"/>
      <c r="AU740" s="136"/>
      <c r="AV740" s="136"/>
      <c r="AW740" s="136"/>
      <c r="AX740" s="136"/>
      <c r="AY740" s="136"/>
      <c r="AZ740" s="136"/>
      <c r="BA740" s="136"/>
      <c r="BB740" s="136"/>
      <c r="BC740" s="136"/>
      <c r="BD740" s="136"/>
      <c r="BE740" s="136"/>
      <c r="BF740" s="136"/>
      <c r="BG740" s="136"/>
      <c r="BH740" s="136"/>
      <c r="BI740" s="136"/>
      <c r="BJ740" s="136"/>
      <c r="BK740" s="136"/>
      <c r="BL740" s="136"/>
      <c r="BM740" s="136"/>
      <c r="BN740" s="136"/>
    </row>
    <row r="741" spans="1:66" ht="15.75" customHeight="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136"/>
      <c r="AQ741" s="136"/>
      <c r="AR741" s="136"/>
      <c r="AS741" s="136"/>
      <c r="AT741" s="136"/>
      <c r="AU741" s="136"/>
      <c r="AV741" s="136"/>
      <c r="AW741" s="136"/>
      <c r="AX741" s="136"/>
      <c r="AY741" s="136"/>
      <c r="AZ741" s="136"/>
      <c r="BA741" s="136"/>
      <c r="BB741" s="136"/>
      <c r="BC741" s="136"/>
      <c r="BD741" s="136"/>
      <c r="BE741" s="136"/>
      <c r="BF741" s="136"/>
      <c r="BG741" s="136"/>
      <c r="BH741" s="136"/>
      <c r="BI741" s="136"/>
      <c r="BJ741" s="136"/>
      <c r="BK741" s="136"/>
      <c r="BL741" s="136"/>
      <c r="BM741" s="136"/>
      <c r="BN741" s="136"/>
    </row>
    <row r="742" spans="1:66" ht="15.75" customHeight="1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136"/>
      <c r="AS742" s="136"/>
      <c r="AT742" s="136"/>
      <c r="AU742" s="136"/>
      <c r="AV742" s="136"/>
      <c r="AW742" s="136"/>
      <c r="AX742" s="136"/>
      <c r="AY742" s="136"/>
      <c r="AZ742" s="136"/>
      <c r="BA742" s="136"/>
      <c r="BB742" s="136"/>
      <c r="BC742" s="136"/>
      <c r="BD742" s="136"/>
      <c r="BE742" s="136"/>
      <c r="BF742" s="136"/>
      <c r="BG742" s="136"/>
      <c r="BH742" s="136"/>
      <c r="BI742" s="136"/>
      <c r="BJ742" s="136"/>
      <c r="BK742" s="136"/>
      <c r="BL742" s="136"/>
      <c r="BM742" s="136"/>
      <c r="BN742" s="136"/>
    </row>
    <row r="743" spans="1:66" ht="15.75" customHeight="1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36"/>
      <c r="BE743" s="136"/>
      <c r="BF743" s="136"/>
      <c r="BG743" s="136"/>
      <c r="BH743" s="136"/>
      <c r="BI743" s="136"/>
      <c r="BJ743" s="136"/>
      <c r="BK743" s="136"/>
      <c r="BL743" s="136"/>
      <c r="BM743" s="136"/>
      <c r="BN743" s="136"/>
    </row>
    <row r="744" spans="1:66" ht="15.75" customHeight="1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136"/>
      <c r="AQ744" s="136"/>
      <c r="AR744" s="136"/>
      <c r="AS744" s="136"/>
      <c r="AT744" s="136"/>
      <c r="AU744" s="136"/>
      <c r="AV744" s="136"/>
      <c r="AW744" s="136"/>
      <c r="AX744" s="136"/>
      <c r="AY744" s="136"/>
      <c r="AZ744" s="136"/>
      <c r="BA744" s="136"/>
      <c r="BB744" s="136"/>
      <c r="BC744" s="136"/>
      <c r="BD744" s="136"/>
      <c r="BE744" s="136"/>
      <c r="BF744" s="136"/>
      <c r="BG744" s="136"/>
      <c r="BH744" s="136"/>
      <c r="BI744" s="136"/>
      <c r="BJ744" s="136"/>
      <c r="BK744" s="136"/>
      <c r="BL744" s="136"/>
      <c r="BM744" s="136"/>
      <c r="BN744" s="136"/>
    </row>
    <row r="745" spans="1:66" ht="15.75" customHeight="1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  <c r="AW745" s="136"/>
      <c r="AX745" s="136"/>
      <c r="AY745" s="136"/>
      <c r="AZ745" s="136"/>
      <c r="BA745" s="136"/>
      <c r="BB745" s="136"/>
      <c r="BC745" s="136"/>
      <c r="BD745" s="136"/>
      <c r="BE745" s="136"/>
      <c r="BF745" s="136"/>
      <c r="BG745" s="136"/>
      <c r="BH745" s="136"/>
      <c r="BI745" s="136"/>
      <c r="BJ745" s="136"/>
      <c r="BK745" s="136"/>
      <c r="BL745" s="136"/>
      <c r="BM745" s="136"/>
      <c r="BN745" s="136"/>
    </row>
    <row r="746" spans="1:66" ht="15.75" customHeight="1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136"/>
      <c r="AS746" s="136"/>
      <c r="AT746" s="136"/>
      <c r="AU746" s="136"/>
      <c r="AV746" s="136"/>
      <c r="AW746" s="136"/>
      <c r="AX746" s="136"/>
      <c r="AY746" s="136"/>
      <c r="AZ746" s="136"/>
      <c r="BA746" s="136"/>
      <c r="BB746" s="136"/>
      <c r="BC746" s="136"/>
      <c r="BD746" s="136"/>
      <c r="BE746" s="136"/>
      <c r="BF746" s="136"/>
      <c r="BG746" s="136"/>
      <c r="BH746" s="136"/>
      <c r="BI746" s="136"/>
      <c r="BJ746" s="136"/>
      <c r="BK746" s="136"/>
      <c r="BL746" s="136"/>
      <c r="BM746" s="136"/>
      <c r="BN746" s="136"/>
    </row>
    <row r="747" spans="1:66" ht="15.75" customHeight="1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136"/>
      <c r="AQ747" s="136"/>
      <c r="AR747" s="136"/>
      <c r="AS747" s="136"/>
      <c r="AT747" s="136"/>
      <c r="AU747" s="136"/>
      <c r="AV747" s="136"/>
      <c r="AW747" s="136"/>
      <c r="AX747" s="136"/>
      <c r="AY747" s="136"/>
      <c r="AZ747" s="136"/>
      <c r="BA747" s="136"/>
      <c r="BB747" s="136"/>
      <c r="BC747" s="136"/>
      <c r="BD747" s="136"/>
      <c r="BE747" s="136"/>
      <c r="BF747" s="136"/>
      <c r="BG747" s="136"/>
      <c r="BH747" s="136"/>
      <c r="BI747" s="136"/>
      <c r="BJ747" s="136"/>
      <c r="BK747" s="136"/>
      <c r="BL747" s="136"/>
      <c r="BM747" s="136"/>
      <c r="BN747" s="136"/>
    </row>
    <row r="748" spans="1:66" ht="15.75" customHeight="1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136"/>
      <c r="AS748" s="136"/>
      <c r="AT748" s="136"/>
      <c r="AU748" s="136"/>
      <c r="AV748" s="136"/>
      <c r="AW748" s="136"/>
      <c r="AX748" s="136"/>
      <c r="AY748" s="136"/>
      <c r="AZ748" s="136"/>
      <c r="BA748" s="136"/>
      <c r="BB748" s="136"/>
      <c r="BC748" s="136"/>
      <c r="BD748" s="136"/>
      <c r="BE748" s="136"/>
      <c r="BF748" s="136"/>
      <c r="BG748" s="136"/>
      <c r="BH748" s="136"/>
      <c r="BI748" s="136"/>
      <c r="BJ748" s="136"/>
      <c r="BK748" s="136"/>
      <c r="BL748" s="136"/>
      <c r="BM748" s="136"/>
      <c r="BN748" s="136"/>
    </row>
    <row r="749" spans="1:66" ht="15.75" customHeight="1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136"/>
      <c r="AS749" s="136"/>
      <c r="AT749" s="136"/>
      <c r="AU749" s="136"/>
      <c r="AV749" s="136"/>
      <c r="AW749" s="136"/>
      <c r="AX749" s="136"/>
      <c r="AY749" s="136"/>
      <c r="AZ749" s="136"/>
      <c r="BA749" s="136"/>
      <c r="BB749" s="136"/>
      <c r="BC749" s="136"/>
      <c r="BD749" s="136"/>
      <c r="BE749" s="136"/>
      <c r="BF749" s="136"/>
      <c r="BG749" s="136"/>
      <c r="BH749" s="136"/>
      <c r="BI749" s="136"/>
      <c r="BJ749" s="136"/>
      <c r="BK749" s="136"/>
      <c r="BL749" s="136"/>
      <c r="BM749" s="136"/>
      <c r="BN749" s="136"/>
    </row>
    <row r="750" spans="1:66" ht="15.75" customHeight="1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136"/>
      <c r="AQ750" s="136"/>
      <c r="AR750" s="136"/>
      <c r="AS750" s="136"/>
      <c r="AT750" s="136"/>
      <c r="AU750" s="136"/>
      <c r="AV750" s="136"/>
      <c r="AW750" s="136"/>
      <c r="AX750" s="136"/>
      <c r="AY750" s="136"/>
      <c r="AZ750" s="136"/>
      <c r="BA750" s="136"/>
      <c r="BB750" s="136"/>
      <c r="BC750" s="136"/>
      <c r="BD750" s="136"/>
      <c r="BE750" s="136"/>
      <c r="BF750" s="136"/>
      <c r="BG750" s="136"/>
      <c r="BH750" s="136"/>
      <c r="BI750" s="136"/>
      <c r="BJ750" s="136"/>
      <c r="BK750" s="136"/>
      <c r="BL750" s="136"/>
      <c r="BM750" s="136"/>
      <c r="BN750" s="136"/>
    </row>
    <row r="751" spans="1:66" ht="15.75" customHeight="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36"/>
      <c r="BE751" s="136"/>
      <c r="BF751" s="136"/>
      <c r="BG751" s="136"/>
      <c r="BH751" s="136"/>
      <c r="BI751" s="136"/>
      <c r="BJ751" s="136"/>
      <c r="BK751" s="136"/>
      <c r="BL751" s="136"/>
      <c r="BM751" s="136"/>
      <c r="BN751" s="136"/>
    </row>
    <row r="752" spans="1:66" ht="15.75" customHeight="1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136"/>
      <c r="AS752" s="136"/>
      <c r="AT752" s="136"/>
      <c r="AU752" s="136"/>
      <c r="AV752" s="136"/>
      <c r="AW752" s="136"/>
      <c r="AX752" s="136"/>
      <c r="AY752" s="136"/>
      <c r="AZ752" s="136"/>
      <c r="BA752" s="136"/>
      <c r="BB752" s="136"/>
      <c r="BC752" s="136"/>
      <c r="BD752" s="136"/>
      <c r="BE752" s="136"/>
      <c r="BF752" s="136"/>
      <c r="BG752" s="136"/>
      <c r="BH752" s="136"/>
      <c r="BI752" s="136"/>
      <c r="BJ752" s="136"/>
      <c r="BK752" s="136"/>
      <c r="BL752" s="136"/>
      <c r="BM752" s="136"/>
      <c r="BN752" s="136"/>
    </row>
    <row r="753" spans="1:66" ht="15.75" customHeight="1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136"/>
      <c r="AQ753" s="136"/>
      <c r="AR753" s="136"/>
      <c r="AS753" s="136"/>
      <c r="AT753" s="136"/>
      <c r="AU753" s="136"/>
      <c r="AV753" s="136"/>
      <c r="AW753" s="136"/>
      <c r="AX753" s="136"/>
      <c r="AY753" s="136"/>
      <c r="AZ753" s="136"/>
      <c r="BA753" s="136"/>
      <c r="BB753" s="136"/>
      <c r="BC753" s="136"/>
      <c r="BD753" s="136"/>
      <c r="BE753" s="136"/>
      <c r="BF753" s="136"/>
      <c r="BG753" s="136"/>
      <c r="BH753" s="136"/>
      <c r="BI753" s="136"/>
      <c r="BJ753" s="136"/>
      <c r="BK753" s="136"/>
      <c r="BL753" s="136"/>
      <c r="BM753" s="136"/>
      <c r="BN753" s="136"/>
    </row>
    <row r="754" spans="1:66" ht="15.75" customHeight="1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136"/>
      <c r="AS754" s="136"/>
      <c r="AT754" s="136"/>
      <c r="AU754" s="136"/>
      <c r="AV754" s="136"/>
      <c r="AW754" s="136"/>
      <c r="AX754" s="136"/>
      <c r="AY754" s="136"/>
      <c r="AZ754" s="136"/>
      <c r="BA754" s="136"/>
      <c r="BB754" s="136"/>
      <c r="BC754" s="136"/>
      <c r="BD754" s="136"/>
      <c r="BE754" s="136"/>
      <c r="BF754" s="136"/>
      <c r="BG754" s="136"/>
      <c r="BH754" s="136"/>
      <c r="BI754" s="136"/>
      <c r="BJ754" s="136"/>
      <c r="BK754" s="136"/>
      <c r="BL754" s="136"/>
      <c r="BM754" s="136"/>
      <c r="BN754" s="136"/>
    </row>
    <row r="755" spans="1:66" ht="15.75" customHeight="1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  <c r="AW755" s="136"/>
      <c r="AX755" s="136"/>
      <c r="AY755" s="136"/>
      <c r="AZ755" s="136"/>
      <c r="BA755" s="136"/>
      <c r="BB755" s="136"/>
      <c r="BC755" s="136"/>
      <c r="BD755" s="136"/>
      <c r="BE755" s="136"/>
      <c r="BF755" s="136"/>
      <c r="BG755" s="136"/>
      <c r="BH755" s="136"/>
      <c r="BI755" s="136"/>
      <c r="BJ755" s="136"/>
      <c r="BK755" s="136"/>
      <c r="BL755" s="136"/>
      <c r="BM755" s="136"/>
      <c r="BN755" s="136"/>
    </row>
    <row r="756" spans="1:66" ht="15.75" customHeight="1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136"/>
      <c r="AS756" s="136"/>
      <c r="AT756" s="136"/>
      <c r="AU756" s="136"/>
      <c r="AV756" s="136"/>
      <c r="AW756" s="136"/>
      <c r="AX756" s="136"/>
      <c r="AY756" s="136"/>
      <c r="AZ756" s="136"/>
      <c r="BA756" s="136"/>
      <c r="BB756" s="136"/>
      <c r="BC756" s="136"/>
      <c r="BD756" s="136"/>
      <c r="BE756" s="136"/>
      <c r="BF756" s="136"/>
      <c r="BG756" s="136"/>
      <c r="BH756" s="136"/>
      <c r="BI756" s="136"/>
      <c r="BJ756" s="136"/>
      <c r="BK756" s="136"/>
      <c r="BL756" s="136"/>
      <c r="BM756" s="136"/>
      <c r="BN756" s="136"/>
    </row>
    <row r="757" spans="1:66" ht="15.75" customHeight="1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  <c r="AU757" s="136"/>
      <c r="AV757" s="136"/>
      <c r="AW757" s="136"/>
      <c r="AX757" s="136"/>
      <c r="AY757" s="136"/>
      <c r="AZ757" s="136"/>
      <c r="BA757" s="136"/>
      <c r="BB757" s="136"/>
      <c r="BC757" s="136"/>
      <c r="BD757" s="136"/>
      <c r="BE757" s="136"/>
      <c r="BF757" s="136"/>
      <c r="BG757" s="136"/>
      <c r="BH757" s="136"/>
      <c r="BI757" s="136"/>
      <c r="BJ757" s="136"/>
      <c r="BK757" s="136"/>
      <c r="BL757" s="136"/>
      <c r="BM757" s="136"/>
      <c r="BN757" s="136"/>
    </row>
    <row r="758" spans="1:66" ht="15.75" customHeight="1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  <c r="AU758" s="136"/>
      <c r="AV758" s="136"/>
      <c r="AW758" s="136"/>
      <c r="AX758" s="136"/>
      <c r="AY758" s="136"/>
      <c r="AZ758" s="136"/>
      <c r="BA758" s="136"/>
      <c r="BB758" s="136"/>
      <c r="BC758" s="136"/>
      <c r="BD758" s="136"/>
      <c r="BE758" s="136"/>
      <c r="BF758" s="136"/>
      <c r="BG758" s="136"/>
      <c r="BH758" s="136"/>
      <c r="BI758" s="136"/>
      <c r="BJ758" s="136"/>
      <c r="BK758" s="136"/>
      <c r="BL758" s="136"/>
      <c r="BM758" s="136"/>
      <c r="BN758" s="136"/>
    </row>
    <row r="759" spans="1:66" ht="15.75" customHeight="1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136"/>
      <c r="AS759" s="136"/>
      <c r="AT759" s="136"/>
      <c r="AU759" s="136"/>
      <c r="AV759" s="136"/>
      <c r="AW759" s="136"/>
      <c r="AX759" s="136"/>
      <c r="AY759" s="136"/>
      <c r="AZ759" s="136"/>
      <c r="BA759" s="136"/>
      <c r="BB759" s="136"/>
      <c r="BC759" s="136"/>
      <c r="BD759" s="136"/>
      <c r="BE759" s="136"/>
      <c r="BF759" s="136"/>
      <c r="BG759" s="136"/>
      <c r="BH759" s="136"/>
      <c r="BI759" s="136"/>
      <c r="BJ759" s="136"/>
      <c r="BK759" s="136"/>
      <c r="BL759" s="136"/>
      <c r="BM759" s="136"/>
      <c r="BN759" s="136"/>
    </row>
    <row r="760" spans="1:66" ht="15.75" customHeight="1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  <c r="AU760" s="136"/>
      <c r="AV760" s="136"/>
      <c r="AW760" s="136"/>
      <c r="AX760" s="136"/>
      <c r="AY760" s="136"/>
      <c r="AZ760" s="136"/>
      <c r="BA760" s="136"/>
      <c r="BB760" s="136"/>
      <c r="BC760" s="136"/>
      <c r="BD760" s="136"/>
      <c r="BE760" s="136"/>
      <c r="BF760" s="136"/>
      <c r="BG760" s="136"/>
      <c r="BH760" s="136"/>
      <c r="BI760" s="136"/>
      <c r="BJ760" s="136"/>
      <c r="BK760" s="136"/>
      <c r="BL760" s="136"/>
      <c r="BM760" s="136"/>
      <c r="BN760" s="136"/>
    </row>
    <row r="761" spans="1:66" ht="15.75" customHeight="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  <c r="AU761" s="136"/>
      <c r="AV761" s="136"/>
      <c r="AW761" s="136"/>
      <c r="AX761" s="136"/>
      <c r="AY761" s="136"/>
      <c r="AZ761" s="136"/>
      <c r="BA761" s="136"/>
      <c r="BB761" s="136"/>
      <c r="BC761" s="136"/>
      <c r="BD761" s="136"/>
      <c r="BE761" s="136"/>
      <c r="BF761" s="136"/>
      <c r="BG761" s="136"/>
      <c r="BH761" s="136"/>
      <c r="BI761" s="136"/>
      <c r="BJ761" s="136"/>
      <c r="BK761" s="136"/>
      <c r="BL761" s="136"/>
      <c r="BM761" s="136"/>
      <c r="BN761" s="136"/>
    </row>
    <row r="762" spans="1:66" ht="15.75" customHeight="1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136"/>
      <c r="AS762" s="136"/>
      <c r="AT762" s="136"/>
      <c r="AU762" s="136"/>
      <c r="AV762" s="136"/>
      <c r="AW762" s="136"/>
      <c r="AX762" s="136"/>
      <c r="AY762" s="136"/>
      <c r="AZ762" s="136"/>
      <c r="BA762" s="136"/>
      <c r="BB762" s="136"/>
      <c r="BC762" s="136"/>
      <c r="BD762" s="136"/>
      <c r="BE762" s="136"/>
      <c r="BF762" s="136"/>
      <c r="BG762" s="136"/>
      <c r="BH762" s="136"/>
      <c r="BI762" s="136"/>
      <c r="BJ762" s="136"/>
      <c r="BK762" s="136"/>
      <c r="BL762" s="136"/>
      <c r="BM762" s="136"/>
      <c r="BN762" s="136"/>
    </row>
    <row r="763" spans="1:66" ht="15.75" customHeight="1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  <c r="AU763" s="136"/>
      <c r="AV763" s="136"/>
      <c r="AW763" s="136"/>
      <c r="AX763" s="136"/>
      <c r="AY763" s="136"/>
      <c r="AZ763" s="136"/>
      <c r="BA763" s="136"/>
      <c r="BB763" s="136"/>
      <c r="BC763" s="136"/>
      <c r="BD763" s="136"/>
      <c r="BE763" s="136"/>
      <c r="BF763" s="136"/>
      <c r="BG763" s="136"/>
      <c r="BH763" s="136"/>
      <c r="BI763" s="136"/>
      <c r="BJ763" s="136"/>
      <c r="BK763" s="136"/>
      <c r="BL763" s="136"/>
      <c r="BM763" s="136"/>
      <c r="BN763" s="136"/>
    </row>
    <row r="764" spans="1:66" ht="15.75" customHeight="1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  <c r="AU764" s="136"/>
      <c r="AV764" s="136"/>
      <c r="AW764" s="136"/>
      <c r="AX764" s="136"/>
      <c r="AY764" s="136"/>
      <c r="AZ764" s="136"/>
      <c r="BA764" s="136"/>
      <c r="BB764" s="136"/>
      <c r="BC764" s="136"/>
      <c r="BD764" s="136"/>
      <c r="BE764" s="136"/>
      <c r="BF764" s="136"/>
      <c r="BG764" s="136"/>
      <c r="BH764" s="136"/>
      <c r="BI764" s="136"/>
      <c r="BJ764" s="136"/>
      <c r="BK764" s="136"/>
      <c r="BL764" s="136"/>
      <c r="BM764" s="136"/>
      <c r="BN764" s="136"/>
    </row>
    <row r="765" spans="1:66" ht="15.75" customHeight="1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  <c r="AU765" s="136"/>
      <c r="AV765" s="136"/>
      <c r="AW765" s="136"/>
      <c r="AX765" s="136"/>
      <c r="AY765" s="136"/>
      <c r="AZ765" s="136"/>
      <c r="BA765" s="136"/>
      <c r="BB765" s="136"/>
      <c r="BC765" s="136"/>
      <c r="BD765" s="136"/>
      <c r="BE765" s="136"/>
      <c r="BF765" s="136"/>
      <c r="BG765" s="136"/>
      <c r="BH765" s="136"/>
      <c r="BI765" s="136"/>
      <c r="BJ765" s="136"/>
      <c r="BK765" s="136"/>
      <c r="BL765" s="136"/>
      <c r="BM765" s="136"/>
      <c r="BN765" s="136"/>
    </row>
    <row r="766" spans="1:66" ht="15.75" customHeight="1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136"/>
      <c r="AU766" s="136"/>
      <c r="AV766" s="136"/>
      <c r="AW766" s="136"/>
      <c r="AX766" s="136"/>
      <c r="AY766" s="136"/>
      <c r="AZ766" s="136"/>
      <c r="BA766" s="136"/>
      <c r="BB766" s="136"/>
      <c r="BC766" s="136"/>
      <c r="BD766" s="136"/>
      <c r="BE766" s="136"/>
      <c r="BF766" s="136"/>
      <c r="BG766" s="136"/>
      <c r="BH766" s="136"/>
      <c r="BI766" s="136"/>
      <c r="BJ766" s="136"/>
      <c r="BK766" s="136"/>
      <c r="BL766" s="136"/>
      <c r="BM766" s="136"/>
      <c r="BN766" s="136"/>
    </row>
    <row r="767" spans="1:66" ht="15.75" customHeight="1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  <c r="AU767" s="136"/>
      <c r="AV767" s="136"/>
      <c r="AW767" s="136"/>
      <c r="AX767" s="136"/>
      <c r="AY767" s="136"/>
      <c r="AZ767" s="136"/>
      <c r="BA767" s="136"/>
      <c r="BB767" s="136"/>
      <c r="BC767" s="136"/>
      <c r="BD767" s="136"/>
      <c r="BE767" s="136"/>
      <c r="BF767" s="136"/>
      <c r="BG767" s="136"/>
      <c r="BH767" s="136"/>
      <c r="BI767" s="136"/>
      <c r="BJ767" s="136"/>
      <c r="BK767" s="136"/>
      <c r="BL767" s="136"/>
      <c r="BM767" s="136"/>
      <c r="BN767" s="136"/>
    </row>
    <row r="768" spans="1:66" ht="15.75" customHeight="1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136"/>
      <c r="AS768" s="136"/>
      <c r="AT768" s="136"/>
      <c r="AU768" s="136"/>
      <c r="AV768" s="136"/>
      <c r="AW768" s="136"/>
      <c r="AX768" s="136"/>
      <c r="AY768" s="136"/>
      <c r="AZ768" s="136"/>
      <c r="BA768" s="136"/>
      <c r="BB768" s="136"/>
      <c r="BC768" s="136"/>
      <c r="BD768" s="136"/>
      <c r="BE768" s="136"/>
      <c r="BF768" s="136"/>
      <c r="BG768" s="136"/>
      <c r="BH768" s="136"/>
      <c r="BI768" s="136"/>
      <c r="BJ768" s="136"/>
      <c r="BK768" s="136"/>
      <c r="BL768" s="136"/>
      <c r="BM768" s="136"/>
      <c r="BN768" s="136"/>
    </row>
    <row r="769" spans="1:66" ht="15.75" customHeight="1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  <c r="AW769" s="136"/>
      <c r="AX769" s="136"/>
      <c r="AY769" s="136"/>
      <c r="AZ769" s="136"/>
      <c r="BA769" s="136"/>
      <c r="BB769" s="136"/>
      <c r="BC769" s="136"/>
      <c r="BD769" s="136"/>
      <c r="BE769" s="136"/>
      <c r="BF769" s="136"/>
      <c r="BG769" s="136"/>
      <c r="BH769" s="136"/>
      <c r="BI769" s="136"/>
      <c r="BJ769" s="136"/>
      <c r="BK769" s="136"/>
      <c r="BL769" s="136"/>
      <c r="BM769" s="136"/>
      <c r="BN769" s="136"/>
    </row>
    <row r="770" spans="1:66" ht="15.75" customHeight="1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136"/>
      <c r="AU770" s="136"/>
      <c r="AV770" s="136"/>
      <c r="AW770" s="136"/>
      <c r="AX770" s="136"/>
      <c r="AY770" s="136"/>
      <c r="AZ770" s="136"/>
      <c r="BA770" s="136"/>
      <c r="BB770" s="136"/>
      <c r="BC770" s="136"/>
      <c r="BD770" s="136"/>
      <c r="BE770" s="136"/>
      <c r="BF770" s="136"/>
      <c r="BG770" s="136"/>
      <c r="BH770" s="136"/>
      <c r="BI770" s="136"/>
      <c r="BJ770" s="136"/>
      <c r="BK770" s="136"/>
      <c r="BL770" s="136"/>
      <c r="BM770" s="136"/>
      <c r="BN770" s="136"/>
    </row>
    <row r="771" spans="1:66" ht="15.75" customHeight="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136"/>
      <c r="AS771" s="136"/>
      <c r="AT771" s="136"/>
      <c r="AU771" s="136"/>
      <c r="AV771" s="136"/>
      <c r="AW771" s="136"/>
      <c r="AX771" s="136"/>
      <c r="AY771" s="136"/>
      <c r="AZ771" s="136"/>
      <c r="BA771" s="136"/>
      <c r="BB771" s="136"/>
      <c r="BC771" s="136"/>
      <c r="BD771" s="136"/>
      <c r="BE771" s="136"/>
      <c r="BF771" s="136"/>
      <c r="BG771" s="136"/>
      <c r="BH771" s="136"/>
      <c r="BI771" s="136"/>
      <c r="BJ771" s="136"/>
      <c r="BK771" s="136"/>
      <c r="BL771" s="136"/>
      <c r="BM771" s="136"/>
      <c r="BN771" s="136"/>
    </row>
    <row r="772" spans="1:66" ht="15.75" customHeight="1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136"/>
      <c r="AS772" s="136"/>
      <c r="AT772" s="136"/>
      <c r="AU772" s="136"/>
      <c r="AV772" s="136"/>
      <c r="AW772" s="136"/>
      <c r="AX772" s="136"/>
      <c r="AY772" s="136"/>
      <c r="AZ772" s="136"/>
      <c r="BA772" s="136"/>
      <c r="BB772" s="136"/>
      <c r="BC772" s="136"/>
      <c r="BD772" s="136"/>
      <c r="BE772" s="136"/>
      <c r="BF772" s="136"/>
      <c r="BG772" s="136"/>
      <c r="BH772" s="136"/>
      <c r="BI772" s="136"/>
      <c r="BJ772" s="136"/>
      <c r="BK772" s="136"/>
      <c r="BL772" s="136"/>
      <c r="BM772" s="136"/>
      <c r="BN772" s="136"/>
    </row>
    <row r="773" spans="1:66" ht="15.75" customHeight="1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136"/>
      <c r="AS773" s="136"/>
      <c r="AT773" s="136"/>
      <c r="AU773" s="136"/>
      <c r="AV773" s="136"/>
      <c r="AW773" s="136"/>
      <c r="AX773" s="136"/>
      <c r="AY773" s="136"/>
      <c r="AZ773" s="136"/>
      <c r="BA773" s="136"/>
      <c r="BB773" s="136"/>
      <c r="BC773" s="136"/>
      <c r="BD773" s="136"/>
      <c r="BE773" s="136"/>
      <c r="BF773" s="136"/>
      <c r="BG773" s="136"/>
      <c r="BH773" s="136"/>
      <c r="BI773" s="136"/>
      <c r="BJ773" s="136"/>
      <c r="BK773" s="136"/>
      <c r="BL773" s="136"/>
      <c r="BM773" s="136"/>
      <c r="BN773" s="136"/>
    </row>
    <row r="774" spans="1:66" ht="15.75" customHeight="1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136"/>
      <c r="AS774" s="136"/>
      <c r="AT774" s="136"/>
      <c r="AU774" s="136"/>
      <c r="AV774" s="136"/>
      <c r="AW774" s="136"/>
      <c r="AX774" s="136"/>
      <c r="AY774" s="136"/>
      <c r="AZ774" s="136"/>
      <c r="BA774" s="136"/>
      <c r="BB774" s="136"/>
      <c r="BC774" s="136"/>
      <c r="BD774" s="136"/>
      <c r="BE774" s="136"/>
      <c r="BF774" s="136"/>
      <c r="BG774" s="136"/>
      <c r="BH774" s="136"/>
      <c r="BI774" s="136"/>
      <c r="BJ774" s="136"/>
      <c r="BK774" s="136"/>
      <c r="BL774" s="136"/>
      <c r="BM774" s="136"/>
      <c r="BN774" s="136"/>
    </row>
    <row r="775" spans="1:66" ht="15.75" customHeight="1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136"/>
      <c r="AS775" s="136"/>
      <c r="AT775" s="136"/>
      <c r="AU775" s="136"/>
      <c r="AV775" s="136"/>
      <c r="AW775" s="136"/>
      <c r="AX775" s="136"/>
      <c r="AY775" s="136"/>
      <c r="AZ775" s="136"/>
      <c r="BA775" s="136"/>
      <c r="BB775" s="136"/>
      <c r="BC775" s="136"/>
      <c r="BD775" s="136"/>
      <c r="BE775" s="136"/>
      <c r="BF775" s="136"/>
      <c r="BG775" s="136"/>
      <c r="BH775" s="136"/>
      <c r="BI775" s="136"/>
      <c r="BJ775" s="136"/>
      <c r="BK775" s="136"/>
      <c r="BL775" s="136"/>
      <c r="BM775" s="136"/>
      <c r="BN775" s="136"/>
    </row>
    <row r="776" spans="1:66" ht="15.75" customHeight="1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36"/>
      <c r="BE776" s="136"/>
      <c r="BF776" s="136"/>
      <c r="BG776" s="136"/>
      <c r="BH776" s="136"/>
      <c r="BI776" s="136"/>
      <c r="BJ776" s="136"/>
      <c r="BK776" s="136"/>
      <c r="BL776" s="136"/>
      <c r="BM776" s="136"/>
      <c r="BN776" s="136"/>
    </row>
    <row r="777" spans="1:66" ht="15.75" customHeight="1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136"/>
      <c r="AS777" s="136"/>
      <c r="AT777" s="136"/>
      <c r="AU777" s="136"/>
      <c r="AV777" s="136"/>
      <c r="AW777" s="136"/>
      <c r="AX777" s="136"/>
      <c r="AY777" s="136"/>
      <c r="AZ777" s="136"/>
      <c r="BA777" s="136"/>
      <c r="BB777" s="136"/>
      <c r="BC777" s="136"/>
      <c r="BD777" s="136"/>
      <c r="BE777" s="136"/>
      <c r="BF777" s="136"/>
      <c r="BG777" s="136"/>
      <c r="BH777" s="136"/>
      <c r="BI777" s="136"/>
      <c r="BJ777" s="136"/>
      <c r="BK777" s="136"/>
      <c r="BL777" s="136"/>
      <c r="BM777" s="136"/>
      <c r="BN777" s="136"/>
    </row>
    <row r="778" spans="1:66" ht="15.75" customHeight="1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136"/>
      <c r="AU778" s="136"/>
      <c r="AV778" s="136"/>
      <c r="AW778" s="136"/>
      <c r="AX778" s="136"/>
      <c r="AY778" s="136"/>
      <c r="AZ778" s="136"/>
      <c r="BA778" s="136"/>
      <c r="BB778" s="136"/>
      <c r="BC778" s="136"/>
      <c r="BD778" s="136"/>
      <c r="BE778" s="136"/>
      <c r="BF778" s="136"/>
      <c r="BG778" s="136"/>
      <c r="BH778" s="136"/>
      <c r="BI778" s="136"/>
      <c r="BJ778" s="136"/>
      <c r="BK778" s="136"/>
      <c r="BL778" s="136"/>
      <c r="BM778" s="136"/>
      <c r="BN778" s="136"/>
    </row>
    <row r="779" spans="1:66" ht="15.75" customHeight="1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  <c r="BE779" s="136"/>
      <c r="BF779" s="136"/>
      <c r="BG779" s="136"/>
      <c r="BH779" s="136"/>
      <c r="BI779" s="136"/>
      <c r="BJ779" s="136"/>
      <c r="BK779" s="136"/>
      <c r="BL779" s="136"/>
      <c r="BM779" s="136"/>
      <c r="BN779" s="136"/>
    </row>
    <row r="780" spans="1:66" ht="15.75" customHeight="1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136"/>
      <c r="AS780" s="136"/>
      <c r="AT780" s="136"/>
      <c r="AU780" s="136"/>
      <c r="AV780" s="136"/>
      <c r="AW780" s="136"/>
      <c r="AX780" s="136"/>
      <c r="AY780" s="136"/>
      <c r="AZ780" s="136"/>
      <c r="BA780" s="136"/>
      <c r="BB780" s="136"/>
      <c r="BC780" s="136"/>
      <c r="BD780" s="136"/>
      <c r="BE780" s="136"/>
      <c r="BF780" s="136"/>
      <c r="BG780" s="136"/>
      <c r="BH780" s="136"/>
      <c r="BI780" s="136"/>
      <c r="BJ780" s="136"/>
      <c r="BK780" s="136"/>
      <c r="BL780" s="136"/>
      <c r="BM780" s="136"/>
      <c r="BN780" s="136"/>
    </row>
    <row r="781" spans="1:66" ht="15.75" customHeight="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  <c r="AW781" s="136"/>
      <c r="AX781" s="136"/>
      <c r="AY781" s="136"/>
      <c r="AZ781" s="136"/>
      <c r="BA781" s="136"/>
      <c r="BB781" s="136"/>
      <c r="BC781" s="136"/>
      <c r="BD781" s="136"/>
      <c r="BE781" s="136"/>
      <c r="BF781" s="136"/>
      <c r="BG781" s="136"/>
      <c r="BH781" s="136"/>
      <c r="BI781" s="136"/>
      <c r="BJ781" s="136"/>
      <c r="BK781" s="136"/>
      <c r="BL781" s="136"/>
      <c r="BM781" s="136"/>
      <c r="BN781" s="136"/>
    </row>
    <row r="782" spans="1:66" ht="15.75" customHeight="1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136"/>
      <c r="AS782" s="136"/>
      <c r="AT782" s="136"/>
      <c r="AU782" s="136"/>
      <c r="AV782" s="136"/>
      <c r="AW782" s="136"/>
      <c r="AX782" s="136"/>
      <c r="AY782" s="136"/>
      <c r="AZ782" s="136"/>
      <c r="BA782" s="136"/>
      <c r="BB782" s="136"/>
      <c r="BC782" s="136"/>
      <c r="BD782" s="136"/>
      <c r="BE782" s="136"/>
      <c r="BF782" s="136"/>
      <c r="BG782" s="136"/>
      <c r="BH782" s="136"/>
      <c r="BI782" s="136"/>
      <c r="BJ782" s="136"/>
      <c r="BK782" s="136"/>
      <c r="BL782" s="136"/>
      <c r="BM782" s="136"/>
      <c r="BN782" s="136"/>
    </row>
    <row r="783" spans="1:66" ht="15.75" customHeight="1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136"/>
      <c r="AQ783" s="136"/>
      <c r="AR783" s="136"/>
      <c r="AS783" s="136"/>
      <c r="AT783" s="136"/>
      <c r="AU783" s="136"/>
      <c r="AV783" s="136"/>
      <c r="AW783" s="136"/>
      <c r="AX783" s="136"/>
      <c r="AY783" s="136"/>
      <c r="AZ783" s="136"/>
      <c r="BA783" s="136"/>
      <c r="BB783" s="136"/>
      <c r="BC783" s="136"/>
      <c r="BD783" s="136"/>
      <c r="BE783" s="136"/>
      <c r="BF783" s="136"/>
      <c r="BG783" s="136"/>
      <c r="BH783" s="136"/>
      <c r="BI783" s="136"/>
      <c r="BJ783" s="136"/>
      <c r="BK783" s="136"/>
      <c r="BL783" s="136"/>
      <c r="BM783" s="136"/>
      <c r="BN783" s="136"/>
    </row>
    <row r="784" spans="1:66" ht="15.75" customHeight="1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  <c r="AU784" s="136"/>
      <c r="AV784" s="136"/>
      <c r="AW784" s="136"/>
      <c r="AX784" s="136"/>
      <c r="AY784" s="136"/>
      <c r="AZ784" s="136"/>
      <c r="BA784" s="136"/>
      <c r="BB784" s="136"/>
      <c r="BC784" s="136"/>
      <c r="BD784" s="136"/>
      <c r="BE784" s="136"/>
      <c r="BF784" s="136"/>
      <c r="BG784" s="136"/>
      <c r="BH784" s="136"/>
      <c r="BI784" s="136"/>
      <c r="BJ784" s="136"/>
      <c r="BK784" s="136"/>
      <c r="BL784" s="136"/>
      <c r="BM784" s="136"/>
      <c r="BN784" s="136"/>
    </row>
    <row r="785" spans="1:66" ht="15.75" customHeight="1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  <c r="AX785" s="136"/>
      <c r="AY785" s="136"/>
      <c r="AZ785" s="136"/>
      <c r="BA785" s="136"/>
      <c r="BB785" s="136"/>
      <c r="BC785" s="136"/>
      <c r="BD785" s="136"/>
      <c r="BE785" s="136"/>
      <c r="BF785" s="136"/>
      <c r="BG785" s="136"/>
      <c r="BH785" s="136"/>
      <c r="BI785" s="136"/>
      <c r="BJ785" s="136"/>
      <c r="BK785" s="136"/>
      <c r="BL785" s="136"/>
      <c r="BM785" s="136"/>
      <c r="BN785" s="136"/>
    </row>
    <row r="786" spans="1:66" ht="15.75" customHeight="1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136"/>
      <c r="AS786" s="136"/>
      <c r="AT786" s="136"/>
      <c r="AU786" s="136"/>
      <c r="AV786" s="136"/>
      <c r="AW786" s="136"/>
      <c r="AX786" s="136"/>
      <c r="AY786" s="136"/>
      <c r="AZ786" s="136"/>
      <c r="BA786" s="136"/>
      <c r="BB786" s="136"/>
      <c r="BC786" s="136"/>
      <c r="BD786" s="136"/>
      <c r="BE786" s="136"/>
      <c r="BF786" s="136"/>
      <c r="BG786" s="136"/>
      <c r="BH786" s="136"/>
      <c r="BI786" s="136"/>
      <c r="BJ786" s="136"/>
      <c r="BK786" s="136"/>
      <c r="BL786" s="136"/>
      <c r="BM786" s="136"/>
      <c r="BN786" s="136"/>
    </row>
    <row r="787" spans="1:66" ht="15.75" customHeight="1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  <c r="AU787" s="136"/>
      <c r="AV787" s="136"/>
      <c r="AW787" s="136"/>
      <c r="AX787" s="136"/>
      <c r="AY787" s="136"/>
      <c r="AZ787" s="136"/>
      <c r="BA787" s="136"/>
      <c r="BB787" s="136"/>
      <c r="BC787" s="136"/>
      <c r="BD787" s="136"/>
      <c r="BE787" s="136"/>
      <c r="BF787" s="136"/>
      <c r="BG787" s="136"/>
      <c r="BH787" s="136"/>
      <c r="BI787" s="136"/>
      <c r="BJ787" s="136"/>
      <c r="BK787" s="136"/>
      <c r="BL787" s="136"/>
      <c r="BM787" s="136"/>
      <c r="BN787" s="136"/>
    </row>
    <row r="788" spans="1:66" ht="15.75" customHeight="1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  <c r="AU788" s="136"/>
      <c r="AV788" s="136"/>
      <c r="AW788" s="136"/>
      <c r="AX788" s="136"/>
      <c r="AY788" s="136"/>
      <c r="AZ788" s="136"/>
      <c r="BA788" s="136"/>
      <c r="BB788" s="136"/>
      <c r="BC788" s="136"/>
      <c r="BD788" s="136"/>
      <c r="BE788" s="136"/>
      <c r="BF788" s="136"/>
      <c r="BG788" s="136"/>
      <c r="BH788" s="136"/>
      <c r="BI788" s="136"/>
      <c r="BJ788" s="136"/>
      <c r="BK788" s="136"/>
      <c r="BL788" s="136"/>
      <c r="BM788" s="136"/>
      <c r="BN788" s="136"/>
    </row>
    <row r="789" spans="1:66" ht="15.75" customHeight="1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  <c r="AT789" s="136"/>
      <c r="AU789" s="136"/>
      <c r="AV789" s="136"/>
      <c r="AW789" s="136"/>
      <c r="AX789" s="136"/>
      <c r="AY789" s="136"/>
      <c r="AZ789" s="136"/>
      <c r="BA789" s="136"/>
      <c r="BB789" s="136"/>
      <c r="BC789" s="136"/>
      <c r="BD789" s="136"/>
      <c r="BE789" s="136"/>
      <c r="BF789" s="136"/>
      <c r="BG789" s="136"/>
      <c r="BH789" s="136"/>
      <c r="BI789" s="136"/>
      <c r="BJ789" s="136"/>
      <c r="BK789" s="136"/>
      <c r="BL789" s="136"/>
      <c r="BM789" s="136"/>
      <c r="BN789" s="136"/>
    </row>
    <row r="790" spans="1:66" ht="15.75" customHeight="1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136"/>
      <c r="AU790" s="136"/>
      <c r="AV790" s="136"/>
      <c r="AW790" s="136"/>
      <c r="AX790" s="136"/>
      <c r="AY790" s="136"/>
      <c r="AZ790" s="136"/>
      <c r="BA790" s="136"/>
      <c r="BB790" s="136"/>
      <c r="BC790" s="136"/>
      <c r="BD790" s="136"/>
      <c r="BE790" s="136"/>
      <c r="BF790" s="136"/>
      <c r="BG790" s="136"/>
      <c r="BH790" s="136"/>
      <c r="BI790" s="136"/>
      <c r="BJ790" s="136"/>
      <c r="BK790" s="136"/>
      <c r="BL790" s="136"/>
      <c r="BM790" s="136"/>
      <c r="BN790" s="136"/>
    </row>
    <row r="791" spans="1:66" ht="15.75" customHeight="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  <c r="AW791" s="136"/>
      <c r="AX791" s="136"/>
      <c r="AY791" s="136"/>
      <c r="AZ791" s="136"/>
      <c r="BA791" s="136"/>
      <c r="BB791" s="136"/>
      <c r="BC791" s="136"/>
      <c r="BD791" s="136"/>
      <c r="BE791" s="136"/>
      <c r="BF791" s="136"/>
      <c r="BG791" s="136"/>
      <c r="BH791" s="136"/>
      <c r="BI791" s="136"/>
      <c r="BJ791" s="136"/>
      <c r="BK791" s="136"/>
      <c r="BL791" s="136"/>
      <c r="BM791" s="136"/>
      <c r="BN791" s="136"/>
    </row>
    <row r="792" spans="1:66" ht="15.75" customHeight="1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  <c r="AU792" s="136"/>
      <c r="AV792" s="136"/>
      <c r="AW792" s="136"/>
      <c r="AX792" s="136"/>
      <c r="AY792" s="136"/>
      <c r="AZ792" s="136"/>
      <c r="BA792" s="136"/>
      <c r="BB792" s="136"/>
      <c r="BC792" s="136"/>
      <c r="BD792" s="136"/>
      <c r="BE792" s="136"/>
      <c r="BF792" s="136"/>
      <c r="BG792" s="136"/>
      <c r="BH792" s="136"/>
      <c r="BI792" s="136"/>
      <c r="BJ792" s="136"/>
      <c r="BK792" s="136"/>
      <c r="BL792" s="136"/>
      <c r="BM792" s="136"/>
      <c r="BN792" s="136"/>
    </row>
    <row r="793" spans="1:66" ht="15.75" customHeight="1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  <c r="AU793" s="136"/>
      <c r="AV793" s="136"/>
      <c r="AW793" s="136"/>
      <c r="AX793" s="136"/>
      <c r="AY793" s="136"/>
      <c r="AZ793" s="136"/>
      <c r="BA793" s="136"/>
      <c r="BB793" s="136"/>
      <c r="BC793" s="136"/>
      <c r="BD793" s="136"/>
      <c r="BE793" s="136"/>
      <c r="BF793" s="136"/>
      <c r="BG793" s="136"/>
      <c r="BH793" s="136"/>
      <c r="BI793" s="136"/>
      <c r="BJ793" s="136"/>
      <c r="BK793" s="136"/>
      <c r="BL793" s="136"/>
      <c r="BM793" s="136"/>
      <c r="BN793" s="136"/>
    </row>
    <row r="794" spans="1:66" ht="15.75" customHeight="1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136"/>
      <c r="AU794" s="136"/>
      <c r="AV794" s="136"/>
      <c r="AW794" s="136"/>
      <c r="AX794" s="136"/>
      <c r="AY794" s="136"/>
      <c r="AZ794" s="136"/>
      <c r="BA794" s="136"/>
      <c r="BB794" s="136"/>
      <c r="BC794" s="136"/>
      <c r="BD794" s="136"/>
      <c r="BE794" s="136"/>
      <c r="BF794" s="136"/>
      <c r="BG794" s="136"/>
      <c r="BH794" s="136"/>
      <c r="BI794" s="136"/>
      <c r="BJ794" s="136"/>
      <c r="BK794" s="136"/>
      <c r="BL794" s="136"/>
      <c r="BM794" s="136"/>
      <c r="BN794" s="136"/>
    </row>
    <row r="795" spans="1:66" ht="15.75" customHeight="1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36"/>
      <c r="BE795" s="136"/>
      <c r="BF795" s="136"/>
      <c r="BG795" s="136"/>
      <c r="BH795" s="136"/>
      <c r="BI795" s="136"/>
      <c r="BJ795" s="136"/>
      <c r="BK795" s="136"/>
      <c r="BL795" s="136"/>
      <c r="BM795" s="136"/>
      <c r="BN795" s="136"/>
    </row>
    <row r="796" spans="1:66" ht="15.75" customHeight="1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  <c r="AU796" s="136"/>
      <c r="AV796" s="136"/>
      <c r="AW796" s="136"/>
      <c r="AX796" s="136"/>
      <c r="AY796" s="136"/>
      <c r="AZ796" s="136"/>
      <c r="BA796" s="136"/>
      <c r="BB796" s="136"/>
      <c r="BC796" s="136"/>
      <c r="BD796" s="136"/>
      <c r="BE796" s="136"/>
      <c r="BF796" s="136"/>
      <c r="BG796" s="136"/>
      <c r="BH796" s="136"/>
      <c r="BI796" s="136"/>
      <c r="BJ796" s="136"/>
      <c r="BK796" s="136"/>
      <c r="BL796" s="136"/>
      <c r="BM796" s="136"/>
      <c r="BN796" s="136"/>
    </row>
    <row r="797" spans="1:66" ht="15.75" customHeight="1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  <c r="AU797" s="136"/>
      <c r="AV797" s="136"/>
      <c r="AW797" s="136"/>
      <c r="AX797" s="136"/>
      <c r="AY797" s="136"/>
      <c r="AZ797" s="136"/>
      <c r="BA797" s="136"/>
      <c r="BB797" s="136"/>
      <c r="BC797" s="136"/>
      <c r="BD797" s="136"/>
      <c r="BE797" s="136"/>
      <c r="BF797" s="136"/>
      <c r="BG797" s="136"/>
      <c r="BH797" s="136"/>
      <c r="BI797" s="136"/>
      <c r="BJ797" s="136"/>
      <c r="BK797" s="136"/>
      <c r="BL797" s="136"/>
      <c r="BM797" s="136"/>
      <c r="BN797" s="136"/>
    </row>
    <row r="798" spans="1:66" ht="15.75" customHeight="1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136"/>
      <c r="AS798" s="136"/>
      <c r="AT798" s="136"/>
      <c r="AU798" s="136"/>
      <c r="AV798" s="136"/>
      <c r="AW798" s="136"/>
      <c r="AX798" s="136"/>
      <c r="AY798" s="136"/>
      <c r="AZ798" s="136"/>
      <c r="BA798" s="136"/>
      <c r="BB798" s="136"/>
      <c r="BC798" s="136"/>
      <c r="BD798" s="136"/>
      <c r="BE798" s="136"/>
      <c r="BF798" s="136"/>
      <c r="BG798" s="136"/>
      <c r="BH798" s="136"/>
      <c r="BI798" s="136"/>
      <c r="BJ798" s="136"/>
      <c r="BK798" s="136"/>
      <c r="BL798" s="136"/>
      <c r="BM798" s="136"/>
      <c r="BN798" s="136"/>
    </row>
    <row r="799" spans="1:66" ht="15.75" customHeight="1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  <c r="AU799" s="136"/>
      <c r="AV799" s="136"/>
      <c r="AW799" s="136"/>
      <c r="AX799" s="136"/>
      <c r="AY799" s="136"/>
      <c r="AZ799" s="136"/>
      <c r="BA799" s="136"/>
      <c r="BB799" s="136"/>
      <c r="BC799" s="136"/>
      <c r="BD799" s="136"/>
      <c r="BE799" s="136"/>
      <c r="BF799" s="136"/>
      <c r="BG799" s="136"/>
      <c r="BH799" s="136"/>
      <c r="BI799" s="136"/>
      <c r="BJ799" s="136"/>
      <c r="BK799" s="136"/>
      <c r="BL799" s="136"/>
      <c r="BM799" s="136"/>
      <c r="BN799" s="136"/>
    </row>
    <row r="800" spans="1:66" ht="15.75" customHeight="1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  <c r="AW800" s="136"/>
      <c r="AX800" s="136"/>
      <c r="AY800" s="136"/>
      <c r="AZ800" s="136"/>
      <c r="BA800" s="136"/>
      <c r="BB800" s="136"/>
      <c r="BC800" s="136"/>
      <c r="BD800" s="136"/>
      <c r="BE800" s="136"/>
      <c r="BF800" s="136"/>
      <c r="BG800" s="136"/>
      <c r="BH800" s="136"/>
      <c r="BI800" s="136"/>
      <c r="BJ800" s="136"/>
      <c r="BK800" s="136"/>
      <c r="BL800" s="136"/>
      <c r="BM800" s="136"/>
      <c r="BN800" s="136"/>
    </row>
    <row r="801" spans="1:66" ht="15.75" customHeight="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136"/>
      <c r="AS801" s="136"/>
      <c r="AT801" s="136"/>
      <c r="AU801" s="136"/>
      <c r="AV801" s="136"/>
      <c r="AW801" s="136"/>
      <c r="AX801" s="136"/>
      <c r="AY801" s="136"/>
      <c r="AZ801" s="136"/>
      <c r="BA801" s="136"/>
      <c r="BB801" s="136"/>
      <c r="BC801" s="136"/>
      <c r="BD801" s="136"/>
      <c r="BE801" s="136"/>
      <c r="BF801" s="136"/>
      <c r="BG801" s="136"/>
      <c r="BH801" s="136"/>
      <c r="BI801" s="136"/>
      <c r="BJ801" s="136"/>
      <c r="BK801" s="136"/>
      <c r="BL801" s="136"/>
      <c r="BM801" s="136"/>
      <c r="BN801" s="136"/>
    </row>
    <row r="802" spans="1:66" ht="15.75" customHeight="1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136"/>
      <c r="AU802" s="136"/>
      <c r="AV802" s="136"/>
      <c r="AW802" s="136"/>
      <c r="AX802" s="136"/>
      <c r="AY802" s="136"/>
      <c r="AZ802" s="136"/>
      <c r="BA802" s="136"/>
      <c r="BB802" s="136"/>
      <c r="BC802" s="136"/>
      <c r="BD802" s="136"/>
      <c r="BE802" s="136"/>
      <c r="BF802" s="136"/>
      <c r="BG802" s="136"/>
      <c r="BH802" s="136"/>
      <c r="BI802" s="136"/>
      <c r="BJ802" s="136"/>
      <c r="BK802" s="136"/>
      <c r="BL802" s="136"/>
      <c r="BM802" s="136"/>
      <c r="BN802" s="136"/>
    </row>
    <row r="803" spans="1:66" ht="15.75" customHeight="1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  <c r="AT803" s="136"/>
      <c r="AU803" s="136"/>
      <c r="AV803" s="136"/>
      <c r="AW803" s="136"/>
      <c r="AX803" s="136"/>
      <c r="AY803" s="136"/>
      <c r="AZ803" s="136"/>
      <c r="BA803" s="136"/>
      <c r="BB803" s="136"/>
      <c r="BC803" s="136"/>
      <c r="BD803" s="136"/>
      <c r="BE803" s="136"/>
      <c r="BF803" s="136"/>
      <c r="BG803" s="136"/>
      <c r="BH803" s="136"/>
      <c r="BI803" s="136"/>
      <c r="BJ803" s="136"/>
      <c r="BK803" s="136"/>
      <c r="BL803" s="136"/>
      <c r="BM803" s="136"/>
      <c r="BN803" s="136"/>
    </row>
    <row r="804" spans="1:66" ht="15.75" customHeight="1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  <c r="AW804" s="136"/>
      <c r="AX804" s="136"/>
      <c r="AY804" s="136"/>
      <c r="AZ804" s="136"/>
      <c r="BA804" s="136"/>
      <c r="BB804" s="136"/>
      <c r="BC804" s="136"/>
      <c r="BD804" s="136"/>
      <c r="BE804" s="136"/>
      <c r="BF804" s="136"/>
      <c r="BG804" s="136"/>
      <c r="BH804" s="136"/>
      <c r="BI804" s="136"/>
      <c r="BJ804" s="136"/>
      <c r="BK804" s="136"/>
      <c r="BL804" s="136"/>
      <c r="BM804" s="136"/>
      <c r="BN804" s="136"/>
    </row>
    <row r="805" spans="1:66" ht="15.75" customHeight="1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  <c r="AW805" s="136"/>
      <c r="AX805" s="136"/>
      <c r="AY805" s="136"/>
      <c r="AZ805" s="136"/>
      <c r="BA805" s="136"/>
      <c r="BB805" s="136"/>
      <c r="BC805" s="136"/>
      <c r="BD805" s="136"/>
      <c r="BE805" s="136"/>
      <c r="BF805" s="136"/>
      <c r="BG805" s="136"/>
      <c r="BH805" s="136"/>
      <c r="BI805" s="136"/>
      <c r="BJ805" s="136"/>
      <c r="BK805" s="136"/>
      <c r="BL805" s="136"/>
      <c r="BM805" s="136"/>
      <c r="BN805" s="136"/>
    </row>
    <row r="806" spans="1:66" ht="15.75" customHeight="1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136"/>
      <c r="AU806" s="136"/>
      <c r="AV806" s="136"/>
      <c r="AW806" s="136"/>
      <c r="AX806" s="136"/>
      <c r="AY806" s="136"/>
      <c r="AZ806" s="136"/>
      <c r="BA806" s="136"/>
      <c r="BB806" s="136"/>
      <c r="BC806" s="136"/>
      <c r="BD806" s="136"/>
      <c r="BE806" s="136"/>
      <c r="BF806" s="136"/>
      <c r="BG806" s="136"/>
      <c r="BH806" s="136"/>
      <c r="BI806" s="136"/>
      <c r="BJ806" s="136"/>
      <c r="BK806" s="136"/>
      <c r="BL806" s="136"/>
      <c r="BM806" s="136"/>
      <c r="BN806" s="136"/>
    </row>
    <row r="807" spans="1:66" ht="15.75" customHeight="1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  <c r="AU807" s="136"/>
      <c r="AV807" s="136"/>
      <c r="AW807" s="136"/>
      <c r="AX807" s="136"/>
      <c r="AY807" s="136"/>
      <c r="AZ807" s="136"/>
      <c r="BA807" s="136"/>
      <c r="BB807" s="136"/>
      <c r="BC807" s="136"/>
      <c r="BD807" s="136"/>
      <c r="BE807" s="136"/>
      <c r="BF807" s="136"/>
      <c r="BG807" s="136"/>
      <c r="BH807" s="136"/>
      <c r="BI807" s="136"/>
      <c r="BJ807" s="136"/>
      <c r="BK807" s="136"/>
      <c r="BL807" s="136"/>
      <c r="BM807" s="136"/>
      <c r="BN807" s="136"/>
    </row>
    <row r="808" spans="1:66" ht="15.75" customHeight="1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  <c r="AW808" s="136"/>
      <c r="AX808" s="136"/>
      <c r="AY808" s="136"/>
      <c r="AZ808" s="136"/>
      <c r="BA808" s="136"/>
      <c r="BB808" s="136"/>
      <c r="BC808" s="136"/>
      <c r="BD808" s="136"/>
      <c r="BE808" s="136"/>
      <c r="BF808" s="136"/>
      <c r="BG808" s="136"/>
      <c r="BH808" s="136"/>
      <c r="BI808" s="136"/>
      <c r="BJ808" s="136"/>
      <c r="BK808" s="136"/>
      <c r="BL808" s="136"/>
      <c r="BM808" s="136"/>
      <c r="BN808" s="136"/>
    </row>
    <row r="809" spans="1:66" ht="15.75" customHeight="1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136"/>
      <c r="AS809" s="136"/>
      <c r="AT809" s="136"/>
      <c r="AU809" s="136"/>
      <c r="AV809" s="136"/>
      <c r="AW809" s="136"/>
      <c r="AX809" s="136"/>
      <c r="AY809" s="136"/>
      <c r="AZ809" s="136"/>
      <c r="BA809" s="136"/>
      <c r="BB809" s="136"/>
      <c r="BC809" s="136"/>
      <c r="BD809" s="136"/>
      <c r="BE809" s="136"/>
      <c r="BF809" s="136"/>
      <c r="BG809" s="136"/>
      <c r="BH809" s="136"/>
      <c r="BI809" s="136"/>
      <c r="BJ809" s="136"/>
      <c r="BK809" s="136"/>
      <c r="BL809" s="136"/>
      <c r="BM809" s="136"/>
      <c r="BN809" s="136"/>
    </row>
    <row r="810" spans="1:66" ht="15.75" customHeight="1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  <c r="AW810" s="136"/>
      <c r="AX810" s="136"/>
      <c r="AY810" s="136"/>
      <c r="AZ810" s="136"/>
      <c r="BA810" s="136"/>
      <c r="BB810" s="136"/>
      <c r="BC810" s="136"/>
      <c r="BD810" s="136"/>
      <c r="BE810" s="136"/>
      <c r="BF810" s="136"/>
      <c r="BG810" s="136"/>
      <c r="BH810" s="136"/>
      <c r="BI810" s="136"/>
      <c r="BJ810" s="136"/>
      <c r="BK810" s="136"/>
      <c r="BL810" s="136"/>
      <c r="BM810" s="136"/>
      <c r="BN810" s="136"/>
    </row>
    <row r="811" spans="1:66" ht="15.75" customHeight="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  <c r="AW811" s="136"/>
      <c r="AX811" s="136"/>
      <c r="AY811" s="136"/>
      <c r="AZ811" s="136"/>
      <c r="BA811" s="136"/>
      <c r="BB811" s="136"/>
      <c r="BC811" s="136"/>
      <c r="BD811" s="136"/>
      <c r="BE811" s="136"/>
      <c r="BF811" s="136"/>
      <c r="BG811" s="136"/>
      <c r="BH811" s="136"/>
      <c r="BI811" s="136"/>
      <c r="BJ811" s="136"/>
      <c r="BK811" s="136"/>
      <c r="BL811" s="136"/>
      <c r="BM811" s="136"/>
      <c r="BN811" s="136"/>
    </row>
    <row r="812" spans="1:66" ht="15.75" customHeight="1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36"/>
      <c r="BE812" s="136"/>
      <c r="BF812" s="136"/>
      <c r="BG812" s="136"/>
      <c r="BH812" s="136"/>
      <c r="BI812" s="136"/>
      <c r="BJ812" s="136"/>
      <c r="BK812" s="136"/>
      <c r="BL812" s="136"/>
      <c r="BM812" s="136"/>
      <c r="BN812" s="136"/>
    </row>
    <row r="813" spans="1:66" ht="15.75" customHeight="1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136"/>
      <c r="AS813" s="136"/>
      <c r="AT813" s="136"/>
      <c r="AU813" s="136"/>
      <c r="AV813" s="136"/>
      <c r="AW813" s="136"/>
      <c r="AX813" s="136"/>
      <c r="AY813" s="136"/>
      <c r="AZ813" s="136"/>
      <c r="BA813" s="136"/>
      <c r="BB813" s="136"/>
      <c r="BC813" s="136"/>
      <c r="BD813" s="136"/>
      <c r="BE813" s="136"/>
      <c r="BF813" s="136"/>
      <c r="BG813" s="136"/>
      <c r="BH813" s="136"/>
      <c r="BI813" s="136"/>
      <c r="BJ813" s="136"/>
      <c r="BK813" s="136"/>
      <c r="BL813" s="136"/>
      <c r="BM813" s="136"/>
      <c r="BN813" s="136"/>
    </row>
    <row r="814" spans="1:66" ht="15.75" customHeight="1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136"/>
      <c r="AS814" s="136"/>
      <c r="AT814" s="136"/>
      <c r="AU814" s="136"/>
      <c r="AV814" s="136"/>
      <c r="AW814" s="136"/>
      <c r="AX814" s="136"/>
      <c r="AY814" s="136"/>
      <c r="AZ814" s="136"/>
      <c r="BA814" s="136"/>
      <c r="BB814" s="136"/>
      <c r="BC814" s="136"/>
      <c r="BD814" s="136"/>
      <c r="BE814" s="136"/>
      <c r="BF814" s="136"/>
      <c r="BG814" s="136"/>
      <c r="BH814" s="136"/>
      <c r="BI814" s="136"/>
      <c r="BJ814" s="136"/>
      <c r="BK814" s="136"/>
      <c r="BL814" s="136"/>
      <c r="BM814" s="136"/>
      <c r="BN814" s="136"/>
    </row>
    <row r="815" spans="1:66" ht="15.75" customHeight="1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  <c r="AW815" s="136"/>
      <c r="AX815" s="136"/>
      <c r="AY815" s="136"/>
      <c r="AZ815" s="136"/>
      <c r="BA815" s="136"/>
      <c r="BB815" s="136"/>
      <c r="BC815" s="136"/>
      <c r="BD815" s="136"/>
      <c r="BE815" s="136"/>
      <c r="BF815" s="136"/>
      <c r="BG815" s="136"/>
      <c r="BH815" s="136"/>
      <c r="BI815" s="136"/>
      <c r="BJ815" s="136"/>
      <c r="BK815" s="136"/>
      <c r="BL815" s="136"/>
      <c r="BM815" s="136"/>
      <c r="BN815" s="136"/>
    </row>
    <row r="816" spans="1:66" ht="15.75" customHeight="1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36"/>
      <c r="BE816" s="136"/>
      <c r="BF816" s="136"/>
      <c r="BG816" s="136"/>
      <c r="BH816" s="136"/>
      <c r="BI816" s="136"/>
      <c r="BJ816" s="136"/>
      <c r="BK816" s="136"/>
      <c r="BL816" s="136"/>
      <c r="BM816" s="136"/>
      <c r="BN816" s="136"/>
    </row>
    <row r="817" spans="1:66" ht="15.75" customHeight="1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  <c r="AW817" s="136"/>
      <c r="AX817" s="136"/>
      <c r="AY817" s="136"/>
      <c r="AZ817" s="136"/>
      <c r="BA817" s="136"/>
      <c r="BB817" s="136"/>
      <c r="BC817" s="136"/>
      <c r="BD817" s="136"/>
      <c r="BE817" s="136"/>
      <c r="BF817" s="136"/>
      <c r="BG817" s="136"/>
      <c r="BH817" s="136"/>
      <c r="BI817" s="136"/>
      <c r="BJ817" s="136"/>
      <c r="BK817" s="136"/>
      <c r="BL817" s="136"/>
      <c r="BM817" s="136"/>
      <c r="BN817" s="136"/>
    </row>
    <row r="818" spans="1:66" ht="15.75" customHeight="1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  <c r="AW818" s="136"/>
      <c r="AX818" s="136"/>
      <c r="AY818" s="136"/>
      <c r="AZ818" s="136"/>
      <c r="BA818" s="136"/>
      <c r="BB818" s="136"/>
      <c r="BC818" s="136"/>
      <c r="BD818" s="136"/>
      <c r="BE818" s="136"/>
      <c r="BF818" s="136"/>
      <c r="BG818" s="136"/>
      <c r="BH818" s="136"/>
      <c r="BI818" s="136"/>
      <c r="BJ818" s="136"/>
      <c r="BK818" s="136"/>
      <c r="BL818" s="136"/>
      <c r="BM818" s="136"/>
      <c r="BN818" s="136"/>
    </row>
    <row r="819" spans="1:66" ht="15.75" customHeight="1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136"/>
      <c r="AS819" s="136"/>
      <c r="AT819" s="136"/>
      <c r="AU819" s="136"/>
      <c r="AV819" s="136"/>
      <c r="AW819" s="136"/>
      <c r="AX819" s="136"/>
      <c r="AY819" s="136"/>
      <c r="AZ819" s="136"/>
      <c r="BA819" s="136"/>
      <c r="BB819" s="136"/>
      <c r="BC819" s="136"/>
      <c r="BD819" s="136"/>
      <c r="BE819" s="136"/>
      <c r="BF819" s="136"/>
      <c r="BG819" s="136"/>
      <c r="BH819" s="136"/>
      <c r="BI819" s="136"/>
      <c r="BJ819" s="136"/>
      <c r="BK819" s="136"/>
      <c r="BL819" s="136"/>
      <c r="BM819" s="136"/>
      <c r="BN819" s="136"/>
    </row>
    <row r="820" spans="1:66" ht="15.75" customHeight="1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36"/>
      <c r="BE820" s="136"/>
      <c r="BF820" s="136"/>
      <c r="BG820" s="136"/>
      <c r="BH820" s="136"/>
      <c r="BI820" s="136"/>
      <c r="BJ820" s="136"/>
      <c r="BK820" s="136"/>
      <c r="BL820" s="136"/>
      <c r="BM820" s="136"/>
      <c r="BN820" s="136"/>
    </row>
    <row r="821" spans="1:66" ht="15.75" customHeight="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  <c r="AW821" s="136"/>
      <c r="AX821" s="136"/>
      <c r="AY821" s="136"/>
      <c r="AZ821" s="136"/>
      <c r="BA821" s="136"/>
      <c r="BB821" s="136"/>
      <c r="BC821" s="136"/>
      <c r="BD821" s="136"/>
      <c r="BE821" s="136"/>
      <c r="BF821" s="136"/>
      <c r="BG821" s="136"/>
      <c r="BH821" s="136"/>
      <c r="BI821" s="136"/>
      <c r="BJ821" s="136"/>
      <c r="BK821" s="136"/>
      <c r="BL821" s="136"/>
      <c r="BM821" s="136"/>
      <c r="BN821" s="136"/>
    </row>
    <row r="822" spans="1:66" ht="15.75" customHeight="1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136"/>
      <c r="AQ822" s="136"/>
      <c r="AR822" s="136"/>
      <c r="AS822" s="136"/>
      <c r="AT822" s="136"/>
      <c r="AU822" s="136"/>
      <c r="AV822" s="136"/>
      <c r="AW822" s="136"/>
      <c r="AX822" s="136"/>
      <c r="AY822" s="136"/>
      <c r="AZ822" s="136"/>
      <c r="BA822" s="136"/>
      <c r="BB822" s="136"/>
      <c r="BC822" s="136"/>
      <c r="BD822" s="136"/>
      <c r="BE822" s="136"/>
      <c r="BF822" s="136"/>
      <c r="BG822" s="136"/>
      <c r="BH822" s="136"/>
      <c r="BI822" s="136"/>
      <c r="BJ822" s="136"/>
      <c r="BK822" s="136"/>
      <c r="BL822" s="136"/>
      <c r="BM822" s="136"/>
      <c r="BN822" s="136"/>
    </row>
    <row r="823" spans="1:66" ht="15.75" customHeight="1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  <c r="AW823" s="136"/>
      <c r="AX823" s="136"/>
      <c r="AY823" s="136"/>
      <c r="AZ823" s="136"/>
      <c r="BA823" s="136"/>
      <c r="BB823" s="136"/>
      <c r="BC823" s="136"/>
      <c r="BD823" s="136"/>
      <c r="BE823" s="136"/>
      <c r="BF823" s="136"/>
      <c r="BG823" s="136"/>
      <c r="BH823" s="136"/>
      <c r="BI823" s="136"/>
      <c r="BJ823" s="136"/>
      <c r="BK823" s="136"/>
      <c r="BL823" s="136"/>
      <c r="BM823" s="136"/>
      <c r="BN823" s="136"/>
    </row>
    <row r="824" spans="1:66" ht="15.75" customHeight="1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  <c r="BE824" s="136"/>
      <c r="BF824" s="136"/>
      <c r="BG824" s="136"/>
      <c r="BH824" s="136"/>
      <c r="BI824" s="136"/>
      <c r="BJ824" s="136"/>
      <c r="BK824" s="136"/>
      <c r="BL824" s="136"/>
      <c r="BM824" s="136"/>
      <c r="BN824" s="136"/>
    </row>
    <row r="825" spans="1:66" ht="15.75" customHeight="1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136"/>
      <c r="AS825" s="136"/>
      <c r="AT825" s="136"/>
      <c r="AU825" s="136"/>
      <c r="AV825" s="136"/>
      <c r="AW825" s="136"/>
      <c r="AX825" s="136"/>
      <c r="AY825" s="136"/>
      <c r="AZ825" s="136"/>
      <c r="BA825" s="136"/>
      <c r="BB825" s="136"/>
      <c r="BC825" s="136"/>
      <c r="BD825" s="136"/>
      <c r="BE825" s="136"/>
      <c r="BF825" s="136"/>
      <c r="BG825" s="136"/>
      <c r="BH825" s="136"/>
      <c r="BI825" s="136"/>
      <c r="BJ825" s="136"/>
      <c r="BK825" s="136"/>
      <c r="BL825" s="136"/>
      <c r="BM825" s="136"/>
      <c r="BN825" s="136"/>
    </row>
    <row r="826" spans="1:66" ht="15.75" customHeight="1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  <c r="AW826" s="136"/>
      <c r="AX826" s="136"/>
      <c r="AY826" s="136"/>
      <c r="AZ826" s="136"/>
      <c r="BA826" s="136"/>
      <c r="BB826" s="136"/>
      <c r="BC826" s="136"/>
      <c r="BD826" s="136"/>
      <c r="BE826" s="136"/>
      <c r="BF826" s="136"/>
      <c r="BG826" s="136"/>
      <c r="BH826" s="136"/>
      <c r="BI826" s="136"/>
      <c r="BJ826" s="136"/>
      <c r="BK826" s="136"/>
      <c r="BL826" s="136"/>
      <c r="BM826" s="136"/>
      <c r="BN826" s="136"/>
    </row>
    <row r="827" spans="1:66" ht="15.75" customHeight="1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  <c r="AW827" s="136"/>
      <c r="AX827" s="136"/>
      <c r="AY827" s="136"/>
      <c r="AZ827" s="136"/>
      <c r="BA827" s="136"/>
      <c r="BB827" s="136"/>
      <c r="BC827" s="136"/>
      <c r="BD827" s="136"/>
      <c r="BE827" s="136"/>
      <c r="BF827" s="136"/>
      <c r="BG827" s="136"/>
      <c r="BH827" s="136"/>
      <c r="BI827" s="136"/>
      <c r="BJ827" s="136"/>
      <c r="BK827" s="136"/>
      <c r="BL827" s="136"/>
      <c r="BM827" s="136"/>
      <c r="BN827" s="136"/>
    </row>
    <row r="828" spans="1:66" ht="15.75" customHeight="1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  <c r="AT828" s="136"/>
      <c r="AU828" s="136"/>
      <c r="AV828" s="136"/>
      <c r="AW828" s="136"/>
      <c r="AX828" s="136"/>
      <c r="AY828" s="136"/>
      <c r="AZ828" s="136"/>
      <c r="BA828" s="136"/>
      <c r="BB828" s="136"/>
      <c r="BC828" s="136"/>
      <c r="BD828" s="136"/>
      <c r="BE828" s="136"/>
      <c r="BF828" s="136"/>
      <c r="BG828" s="136"/>
      <c r="BH828" s="136"/>
      <c r="BI828" s="136"/>
      <c r="BJ828" s="136"/>
      <c r="BK828" s="136"/>
      <c r="BL828" s="136"/>
      <c r="BM828" s="136"/>
      <c r="BN828" s="136"/>
    </row>
    <row r="829" spans="1:66" ht="15.75" customHeight="1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136"/>
      <c r="AS829" s="136"/>
      <c r="AT829" s="136"/>
      <c r="AU829" s="136"/>
      <c r="AV829" s="136"/>
      <c r="AW829" s="136"/>
      <c r="AX829" s="136"/>
      <c r="AY829" s="136"/>
      <c r="AZ829" s="136"/>
      <c r="BA829" s="136"/>
      <c r="BB829" s="136"/>
      <c r="BC829" s="136"/>
      <c r="BD829" s="136"/>
      <c r="BE829" s="136"/>
      <c r="BF829" s="136"/>
      <c r="BG829" s="136"/>
      <c r="BH829" s="136"/>
      <c r="BI829" s="136"/>
      <c r="BJ829" s="136"/>
      <c r="BK829" s="136"/>
      <c r="BL829" s="136"/>
      <c r="BM829" s="136"/>
      <c r="BN829" s="136"/>
    </row>
    <row r="830" spans="1:66" ht="15.75" customHeight="1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136"/>
      <c r="AS830" s="136"/>
      <c r="AT830" s="136"/>
      <c r="AU830" s="136"/>
      <c r="AV830" s="136"/>
      <c r="AW830" s="136"/>
      <c r="AX830" s="136"/>
      <c r="AY830" s="136"/>
      <c r="AZ830" s="136"/>
      <c r="BA830" s="136"/>
      <c r="BB830" s="136"/>
      <c r="BC830" s="136"/>
      <c r="BD830" s="136"/>
      <c r="BE830" s="136"/>
      <c r="BF830" s="136"/>
      <c r="BG830" s="136"/>
      <c r="BH830" s="136"/>
      <c r="BI830" s="136"/>
      <c r="BJ830" s="136"/>
      <c r="BK830" s="136"/>
      <c r="BL830" s="136"/>
      <c r="BM830" s="136"/>
      <c r="BN830" s="136"/>
    </row>
    <row r="831" spans="1:66" ht="15.75" customHeight="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136"/>
      <c r="AQ831" s="136"/>
      <c r="AR831" s="136"/>
      <c r="AS831" s="136"/>
      <c r="AT831" s="136"/>
      <c r="AU831" s="136"/>
      <c r="AV831" s="136"/>
      <c r="AW831" s="136"/>
      <c r="AX831" s="136"/>
      <c r="AY831" s="136"/>
      <c r="AZ831" s="136"/>
      <c r="BA831" s="136"/>
      <c r="BB831" s="136"/>
      <c r="BC831" s="136"/>
      <c r="BD831" s="136"/>
      <c r="BE831" s="136"/>
      <c r="BF831" s="136"/>
      <c r="BG831" s="136"/>
      <c r="BH831" s="136"/>
      <c r="BI831" s="136"/>
      <c r="BJ831" s="136"/>
      <c r="BK831" s="136"/>
      <c r="BL831" s="136"/>
      <c r="BM831" s="136"/>
      <c r="BN831" s="136"/>
    </row>
    <row r="832" spans="1:66" ht="15.75" customHeight="1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  <c r="AW832" s="136"/>
      <c r="AX832" s="136"/>
      <c r="AY832" s="136"/>
      <c r="AZ832" s="136"/>
      <c r="BA832" s="136"/>
      <c r="BB832" s="136"/>
      <c r="BC832" s="136"/>
      <c r="BD832" s="136"/>
      <c r="BE832" s="136"/>
      <c r="BF832" s="136"/>
      <c r="BG832" s="136"/>
      <c r="BH832" s="136"/>
      <c r="BI832" s="136"/>
      <c r="BJ832" s="136"/>
      <c r="BK832" s="136"/>
      <c r="BL832" s="136"/>
      <c r="BM832" s="136"/>
      <c r="BN832" s="136"/>
    </row>
    <row r="833" spans="1:66" ht="15.75" customHeight="1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136"/>
      <c r="AS833" s="136"/>
      <c r="AT833" s="136"/>
      <c r="AU833" s="136"/>
      <c r="AV833" s="136"/>
      <c r="AW833" s="136"/>
      <c r="AX833" s="136"/>
      <c r="AY833" s="136"/>
      <c r="AZ833" s="136"/>
      <c r="BA833" s="136"/>
      <c r="BB833" s="136"/>
      <c r="BC833" s="136"/>
      <c r="BD833" s="136"/>
      <c r="BE833" s="136"/>
      <c r="BF833" s="136"/>
      <c r="BG833" s="136"/>
      <c r="BH833" s="136"/>
      <c r="BI833" s="136"/>
      <c r="BJ833" s="136"/>
      <c r="BK833" s="136"/>
      <c r="BL833" s="136"/>
      <c r="BM833" s="136"/>
      <c r="BN833" s="136"/>
    </row>
    <row r="834" spans="1:66" ht="15.75" customHeight="1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136"/>
      <c r="AQ834" s="136"/>
      <c r="AR834" s="136"/>
      <c r="AS834" s="136"/>
      <c r="AT834" s="136"/>
      <c r="AU834" s="136"/>
      <c r="AV834" s="136"/>
      <c r="AW834" s="136"/>
      <c r="AX834" s="136"/>
      <c r="AY834" s="136"/>
      <c r="AZ834" s="136"/>
      <c r="BA834" s="136"/>
      <c r="BB834" s="136"/>
      <c r="BC834" s="136"/>
      <c r="BD834" s="136"/>
      <c r="BE834" s="136"/>
      <c r="BF834" s="136"/>
      <c r="BG834" s="136"/>
      <c r="BH834" s="136"/>
      <c r="BI834" s="136"/>
      <c r="BJ834" s="136"/>
      <c r="BK834" s="136"/>
      <c r="BL834" s="136"/>
      <c r="BM834" s="136"/>
      <c r="BN834" s="136"/>
    </row>
    <row r="835" spans="1:66" ht="15.75" customHeight="1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  <c r="AT835" s="136"/>
      <c r="AU835" s="136"/>
      <c r="AV835" s="136"/>
      <c r="AW835" s="136"/>
      <c r="AX835" s="136"/>
      <c r="AY835" s="136"/>
      <c r="AZ835" s="136"/>
      <c r="BA835" s="136"/>
      <c r="BB835" s="136"/>
      <c r="BC835" s="136"/>
      <c r="BD835" s="136"/>
      <c r="BE835" s="136"/>
      <c r="BF835" s="136"/>
      <c r="BG835" s="136"/>
      <c r="BH835" s="136"/>
      <c r="BI835" s="136"/>
      <c r="BJ835" s="136"/>
      <c r="BK835" s="136"/>
      <c r="BL835" s="136"/>
      <c r="BM835" s="136"/>
      <c r="BN835" s="136"/>
    </row>
    <row r="836" spans="1:66" ht="15.75" customHeight="1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  <c r="BE836" s="136"/>
      <c r="BF836" s="136"/>
      <c r="BG836" s="136"/>
      <c r="BH836" s="136"/>
      <c r="BI836" s="136"/>
      <c r="BJ836" s="136"/>
      <c r="BK836" s="136"/>
      <c r="BL836" s="136"/>
      <c r="BM836" s="136"/>
      <c r="BN836" s="136"/>
    </row>
    <row r="837" spans="1:66" ht="15.75" customHeight="1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136"/>
      <c r="AS837" s="136"/>
      <c r="AT837" s="136"/>
      <c r="AU837" s="136"/>
      <c r="AV837" s="136"/>
      <c r="AW837" s="136"/>
      <c r="AX837" s="136"/>
      <c r="AY837" s="136"/>
      <c r="AZ837" s="136"/>
      <c r="BA837" s="136"/>
      <c r="BB837" s="136"/>
      <c r="BC837" s="136"/>
      <c r="BD837" s="136"/>
      <c r="BE837" s="136"/>
      <c r="BF837" s="136"/>
      <c r="BG837" s="136"/>
      <c r="BH837" s="136"/>
      <c r="BI837" s="136"/>
      <c r="BJ837" s="136"/>
      <c r="BK837" s="136"/>
      <c r="BL837" s="136"/>
      <c r="BM837" s="136"/>
      <c r="BN837" s="136"/>
    </row>
    <row r="838" spans="1:66" ht="15.75" customHeight="1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136"/>
      <c r="AS838" s="136"/>
      <c r="AT838" s="136"/>
      <c r="AU838" s="136"/>
      <c r="AV838" s="136"/>
      <c r="AW838" s="136"/>
      <c r="AX838" s="136"/>
      <c r="AY838" s="136"/>
      <c r="AZ838" s="136"/>
      <c r="BA838" s="136"/>
      <c r="BB838" s="136"/>
      <c r="BC838" s="136"/>
      <c r="BD838" s="136"/>
      <c r="BE838" s="136"/>
      <c r="BF838" s="136"/>
      <c r="BG838" s="136"/>
      <c r="BH838" s="136"/>
      <c r="BI838" s="136"/>
      <c r="BJ838" s="136"/>
      <c r="BK838" s="136"/>
      <c r="BL838" s="136"/>
      <c r="BM838" s="136"/>
      <c r="BN838" s="136"/>
    </row>
    <row r="839" spans="1:66" ht="15.75" customHeight="1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  <c r="AW839" s="136"/>
      <c r="AX839" s="136"/>
      <c r="AY839" s="136"/>
      <c r="AZ839" s="136"/>
      <c r="BA839" s="136"/>
      <c r="BB839" s="136"/>
      <c r="BC839" s="136"/>
      <c r="BD839" s="136"/>
      <c r="BE839" s="136"/>
      <c r="BF839" s="136"/>
      <c r="BG839" s="136"/>
      <c r="BH839" s="136"/>
      <c r="BI839" s="136"/>
      <c r="BJ839" s="136"/>
      <c r="BK839" s="136"/>
      <c r="BL839" s="136"/>
      <c r="BM839" s="136"/>
      <c r="BN839" s="136"/>
    </row>
    <row r="840" spans="1:66" ht="15.75" customHeight="1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136"/>
      <c r="AQ840" s="136"/>
      <c r="AR840" s="136"/>
      <c r="AS840" s="136"/>
      <c r="AT840" s="136"/>
      <c r="AU840" s="136"/>
      <c r="AV840" s="136"/>
      <c r="AW840" s="136"/>
      <c r="AX840" s="136"/>
      <c r="AY840" s="136"/>
      <c r="AZ840" s="136"/>
      <c r="BA840" s="136"/>
      <c r="BB840" s="136"/>
      <c r="BC840" s="136"/>
      <c r="BD840" s="136"/>
      <c r="BE840" s="136"/>
      <c r="BF840" s="136"/>
      <c r="BG840" s="136"/>
      <c r="BH840" s="136"/>
      <c r="BI840" s="136"/>
      <c r="BJ840" s="136"/>
      <c r="BK840" s="136"/>
      <c r="BL840" s="136"/>
      <c r="BM840" s="136"/>
      <c r="BN840" s="136"/>
    </row>
    <row r="841" spans="1:66" ht="15.75" customHeight="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  <c r="AW841" s="136"/>
      <c r="AX841" s="136"/>
      <c r="AY841" s="136"/>
      <c r="AZ841" s="136"/>
      <c r="BA841" s="136"/>
      <c r="BB841" s="136"/>
      <c r="BC841" s="136"/>
      <c r="BD841" s="136"/>
      <c r="BE841" s="136"/>
      <c r="BF841" s="136"/>
      <c r="BG841" s="136"/>
      <c r="BH841" s="136"/>
      <c r="BI841" s="136"/>
      <c r="BJ841" s="136"/>
      <c r="BK841" s="136"/>
      <c r="BL841" s="136"/>
      <c r="BM841" s="136"/>
      <c r="BN841" s="136"/>
    </row>
    <row r="842" spans="1:66" ht="15.75" customHeight="1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136"/>
      <c r="AS842" s="136"/>
      <c r="AT842" s="136"/>
      <c r="AU842" s="136"/>
      <c r="AV842" s="136"/>
      <c r="AW842" s="136"/>
      <c r="AX842" s="136"/>
      <c r="AY842" s="136"/>
      <c r="AZ842" s="136"/>
      <c r="BA842" s="136"/>
      <c r="BB842" s="136"/>
      <c r="BC842" s="136"/>
      <c r="BD842" s="136"/>
      <c r="BE842" s="136"/>
      <c r="BF842" s="136"/>
      <c r="BG842" s="136"/>
      <c r="BH842" s="136"/>
      <c r="BI842" s="136"/>
      <c r="BJ842" s="136"/>
      <c r="BK842" s="136"/>
      <c r="BL842" s="136"/>
      <c r="BM842" s="136"/>
      <c r="BN842" s="136"/>
    </row>
    <row r="843" spans="1:66" ht="15.75" customHeight="1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136"/>
      <c r="AQ843" s="136"/>
      <c r="AR843" s="136"/>
      <c r="AS843" s="136"/>
      <c r="AT843" s="136"/>
      <c r="AU843" s="136"/>
      <c r="AV843" s="136"/>
      <c r="AW843" s="136"/>
      <c r="AX843" s="136"/>
      <c r="AY843" s="136"/>
      <c r="AZ843" s="136"/>
      <c r="BA843" s="136"/>
      <c r="BB843" s="136"/>
      <c r="BC843" s="136"/>
      <c r="BD843" s="136"/>
      <c r="BE843" s="136"/>
      <c r="BF843" s="136"/>
      <c r="BG843" s="136"/>
      <c r="BH843" s="136"/>
      <c r="BI843" s="136"/>
      <c r="BJ843" s="136"/>
      <c r="BK843" s="136"/>
      <c r="BL843" s="136"/>
      <c r="BM843" s="136"/>
      <c r="BN843" s="136"/>
    </row>
    <row r="844" spans="1:66" ht="15.75" customHeight="1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  <c r="AT844" s="136"/>
      <c r="AU844" s="136"/>
      <c r="AV844" s="136"/>
      <c r="AW844" s="136"/>
      <c r="AX844" s="136"/>
      <c r="AY844" s="136"/>
      <c r="AZ844" s="136"/>
      <c r="BA844" s="136"/>
      <c r="BB844" s="136"/>
      <c r="BC844" s="136"/>
      <c r="BD844" s="136"/>
      <c r="BE844" s="136"/>
      <c r="BF844" s="136"/>
      <c r="BG844" s="136"/>
      <c r="BH844" s="136"/>
      <c r="BI844" s="136"/>
      <c r="BJ844" s="136"/>
      <c r="BK844" s="136"/>
      <c r="BL844" s="136"/>
      <c r="BM844" s="136"/>
      <c r="BN844" s="136"/>
    </row>
    <row r="845" spans="1:66" ht="15.75" customHeight="1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136"/>
      <c r="AS845" s="136"/>
      <c r="AT845" s="136"/>
      <c r="AU845" s="136"/>
      <c r="AV845" s="136"/>
      <c r="AW845" s="136"/>
      <c r="AX845" s="136"/>
      <c r="AY845" s="136"/>
      <c r="AZ845" s="136"/>
      <c r="BA845" s="136"/>
      <c r="BB845" s="136"/>
      <c r="BC845" s="136"/>
      <c r="BD845" s="136"/>
      <c r="BE845" s="136"/>
      <c r="BF845" s="136"/>
      <c r="BG845" s="136"/>
      <c r="BH845" s="136"/>
      <c r="BI845" s="136"/>
      <c r="BJ845" s="136"/>
      <c r="BK845" s="136"/>
      <c r="BL845" s="136"/>
      <c r="BM845" s="136"/>
      <c r="BN845" s="136"/>
    </row>
    <row r="846" spans="1:66" ht="15.75" customHeight="1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136"/>
      <c r="AQ846" s="136"/>
      <c r="AR846" s="136"/>
      <c r="AS846" s="136"/>
      <c r="AT846" s="136"/>
      <c r="AU846" s="136"/>
      <c r="AV846" s="136"/>
      <c r="AW846" s="136"/>
      <c r="AX846" s="136"/>
      <c r="AY846" s="136"/>
      <c r="AZ846" s="136"/>
      <c r="BA846" s="136"/>
      <c r="BB846" s="136"/>
      <c r="BC846" s="136"/>
      <c r="BD846" s="136"/>
      <c r="BE846" s="136"/>
      <c r="BF846" s="136"/>
      <c r="BG846" s="136"/>
      <c r="BH846" s="136"/>
      <c r="BI846" s="136"/>
      <c r="BJ846" s="136"/>
      <c r="BK846" s="136"/>
      <c r="BL846" s="136"/>
      <c r="BM846" s="136"/>
      <c r="BN846" s="136"/>
    </row>
    <row r="847" spans="1:66" ht="15.75" customHeight="1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  <c r="AW847" s="136"/>
      <c r="AX847" s="136"/>
      <c r="AY847" s="136"/>
      <c r="AZ847" s="136"/>
      <c r="BA847" s="136"/>
      <c r="BB847" s="136"/>
      <c r="BC847" s="136"/>
      <c r="BD847" s="136"/>
      <c r="BE847" s="136"/>
      <c r="BF847" s="136"/>
      <c r="BG847" s="136"/>
      <c r="BH847" s="136"/>
      <c r="BI847" s="136"/>
      <c r="BJ847" s="136"/>
      <c r="BK847" s="136"/>
      <c r="BL847" s="136"/>
      <c r="BM847" s="136"/>
      <c r="BN847" s="136"/>
    </row>
    <row r="848" spans="1:66" ht="15.75" customHeight="1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136"/>
      <c r="AT848" s="136"/>
      <c r="AU848" s="136"/>
      <c r="AV848" s="136"/>
      <c r="AW848" s="136"/>
      <c r="AX848" s="136"/>
      <c r="AY848" s="136"/>
      <c r="AZ848" s="136"/>
      <c r="BA848" s="136"/>
      <c r="BB848" s="136"/>
      <c r="BC848" s="136"/>
      <c r="BD848" s="136"/>
      <c r="BE848" s="136"/>
      <c r="BF848" s="136"/>
      <c r="BG848" s="136"/>
      <c r="BH848" s="136"/>
      <c r="BI848" s="136"/>
      <c r="BJ848" s="136"/>
      <c r="BK848" s="136"/>
      <c r="BL848" s="136"/>
      <c r="BM848" s="136"/>
      <c r="BN848" s="136"/>
    </row>
    <row r="849" spans="1:66" ht="15.75" customHeight="1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136"/>
      <c r="AS849" s="136"/>
      <c r="AT849" s="136"/>
      <c r="AU849" s="136"/>
      <c r="AV849" s="136"/>
      <c r="AW849" s="136"/>
      <c r="AX849" s="136"/>
      <c r="AY849" s="136"/>
      <c r="AZ849" s="136"/>
      <c r="BA849" s="136"/>
      <c r="BB849" s="136"/>
      <c r="BC849" s="136"/>
      <c r="BD849" s="136"/>
      <c r="BE849" s="136"/>
      <c r="BF849" s="136"/>
      <c r="BG849" s="136"/>
      <c r="BH849" s="136"/>
      <c r="BI849" s="136"/>
      <c r="BJ849" s="136"/>
      <c r="BK849" s="136"/>
      <c r="BL849" s="136"/>
      <c r="BM849" s="136"/>
      <c r="BN849" s="136"/>
    </row>
    <row r="850" spans="1:66" ht="15.75" customHeight="1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136"/>
      <c r="AS850" s="136"/>
      <c r="AT850" s="136"/>
      <c r="AU850" s="136"/>
      <c r="AV850" s="136"/>
      <c r="AW850" s="136"/>
      <c r="AX850" s="136"/>
      <c r="AY850" s="136"/>
      <c r="AZ850" s="136"/>
      <c r="BA850" s="136"/>
      <c r="BB850" s="136"/>
      <c r="BC850" s="136"/>
      <c r="BD850" s="136"/>
      <c r="BE850" s="136"/>
      <c r="BF850" s="136"/>
      <c r="BG850" s="136"/>
      <c r="BH850" s="136"/>
      <c r="BI850" s="136"/>
      <c r="BJ850" s="136"/>
      <c r="BK850" s="136"/>
      <c r="BL850" s="136"/>
      <c r="BM850" s="136"/>
      <c r="BN850" s="136"/>
    </row>
    <row r="851" spans="1:66" ht="15.75" customHeight="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  <c r="AW851" s="136"/>
      <c r="AX851" s="136"/>
      <c r="AY851" s="136"/>
      <c r="AZ851" s="136"/>
      <c r="BA851" s="136"/>
      <c r="BB851" s="136"/>
      <c r="BC851" s="136"/>
      <c r="BD851" s="136"/>
      <c r="BE851" s="136"/>
      <c r="BF851" s="136"/>
      <c r="BG851" s="136"/>
      <c r="BH851" s="136"/>
      <c r="BI851" s="136"/>
      <c r="BJ851" s="136"/>
      <c r="BK851" s="136"/>
      <c r="BL851" s="136"/>
      <c r="BM851" s="136"/>
      <c r="BN851" s="136"/>
    </row>
    <row r="852" spans="1:66" ht="15.75" customHeight="1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136"/>
      <c r="AQ852" s="136"/>
      <c r="AR852" s="136"/>
      <c r="AS852" s="136"/>
      <c r="AT852" s="136"/>
      <c r="AU852" s="136"/>
      <c r="AV852" s="136"/>
      <c r="AW852" s="136"/>
      <c r="AX852" s="136"/>
      <c r="AY852" s="136"/>
      <c r="AZ852" s="136"/>
      <c r="BA852" s="136"/>
      <c r="BB852" s="136"/>
      <c r="BC852" s="136"/>
      <c r="BD852" s="136"/>
      <c r="BE852" s="136"/>
      <c r="BF852" s="136"/>
      <c r="BG852" s="136"/>
      <c r="BH852" s="136"/>
      <c r="BI852" s="136"/>
      <c r="BJ852" s="136"/>
      <c r="BK852" s="136"/>
      <c r="BL852" s="136"/>
      <c r="BM852" s="136"/>
      <c r="BN852" s="136"/>
    </row>
    <row r="853" spans="1:66" ht="15.75" customHeight="1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136"/>
      <c r="AS853" s="136"/>
      <c r="AT853" s="136"/>
      <c r="AU853" s="136"/>
      <c r="AV853" s="136"/>
      <c r="AW853" s="136"/>
      <c r="AX853" s="136"/>
      <c r="AY853" s="136"/>
      <c r="AZ853" s="136"/>
      <c r="BA853" s="136"/>
      <c r="BB853" s="136"/>
      <c r="BC853" s="136"/>
      <c r="BD853" s="136"/>
      <c r="BE853" s="136"/>
      <c r="BF853" s="136"/>
      <c r="BG853" s="136"/>
      <c r="BH853" s="136"/>
      <c r="BI853" s="136"/>
      <c r="BJ853" s="136"/>
      <c r="BK853" s="136"/>
      <c r="BL853" s="136"/>
      <c r="BM853" s="136"/>
      <c r="BN853" s="136"/>
    </row>
    <row r="854" spans="1:66" ht="15.75" customHeight="1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136"/>
      <c r="AS854" s="136"/>
      <c r="AT854" s="136"/>
      <c r="AU854" s="136"/>
      <c r="AV854" s="136"/>
      <c r="AW854" s="136"/>
      <c r="AX854" s="136"/>
      <c r="AY854" s="136"/>
      <c r="AZ854" s="136"/>
      <c r="BA854" s="136"/>
      <c r="BB854" s="136"/>
      <c r="BC854" s="136"/>
      <c r="BD854" s="136"/>
      <c r="BE854" s="136"/>
      <c r="BF854" s="136"/>
      <c r="BG854" s="136"/>
      <c r="BH854" s="136"/>
      <c r="BI854" s="136"/>
      <c r="BJ854" s="136"/>
      <c r="BK854" s="136"/>
      <c r="BL854" s="136"/>
      <c r="BM854" s="136"/>
      <c r="BN854" s="136"/>
    </row>
    <row r="855" spans="1:66" ht="15.75" customHeight="1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136"/>
      <c r="AQ855" s="136"/>
      <c r="AR855" s="136"/>
      <c r="AS855" s="136"/>
      <c r="AT855" s="136"/>
      <c r="AU855" s="136"/>
      <c r="AV855" s="136"/>
      <c r="AW855" s="136"/>
      <c r="AX855" s="136"/>
      <c r="AY855" s="136"/>
      <c r="AZ855" s="136"/>
      <c r="BA855" s="136"/>
      <c r="BB855" s="136"/>
      <c r="BC855" s="136"/>
      <c r="BD855" s="136"/>
      <c r="BE855" s="136"/>
      <c r="BF855" s="136"/>
      <c r="BG855" s="136"/>
      <c r="BH855" s="136"/>
      <c r="BI855" s="136"/>
      <c r="BJ855" s="136"/>
      <c r="BK855" s="136"/>
      <c r="BL855" s="136"/>
      <c r="BM855" s="136"/>
      <c r="BN855" s="136"/>
    </row>
    <row r="856" spans="1:66" ht="15.75" customHeight="1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  <c r="AW856" s="136"/>
      <c r="AX856" s="136"/>
      <c r="AY856" s="136"/>
      <c r="AZ856" s="136"/>
      <c r="BA856" s="136"/>
      <c r="BB856" s="136"/>
      <c r="BC856" s="136"/>
      <c r="BD856" s="136"/>
      <c r="BE856" s="136"/>
      <c r="BF856" s="136"/>
      <c r="BG856" s="136"/>
      <c r="BH856" s="136"/>
      <c r="BI856" s="136"/>
      <c r="BJ856" s="136"/>
      <c r="BK856" s="136"/>
      <c r="BL856" s="136"/>
      <c r="BM856" s="136"/>
      <c r="BN856" s="136"/>
    </row>
    <row r="857" spans="1:66" ht="15.75" customHeight="1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  <c r="AT857" s="136"/>
      <c r="AU857" s="136"/>
      <c r="AV857" s="136"/>
      <c r="AW857" s="136"/>
      <c r="AX857" s="136"/>
      <c r="AY857" s="136"/>
      <c r="AZ857" s="136"/>
      <c r="BA857" s="136"/>
      <c r="BB857" s="136"/>
      <c r="BC857" s="136"/>
      <c r="BD857" s="136"/>
      <c r="BE857" s="136"/>
      <c r="BF857" s="136"/>
      <c r="BG857" s="136"/>
      <c r="BH857" s="136"/>
      <c r="BI857" s="136"/>
      <c r="BJ857" s="136"/>
      <c r="BK857" s="136"/>
      <c r="BL857" s="136"/>
      <c r="BM857" s="136"/>
      <c r="BN857" s="136"/>
    </row>
    <row r="858" spans="1:66" ht="15.75" customHeight="1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136"/>
      <c r="AS858" s="136"/>
      <c r="AT858" s="136"/>
      <c r="AU858" s="136"/>
      <c r="AV858" s="136"/>
      <c r="AW858" s="136"/>
      <c r="AX858" s="136"/>
      <c r="AY858" s="136"/>
      <c r="AZ858" s="136"/>
      <c r="BA858" s="136"/>
      <c r="BB858" s="136"/>
      <c r="BC858" s="136"/>
      <c r="BD858" s="136"/>
      <c r="BE858" s="136"/>
      <c r="BF858" s="136"/>
      <c r="BG858" s="136"/>
      <c r="BH858" s="136"/>
      <c r="BI858" s="136"/>
      <c r="BJ858" s="136"/>
      <c r="BK858" s="136"/>
      <c r="BL858" s="136"/>
      <c r="BM858" s="136"/>
      <c r="BN858" s="136"/>
    </row>
    <row r="859" spans="1:66" ht="15.75" customHeight="1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136"/>
      <c r="AS859" s="136"/>
      <c r="AT859" s="136"/>
      <c r="AU859" s="136"/>
      <c r="AV859" s="136"/>
      <c r="AW859" s="136"/>
      <c r="AX859" s="136"/>
      <c r="AY859" s="136"/>
      <c r="AZ859" s="136"/>
      <c r="BA859" s="136"/>
      <c r="BB859" s="136"/>
      <c r="BC859" s="136"/>
      <c r="BD859" s="136"/>
      <c r="BE859" s="136"/>
      <c r="BF859" s="136"/>
      <c r="BG859" s="136"/>
      <c r="BH859" s="136"/>
      <c r="BI859" s="136"/>
      <c r="BJ859" s="136"/>
      <c r="BK859" s="136"/>
      <c r="BL859" s="136"/>
      <c r="BM859" s="136"/>
      <c r="BN859" s="136"/>
    </row>
    <row r="860" spans="1:66" ht="15.75" customHeight="1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  <c r="AT860" s="136"/>
      <c r="AU860" s="136"/>
      <c r="AV860" s="136"/>
      <c r="AW860" s="136"/>
      <c r="AX860" s="136"/>
      <c r="AY860" s="136"/>
      <c r="AZ860" s="136"/>
      <c r="BA860" s="136"/>
      <c r="BB860" s="136"/>
      <c r="BC860" s="136"/>
      <c r="BD860" s="136"/>
      <c r="BE860" s="136"/>
      <c r="BF860" s="136"/>
      <c r="BG860" s="136"/>
      <c r="BH860" s="136"/>
      <c r="BI860" s="136"/>
      <c r="BJ860" s="136"/>
      <c r="BK860" s="136"/>
      <c r="BL860" s="136"/>
      <c r="BM860" s="136"/>
      <c r="BN860" s="136"/>
    </row>
    <row r="861" spans="1:66" ht="15.75" customHeight="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136"/>
      <c r="AQ861" s="136"/>
      <c r="AR861" s="136"/>
      <c r="AS861" s="136"/>
      <c r="AT861" s="136"/>
      <c r="AU861" s="136"/>
      <c r="AV861" s="136"/>
      <c r="AW861" s="136"/>
      <c r="AX861" s="136"/>
      <c r="AY861" s="136"/>
      <c r="AZ861" s="136"/>
      <c r="BA861" s="136"/>
      <c r="BB861" s="136"/>
      <c r="BC861" s="136"/>
      <c r="BD861" s="136"/>
      <c r="BE861" s="136"/>
      <c r="BF861" s="136"/>
      <c r="BG861" s="136"/>
      <c r="BH861" s="136"/>
      <c r="BI861" s="136"/>
      <c r="BJ861" s="136"/>
      <c r="BK861" s="136"/>
      <c r="BL861" s="136"/>
      <c r="BM861" s="136"/>
      <c r="BN861" s="136"/>
    </row>
    <row r="862" spans="1:66" ht="15.75" customHeight="1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136"/>
      <c r="AS862" s="136"/>
      <c r="AT862" s="136"/>
      <c r="AU862" s="136"/>
      <c r="AV862" s="136"/>
      <c r="AW862" s="136"/>
      <c r="AX862" s="136"/>
      <c r="AY862" s="136"/>
      <c r="AZ862" s="136"/>
      <c r="BA862" s="136"/>
      <c r="BB862" s="136"/>
      <c r="BC862" s="136"/>
      <c r="BD862" s="136"/>
      <c r="BE862" s="136"/>
      <c r="BF862" s="136"/>
      <c r="BG862" s="136"/>
      <c r="BH862" s="136"/>
      <c r="BI862" s="136"/>
      <c r="BJ862" s="136"/>
      <c r="BK862" s="136"/>
      <c r="BL862" s="136"/>
      <c r="BM862" s="136"/>
      <c r="BN862" s="136"/>
    </row>
    <row r="863" spans="1:66" ht="15.75" customHeight="1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  <c r="AW863" s="136"/>
      <c r="AX863" s="136"/>
      <c r="AY863" s="136"/>
      <c r="AZ863" s="136"/>
      <c r="BA863" s="136"/>
      <c r="BB863" s="136"/>
      <c r="BC863" s="136"/>
      <c r="BD863" s="136"/>
      <c r="BE863" s="136"/>
      <c r="BF863" s="136"/>
      <c r="BG863" s="136"/>
      <c r="BH863" s="136"/>
      <c r="BI863" s="136"/>
      <c r="BJ863" s="136"/>
      <c r="BK863" s="136"/>
      <c r="BL863" s="136"/>
      <c r="BM863" s="136"/>
      <c r="BN863" s="136"/>
    </row>
    <row r="864" spans="1:66" ht="15.75" customHeight="1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136"/>
      <c r="AQ864" s="136"/>
      <c r="AR864" s="136"/>
      <c r="AS864" s="136"/>
      <c r="AT864" s="136"/>
      <c r="AU864" s="136"/>
      <c r="AV864" s="136"/>
      <c r="AW864" s="136"/>
      <c r="AX864" s="136"/>
      <c r="AY864" s="136"/>
      <c r="AZ864" s="136"/>
      <c r="BA864" s="136"/>
      <c r="BB864" s="136"/>
      <c r="BC864" s="136"/>
      <c r="BD864" s="136"/>
      <c r="BE864" s="136"/>
      <c r="BF864" s="136"/>
      <c r="BG864" s="136"/>
      <c r="BH864" s="136"/>
      <c r="BI864" s="136"/>
      <c r="BJ864" s="136"/>
      <c r="BK864" s="136"/>
      <c r="BL864" s="136"/>
      <c r="BM864" s="136"/>
      <c r="BN864" s="136"/>
    </row>
    <row r="865" spans="1:66" ht="15.75" customHeight="1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  <c r="AW865" s="136"/>
      <c r="AX865" s="136"/>
      <c r="AY865" s="136"/>
      <c r="AZ865" s="136"/>
      <c r="BA865" s="136"/>
      <c r="BB865" s="136"/>
      <c r="BC865" s="136"/>
      <c r="BD865" s="136"/>
      <c r="BE865" s="136"/>
      <c r="BF865" s="136"/>
      <c r="BG865" s="136"/>
      <c r="BH865" s="136"/>
      <c r="BI865" s="136"/>
      <c r="BJ865" s="136"/>
      <c r="BK865" s="136"/>
      <c r="BL865" s="136"/>
      <c r="BM865" s="136"/>
      <c r="BN865" s="136"/>
    </row>
    <row r="866" spans="1:66" ht="15.75" customHeight="1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136"/>
      <c r="AS866" s="136"/>
      <c r="AT866" s="136"/>
      <c r="AU866" s="136"/>
      <c r="AV866" s="136"/>
      <c r="AW866" s="136"/>
      <c r="AX866" s="136"/>
      <c r="AY866" s="136"/>
      <c r="AZ866" s="136"/>
      <c r="BA866" s="136"/>
      <c r="BB866" s="136"/>
      <c r="BC866" s="136"/>
      <c r="BD866" s="136"/>
      <c r="BE866" s="136"/>
      <c r="BF866" s="136"/>
      <c r="BG866" s="136"/>
      <c r="BH866" s="136"/>
      <c r="BI866" s="136"/>
      <c r="BJ866" s="136"/>
      <c r="BK866" s="136"/>
      <c r="BL866" s="136"/>
      <c r="BM866" s="136"/>
      <c r="BN866" s="136"/>
    </row>
    <row r="867" spans="1:66" ht="15.75" customHeight="1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136"/>
      <c r="AQ867" s="136"/>
      <c r="AR867" s="136"/>
      <c r="AS867" s="136"/>
      <c r="AT867" s="136"/>
      <c r="AU867" s="136"/>
      <c r="AV867" s="136"/>
      <c r="AW867" s="136"/>
      <c r="AX867" s="136"/>
      <c r="AY867" s="136"/>
      <c r="AZ867" s="136"/>
      <c r="BA867" s="136"/>
      <c r="BB867" s="136"/>
      <c r="BC867" s="136"/>
      <c r="BD867" s="136"/>
      <c r="BE867" s="136"/>
      <c r="BF867" s="136"/>
      <c r="BG867" s="136"/>
      <c r="BH867" s="136"/>
      <c r="BI867" s="136"/>
      <c r="BJ867" s="136"/>
      <c r="BK867" s="136"/>
      <c r="BL867" s="136"/>
      <c r="BM867" s="136"/>
      <c r="BN867" s="136"/>
    </row>
    <row r="868" spans="1:66" ht="15.75" customHeight="1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136"/>
      <c r="AS868" s="136"/>
      <c r="AT868" s="136"/>
      <c r="AU868" s="136"/>
      <c r="AV868" s="136"/>
      <c r="AW868" s="136"/>
      <c r="AX868" s="136"/>
      <c r="AY868" s="136"/>
      <c r="AZ868" s="136"/>
      <c r="BA868" s="136"/>
      <c r="BB868" s="136"/>
      <c r="BC868" s="136"/>
      <c r="BD868" s="136"/>
      <c r="BE868" s="136"/>
      <c r="BF868" s="136"/>
      <c r="BG868" s="136"/>
      <c r="BH868" s="136"/>
      <c r="BI868" s="136"/>
      <c r="BJ868" s="136"/>
      <c r="BK868" s="136"/>
      <c r="BL868" s="136"/>
      <c r="BM868" s="136"/>
      <c r="BN868" s="136"/>
    </row>
    <row r="869" spans="1:66" ht="15.75" customHeight="1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  <c r="BE869" s="136"/>
      <c r="BF869" s="136"/>
      <c r="BG869" s="136"/>
      <c r="BH869" s="136"/>
      <c r="BI869" s="136"/>
      <c r="BJ869" s="136"/>
      <c r="BK869" s="136"/>
      <c r="BL869" s="136"/>
      <c r="BM869" s="136"/>
      <c r="BN869" s="136"/>
    </row>
    <row r="870" spans="1:66" ht="15.75" customHeight="1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136"/>
      <c r="AS870" s="136"/>
      <c r="AT870" s="136"/>
      <c r="AU870" s="136"/>
      <c r="AV870" s="136"/>
      <c r="AW870" s="136"/>
      <c r="AX870" s="136"/>
      <c r="AY870" s="136"/>
      <c r="AZ870" s="136"/>
      <c r="BA870" s="136"/>
      <c r="BB870" s="136"/>
      <c r="BC870" s="136"/>
      <c r="BD870" s="136"/>
      <c r="BE870" s="136"/>
      <c r="BF870" s="136"/>
      <c r="BG870" s="136"/>
      <c r="BH870" s="136"/>
      <c r="BI870" s="136"/>
      <c r="BJ870" s="136"/>
      <c r="BK870" s="136"/>
      <c r="BL870" s="136"/>
      <c r="BM870" s="136"/>
      <c r="BN870" s="136"/>
    </row>
    <row r="871" spans="1:66" ht="15.75" customHeight="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  <c r="BE871" s="136"/>
      <c r="BF871" s="136"/>
      <c r="BG871" s="136"/>
      <c r="BH871" s="136"/>
      <c r="BI871" s="136"/>
      <c r="BJ871" s="136"/>
      <c r="BK871" s="136"/>
      <c r="BL871" s="136"/>
      <c r="BM871" s="136"/>
      <c r="BN871" s="136"/>
    </row>
    <row r="872" spans="1:66" ht="15.75" customHeight="1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  <c r="AW872" s="136"/>
      <c r="AX872" s="136"/>
      <c r="AY872" s="136"/>
      <c r="AZ872" s="136"/>
      <c r="BA872" s="136"/>
      <c r="BB872" s="136"/>
      <c r="BC872" s="136"/>
      <c r="BD872" s="136"/>
      <c r="BE872" s="136"/>
      <c r="BF872" s="136"/>
      <c r="BG872" s="136"/>
      <c r="BH872" s="136"/>
      <c r="BI872" s="136"/>
      <c r="BJ872" s="136"/>
      <c r="BK872" s="136"/>
      <c r="BL872" s="136"/>
      <c r="BM872" s="136"/>
      <c r="BN872" s="136"/>
    </row>
    <row r="873" spans="1:66" ht="15.75" customHeight="1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136"/>
      <c r="AQ873" s="136"/>
      <c r="AR873" s="136"/>
      <c r="AS873" s="136"/>
      <c r="AT873" s="136"/>
      <c r="AU873" s="136"/>
      <c r="AV873" s="136"/>
      <c r="AW873" s="136"/>
      <c r="AX873" s="136"/>
      <c r="AY873" s="136"/>
      <c r="AZ873" s="136"/>
      <c r="BA873" s="136"/>
      <c r="BB873" s="136"/>
      <c r="BC873" s="136"/>
      <c r="BD873" s="136"/>
      <c r="BE873" s="136"/>
      <c r="BF873" s="136"/>
      <c r="BG873" s="136"/>
      <c r="BH873" s="136"/>
      <c r="BI873" s="136"/>
      <c r="BJ873" s="136"/>
      <c r="BK873" s="136"/>
      <c r="BL873" s="136"/>
      <c r="BM873" s="136"/>
      <c r="BN873" s="136"/>
    </row>
    <row r="874" spans="1:66" ht="15.75" customHeight="1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136"/>
      <c r="AS874" s="136"/>
      <c r="AT874" s="136"/>
      <c r="AU874" s="136"/>
      <c r="AV874" s="136"/>
      <c r="AW874" s="136"/>
      <c r="AX874" s="136"/>
      <c r="AY874" s="136"/>
      <c r="AZ874" s="136"/>
      <c r="BA874" s="136"/>
      <c r="BB874" s="136"/>
      <c r="BC874" s="136"/>
      <c r="BD874" s="136"/>
      <c r="BE874" s="136"/>
      <c r="BF874" s="136"/>
      <c r="BG874" s="136"/>
      <c r="BH874" s="136"/>
      <c r="BI874" s="136"/>
      <c r="BJ874" s="136"/>
      <c r="BK874" s="136"/>
      <c r="BL874" s="136"/>
      <c r="BM874" s="136"/>
      <c r="BN874" s="136"/>
    </row>
    <row r="875" spans="1:66" ht="15.75" customHeight="1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  <c r="AW875" s="136"/>
      <c r="AX875" s="136"/>
      <c r="AY875" s="136"/>
      <c r="AZ875" s="136"/>
      <c r="BA875" s="136"/>
      <c r="BB875" s="136"/>
      <c r="BC875" s="136"/>
      <c r="BD875" s="136"/>
      <c r="BE875" s="136"/>
      <c r="BF875" s="136"/>
      <c r="BG875" s="136"/>
      <c r="BH875" s="136"/>
      <c r="BI875" s="136"/>
      <c r="BJ875" s="136"/>
      <c r="BK875" s="136"/>
      <c r="BL875" s="136"/>
      <c r="BM875" s="136"/>
      <c r="BN875" s="136"/>
    </row>
    <row r="876" spans="1:66" ht="15.75" customHeight="1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136"/>
      <c r="AS876" s="136"/>
      <c r="AT876" s="136"/>
      <c r="AU876" s="136"/>
      <c r="AV876" s="136"/>
      <c r="AW876" s="136"/>
      <c r="AX876" s="136"/>
      <c r="AY876" s="136"/>
      <c r="AZ876" s="136"/>
      <c r="BA876" s="136"/>
      <c r="BB876" s="136"/>
      <c r="BC876" s="136"/>
      <c r="BD876" s="136"/>
      <c r="BE876" s="136"/>
      <c r="BF876" s="136"/>
      <c r="BG876" s="136"/>
      <c r="BH876" s="136"/>
      <c r="BI876" s="136"/>
      <c r="BJ876" s="136"/>
      <c r="BK876" s="136"/>
      <c r="BL876" s="136"/>
      <c r="BM876" s="136"/>
      <c r="BN876" s="136"/>
    </row>
    <row r="877" spans="1:66" ht="15.75" customHeight="1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  <c r="AU877" s="136"/>
      <c r="AV877" s="136"/>
      <c r="AW877" s="136"/>
      <c r="AX877" s="136"/>
      <c r="AY877" s="136"/>
      <c r="AZ877" s="136"/>
      <c r="BA877" s="136"/>
      <c r="BB877" s="136"/>
      <c r="BC877" s="136"/>
      <c r="BD877" s="136"/>
      <c r="BE877" s="136"/>
      <c r="BF877" s="136"/>
      <c r="BG877" s="136"/>
      <c r="BH877" s="136"/>
      <c r="BI877" s="136"/>
      <c r="BJ877" s="136"/>
      <c r="BK877" s="136"/>
      <c r="BL877" s="136"/>
      <c r="BM877" s="136"/>
      <c r="BN877" s="136"/>
    </row>
    <row r="878" spans="1:66" ht="15.75" customHeight="1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  <c r="AT878" s="136"/>
      <c r="AU878" s="136"/>
      <c r="AV878" s="136"/>
      <c r="AW878" s="136"/>
      <c r="AX878" s="136"/>
      <c r="AY878" s="136"/>
      <c r="AZ878" s="136"/>
      <c r="BA878" s="136"/>
      <c r="BB878" s="136"/>
      <c r="BC878" s="136"/>
      <c r="BD878" s="136"/>
      <c r="BE878" s="136"/>
      <c r="BF878" s="136"/>
      <c r="BG878" s="136"/>
      <c r="BH878" s="136"/>
      <c r="BI878" s="136"/>
      <c r="BJ878" s="136"/>
      <c r="BK878" s="136"/>
      <c r="BL878" s="136"/>
      <c r="BM878" s="136"/>
      <c r="BN878" s="136"/>
    </row>
    <row r="879" spans="1:66" ht="15.75" customHeight="1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136"/>
      <c r="AQ879" s="136"/>
      <c r="AR879" s="136"/>
      <c r="AS879" s="136"/>
      <c r="AT879" s="136"/>
      <c r="AU879" s="136"/>
      <c r="AV879" s="136"/>
      <c r="AW879" s="136"/>
      <c r="AX879" s="136"/>
      <c r="AY879" s="136"/>
      <c r="AZ879" s="136"/>
      <c r="BA879" s="136"/>
      <c r="BB879" s="136"/>
      <c r="BC879" s="136"/>
      <c r="BD879" s="136"/>
      <c r="BE879" s="136"/>
      <c r="BF879" s="136"/>
      <c r="BG879" s="136"/>
      <c r="BH879" s="136"/>
      <c r="BI879" s="136"/>
      <c r="BJ879" s="136"/>
      <c r="BK879" s="136"/>
      <c r="BL879" s="136"/>
      <c r="BM879" s="136"/>
      <c r="BN879" s="136"/>
    </row>
    <row r="880" spans="1:66" ht="15.75" customHeight="1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  <c r="AW880" s="136"/>
      <c r="AX880" s="136"/>
      <c r="AY880" s="136"/>
      <c r="AZ880" s="136"/>
      <c r="BA880" s="136"/>
      <c r="BB880" s="136"/>
      <c r="BC880" s="136"/>
      <c r="BD880" s="136"/>
      <c r="BE880" s="136"/>
      <c r="BF880" s="136"/>
      <c r="BG880" s="136"/>
      <c r="BH880" s="136"/>
      <c r="BI880" s="136"/>
      <c r="BJ880" s="136"/>
      <c r="BK880" s="136"/>
      <c r="BL880" s="136"/>
      <c r="BM880" s="136"/>
      <c r="BN880" s="136"/>
    </row>
    <row r="881" spans="1:66" ht="15.75" customHeight="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136"/>
      <c r="AS881" s="136"/>
      <c r="AT881" s="136"/>
      <c r="AU881" s="136"/>
      <c r="AV881" s="136"/>
      <c r="AW881" s="136"/>
      <c r="AX881" s="136"/>
      <c r="AY881" s="136"/>
      <c r="AZ881" s="136"/>
      <c r="BA881" s="136"/>
      <c r="BB881" s="136"/>
      <c r="BC881" s="136"/>
      <c r="BD881" s="136"/>
      <c r="BE881" s="136"/>
      <c r="BF881" s="136"/>
      <c r="BG881" s="136"/>
      <c r="BH881" s="136"/>
      <c r="BI881" s="136"/>
      <c r="BJ881" s="136"/>
      <c r="BK881" s="136"/>
      <c r="BL881" s="136"/>
      <c r="BM881" s="136"/>
      <c r="BN881" s="136"/>
    </row>
    <row r="882" spans="1:66" ht="15.75" customHeight="1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136"/>
      <c r="AS882" s="136"/>
      <c r="AT882" s="136"/>
      <c r="AU882" s="136"/>
      <c r="AV882" s="136"/>
      <c r="AW882" s="136"/>
      <c r="AX882" s="136"/>
      <c r="AY882" s="136"/>
      <c r="AZ882" s="136"/>
      <c r="BA882" s="136"/>
      <c r="BB882" s="136"/>
      <c r="BC882" s="136"/>
      <c r="BD882" s="136"/>
      <c r="BE882" s="136"/>
      <c r="BF882" s="136"/>
      <c r="BG882" s="136"/>
      <c r="BH882" s="136"/>
      <c r="BI882" s="136"/>
      <c r="BJ882" s="136"/>
      <c r="BK882" s="136"/>
      <c r="BL882" s="136"/>
      <c r="BM882" s="136"/>
      <c r="BN882" s="136"/>
    </row>
    <row r="883" spans="1:66" ht="15.75" customHeight="1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136"/>
      <c r="AS883" s="136"/>
      <c r="AT883" s="136"/>
      <c r="AU883" s="136"/>
      <c r="AV883" s="136"/>
      <c r="AW883" s="136"/>
      <c r="AX883" s="136"/>
      <c r="AY883" s="136"/>
      <c r="AZ883" s="136"/>
      <c r="BA883" s="136"/>
      <c r="BB883" s="136"/>
      <c r="BC883" s="136"/>
      <c r="BD883" s="136"/>
      <c r="BE883" s="136"/>
      <c r="BF883" s="136"/>
      <c r="BG883" s="136"/>
      <c r="BH883" s="136"/>
      <c r="BI883" s="136"/>
      <c r="BJ883" s="136"/>
      <c r="BK883" s="136"/>
      <c r="BL883" s="136"/>
      <c r="BM883" s="136"/>
      <c r="BN883" s="136"/>
    </row>
    <row r="884" spans="1:66" ht="15.75" customHeight="1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136"/>
      <c r="AS884" s="136"/>
      <c r="AT884" s="136"/>
      <c r="AU884" s="136"/>
      <c r="AV884" s="136"/>
      <c r="AW884" s="136"/>
      <c r="AX884" s="136"/>
      <c r="AY884" s="136"/>
      <c r="AZ884" s="136"/>
      <c r="BA884" s="136"/>
      <c r="BB884" s="136"/>
      <c r="BC884" s="136"/>
      <c r="BD884" s="136"/>
      <c r="BE884" s="136"/>
      <c r="BF884" s="136"/>
      <c r="BG884" s="136"/>
      <c r="BH884" s="136"/>
      <c r="BI884" s="136"/>
      <c r="BJ884" s="136"/>
      <c r="BK884" s="136"/>
      <c r="BL884" s="136"/>
      <c r="BM884" s="136"/>
      <c r="BN884" s="136"/>
    </row>
    <row r="885" spans="1:66" ht="15.75" customHeight="1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136"/>
      <c r="AQ885" s="136"/>
      <c r="AR885" s="136"/>
      <c r="AS885" s="136"/>
      <c r="AT885" s="136"/>
      <c r="AU885" s="136"/>
      <c r="AV885" s="136"/>
      <c r="AW885" s="136"/>
      <c r="AX885" s="136"/>
      <c r="AY885" s="136"/>
      <c r="AZ885" s="136"/>
      <c r="BA885" s="136"/>
      <c r="BB885" s="136"/>
      <c r="BC885" s="136"/>
      <c r="BD885" s="136"/>
      <c r="BE885" s="136"/>
      <c r="BF885" s="136"/>
      <c r="BG885" s="136"/>
      <c r="BH885" s="136"/>
      <c r="BI885" s="136"/>
      <c r="BJ885" s="136"/>
      <c r="BK885" s="136"/>
      <c r="BL885" s="136"/>
      <c r="BM885" s="136"/>
      <c r="BN885" s="136"/>
    </row>
    <row r="886" spans="1:66" ht="15.75" customHeight="1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136"/>
      <c r="AS886" s="136"/>
      <c r="AT886" s="136"/>
      <c r="AU886" s="136"/>
      <c r="AV886" s="136"/>
      <c r="AW886" s="136"/>
      <c r="AX886" s="136"/>
      <c r="AY886" s="136"/>
      <c r="AZ886" s="136"/>
      <c r="BA886" s="136"/>
      <c r="BB886" s="136"/>
      <c r="BC886" s="136"/>
      <c r="BD886" s="136"/>
      <c r="BE886" s="136"/>
      <c r="BF886" s="136"/>
      <c r="BG886" s="136"/>
      <c r="BH886" s="136"/>
      <c r="BI886" s="136"/>
      <c r="BJ886" s="136"/>
      <c r="BK886" s="136"/>
      <c r="BL886" s="136"/>
      <c r="BM886" s="136"/>
      <c r="BN886" s="136"/>
    </row>
    <row r="887" spans="1:66" ht="15.75" customHeight="1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136"/>
      <c r="AS887" s="136"/>
      <c r="AT887" s="136"/>
      <c r="AU887" s="136"/>
      <c r="AV887" s="136"/>
      <c r="AW887" s="136"/>
      <c r="AX887" s="136"/>
      <c r="AY887" s="136"/>
      <c r="AZ887" s="136"/>
      <c r="BA887" s="136"/>
      <c r="BB887" s="136"/>
      <c r="BC887" s="136"/>
      <c r="BD887" s="136"/>
      <c r="BE887" s="136"/>
      <c r="BF887" s="136"/>
      <c r="BG887" s="136"/>
      <c r="BH887" s="136"/>
      <c r="BI887" s="136"/>
      <c r="BJ887" s="136"/>
      <c r="BK887" s="136"/>
      <c r="BL887" s="136"/>
      <c r="BM887" s="136"/>
      <c r="BN887" s="136"/>
    </row>
    <row r="888" spans="1:66" ht="15.75" customHeight="1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136"/>
      <c r="AQ888" s="136"/>
      <c r="AR888" s="136"/>
      <c r="AS888" s="136"/>
      <c r="AT888" s="136"/>
      <c r="AU888" s="136"/>
      <c r="AV888" s="136"/>
      <c r="AW888" s="136"/>
      <c r="AX888" s="136"/>
      <c r="AY888" s="136"/>
      <c r="AZ888" s="136"/>
      <c r="BA888" s="136"/>
      <c r="BB888" s="136"/>
      <c r="BC888" s="136"/>
      <c r="BD888" s="136"/>
      <c r="BE888" s="136"/>
      <c r="BF888" s="136"/>
      <c r="BG888" s="136"/>
      <c r="BH888" s="136"/>
      <c r="BI888" s="136"/>
      <c r="BJ888" s="136"/>
      <c r="BK888" s="136"/>
      <c r="BL888" s="136"/>
      <c r="BM888" s="136"/>
      <c r="BN888" s="136"/>
    </row>
    <row r="889" spans="1:66" ht="15.75" customHeight="1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136"/>
      <c r="AS889" s="136"/>
      <c r="AT889" s="136"/>
      <c r="AU889" s="136"/>
      <c r="AV889" s="136"/>
      <c r="AW889" s="136"/>
      <c r="AX889" s="136"/>
      <c r="AY889" s="136"/>
      <c r="AZ889" s="136"/>
      <c r="BA889" s="136"/>
      <c r="BB889" s="136"/>
      <c r="BC889" s="136"/>
      <c r="BD889" s="136"/>
      <c r="BE889" s="136"/>
      <c r="BF889" s="136"/>
      <c r="BG889" s="136"/>
      <c r="BH889" s="136"/>
      <c r="BI889" s="136"/>
      <c r="BJ889" s="136"/>
      <c r="BK889" s="136"/>
      <c r="BL889" s="136"/>
      <c r="BM889" s="136"/>
      <c r="BN889" s="136"/>
    </row>
    <row r="890" spans="1:66" ht="15.75" customHeight="1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136"/>
      <c r="AU890" s="136"/>
      <c r="AV890" s="136"/>
      <c r="AW890" s="136"/>
      <c r="AX890" s="136"/>
      <c r="AY890" s="136"/>
      <c r="AZ890" s="136"/>
      <c r="BA890" s="136"/>
      <c r="BB890" s="136"/>
      <c r="BC890" s="136"/>
      <c r="BD890" s="136"/>
      <c r="BE890" s="136"/>
      <c r="BF890" s="136"/>
      <c r="BG890" s="136"/>
      <c r="BH890" s="136"/>
      <c r="BI890" s="136"/>
      <c r="BJ890" s="136"/>
      <c r="BK890" s="136"/>
      <c r="BL890" s="136"/>
      <c r="BM890" s="136"/>
      <c r="BN890" s="136"/>
    </row>
    <row r="891" spans="1:66" ht="15.75" customHeight="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136"/>
      <c r="AQ891" s="136"/>
      <c r="AR891" s="136"/>
      <c r="AS891" s="136"/>
      <c r="AT891" s="136"/>
      <c r="AU891" s="136"/>
      <c r="AV891" s="136"/>
      <c r="AW891" s="136"/>
      <c r="AX891" s="136"/>
      <c r="AY891" s="136"/>
      <c r="AZ891" s="136"/>
      <c r="BA891" s="136"/>
      <c r="BB891" s="136"/>
      <c r="BC891" s="136"/>
      <c r="BD891" s="136"/>
      <c r="BE891" s="136"/>
      <c r="BF891" s="136"/>
      <c r="BG891" s="136"/>
      <c r="BH891" s="136"/>
      <c r="BI891" s="136"/>
      <c r="BJ891" s="136"/>
      <c r="BK891" s="136"/>
      <c r="BL891" s="136"/>
      <c r="BM891" s="136"/>
      <c r="BN891" s="136"/>
    </row>
    <row r="892" spans="1:66" ht="15.75" customHeight="1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  <c r="AX892" s="136"/>
      <c r="AY892" s="136"/>
      <c r="AZ892" s="136"/>
      <c r="BA892" s="136"/>
      <c r="BB892" s="136"/>
      <c r="BC892" s="136"/>
      <c r="BD892" s="136"/>
      <c r="BE892" s="136"/>
      <c r="BF892" s="136"/>
      <c r="BG892" s="136"/>
      <c r="BH892" s="136"/>
      <c r="BI892" s="136"/>
      <c r="BJ892" s="136"/>
      <c r="BK892" s="136"/>
      <c r="BL892" s="136"/>
      <c r="BM892" s="136"/>
      <c r="BN892" s="136"/>
    </row>
    <row r="893" spans="1:66" ht="15.75" customHeight="1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136"/>
      <c r="AS893" s="136"/>
      <c r="AT893" s="136"/>
      <c r="AU893" s="136"/>
      <c r="AV893" s="136"/>
      <c r="AW893" s="136"/>
      <c r="AX893" s="136"/>
      <c r="AY893" s="136"/>
      <c r="AZ893" s="136"/>
      <c r="BA893" s="136"/>
      <c r="BB893" s="136"/>
      <c r="BC893" s="136"/>
      <c r="BD893" s="136"/>
      <c r="BE893" s="136"/>
      <c r="BF893" s="136"/>
      <c r="BG893" s="136"/>
      <c r="BH893" s="136"/>
      <c r="BI893" s="136"/>
      <c r="BJ893" s="136"/>
      <c r="BK893" s="136"/>
      <c r="BL893" s="136"/>
      <c r="BM893" s="136"/>
      <c r="BN893" s="136"/>
    </row>
    <row r="894" spans="1:66" ht="15.75" customHeight="1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136"/>
      <c r="AS894" s="136"/>
      <c r="AT894" s="136"/>
      <c r="AU894" s="136"/>
      <c r="AV894" s="136"/>
      <c r="AW894" s="136"/>
      <c r="AX894" s="136"/>
      <c r="AY894" s="136"/>
      <c r="AZ894" s="136"/>
      <c r="BA894" s="136"/>
      <c r="BB894" s="136"/>
      <c r="BC894" s="136"/>
      <c r="BD894" s="136"/>
      <c r="BE894" s="136"/>
      <c r="BF894" s="136"/>
      <c r="BG894" s="136"/>
      <c r="BH894" s="136"/>
      <c r="BI894" s="136"/>
      <c r="BJ894" s="136"/>
      <c r="BK894" s="136"/>
      <c r="BL894" s="136"/>
      <c r="BM894" s="136"/>
      <c r="BN894" s="136"/>
    </row>
    <row r="895" spans="1:66" ht="15.75" customHeight="1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136"/>
      <c r="AS895" s="136"/>
      <c r="AT895" s="136"/>
      <c r="AU895" s="136"/>
      <c r="AV895" s="136"/>
      <c r="AW895" s="136"/>
      <c r="AX895" s="136"/>
      <c r="AY895" s="136"/>
      <c r="AZ895" s="136"/>
      <c r="BA895" s="136"/>
      <c r="BB895" s="136"/>
      <c r="BC895" s="136"/>
      <c r="BD895" s="136"/>
      <c r="BE895" s="136"/>
      <c r="BF895" s="136"/>
      <c r="BG895" s="136"/>
      <c r="BH895" s="136"/>
      <c r="BI895" s="136"/>
      <c r="BJ895" s="136"/>
      <c r="BK895" s="136"/>
      <c r="BL895" s="136"/>
      <c r="BM895" s="136"/>
      <c r="BN895" s="136"/>
    </row>
    <row r="896" spans="1:66" ht="15.75" customHeight="1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  <c r="AW896" s="136"/>
      <c r="AX896" s="136"/>
      <c r="AY896" s="136"/>
      <c r="AZ896" s="136"/>
      <c r="BA896" s="136"/>
      <c r="BB896" s="136"/>
      <c r="BC896" s="136"/>
      <c r="BD896" s="136"/>
      <c r="BE896" s="136"/>
      <c r="BF896" s="136"/>
      <c r="BG896" s="136"/>
      <c r="BH896" s="136"/>
      <c r="BI896" s="136"/>
      <c r="BJ896" s="136"/>
      <c r="BK896" s="136"/>
      <c r="BL896" s="136"/>
      <c r="BM896" s="136"/>
      <c r="BN896" s="136"/>
    </row>
    <row r="897" spans="1:66" ht="15.75" customHeight="1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136"/>
      <c r="AS897" s="136"/>
      <c r="AT897" s="136"/>
      <c r="AU897" s="136"/>
      <c r="AV897" s="136"/>
      <c r="AW897" s="136"/>
      <c r="AX897" s="136"/>
      <c r="AY897" s="136"/>
      <c r="AZ897" s="136"/>
      <c r="BA897" s="136"/>
      <c r="BB897" s="136"/>
      <c r="BC897" s="136"/>
      <c r="BD897" s="136"/>
      <c r="BE897" s="136"/>
      <c r="BF897" s="136"/>
      <c r="BG897" s="136"/>
      <c r="BH897" s="136"/>
      <c r="BI897" s="136"/>
      <c r="BJ897" s="136"/>
      <c r="BK897" s="136"/>
      <c r="BL897" s="136"/>
      <c r="BM897" s="136"/>
      <c r="BN897" s="136"/>
    </row>
    <row r="898" spans="1:66" ht="15.75" customHeight="1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136"/>
      <c r="AS898" s="136"/>
      <c r="AT898" s="136"/>
      <c r="AU898" s="136"/>
      <c r="AV898" s="136"/>
      <c r="AW898" s="136"/>
      <c r="AX898" s="136"/>
      <c r="AY898" s="136"/>
      <c r="AZ898" s="136"/>
      <c r="BA898" s="136"/>
      <c r="BB898" s="136"/>
      <c r="BC898" s="136"/>
      <c r="BD898" s="136"/>
      <c r="BE898" s="136"/>
      <c r="BF898" s="136"/>
      <c r="BG898" s="136"/>
      <c r="BH898" s="136"/>
      <c r="BI898" s="136"/>
      <c r="BJ898" s="136"/>
      <c r="BK898" s="136"/>
      <c r="BL898" s="136"/>
      <c r="BM898" s="136"/>
      <c r="BN898" s="136"/>
    </row>
    <row r="899" spans="1:66" ht="15.75" customHeight="1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136"/>
      <c r="AS899" s="136"/>
      <c r="AT899" s="136"/>
      <c r="AU899" s="136"/>
      <c r="AV899" s="136"/>
      <c r="AW899" s="136"/>
      <c r="AX899" s="136"/>
      <c r="AY899" s="136"/>
      <c r="AZ899" s="136"/>
      <c r="BA899" s="136"/>
      <c r="BB899" s="136"/>
      <c r="BC899" s="136"/>
      <c r="BD899" s="136"/>
      <c r="BE899" s="136"/>
      <c r="BF899" s="136"/>
      <c r="BG899" s="136"/>
      <c r="BH899" s="136"/>
      <c r="BI899" s="136"/>
      <c r="BJ899" s="136"/>
      <c r="BK899" s="136"/>
      <c r="BL899" s="136"/>
      <c r="BM899" s="136"/>
      <c r="BN899" s="136"/>
    </row>
    <row r="900" spans="1:66" ht="15.75" customHeight="1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136"/>
      <c r="AQ900" s="136"/>
      <c r="AR900" s="136"/>
      <c r="AS900" s="136"/>
      <c r="AT900" s="136"/>
      <c r="AU900" s="136"/>
      <c r="AV900" s="136"/>
      <c r="AW900" s="136"/>
      <c r="AX900" s="136"/>
      <c r="AY900" s="136"/>
      <c r="AZ900" s="136"/>
      <c r="BA900" s="136"/>
      <c r="BB900" s="136"/>
      <c r="BC900" s="136"/>
      <c r="BD900" s="136"/>
      <c r="BE900" s="136"/>
      <c r="BF900" s="136"/>
      <c r="BG900" s="136"/>
      <c r="BH900" s="136"/>
      <c r="BI900" s="136"/>
      <c r="BJ900" s="136"/>
      <c r="BK900" s="136"/>
      <c r="BL900" s="136"/>
      <c r="BM900" s="136"/>
      <c r="BN900" s="136"/>
    </row>
    <row r="901" spans="1:66" ht="15.75" customHeight="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136"/>
      <c r="AS901" s="136"/>
      <c r="AT901" s="136"/>
      <c r="AU901" s="136"/>
      <c r="AV901" s="136"/>
      <c r="AW901" s="136"/>
      <c r="AX901" s="136"/>
      <c r="AY901" s="136"/>
      <c r="AZ901" s="136"/>
      <c r="BA901" s="136"/>
      <c r="BB901" s="136"/>
      <c r="BC901" s="136"/>
      <c r="BD901" s="136"/>
      <c r="BE901" s="136"/>
      <c r="BF901" s="136"/>
      <c r="BG901" s="136"/>
      <c r="BH901" s="136"/>
      <c r="BI901" s="136"/>
      <c r="BJ901" s="136"/>
      <c r="BK901" s="136"/>
      <c r="BL901" s="136"/>
      <c r="BM901" s="136"/>
      <c r="BN901" s="136"/>
    </row>
    <row r="902" spans="1:66" ht="15.75" customHeight="1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136"/>
      <c r="AS902" s="136"/>
      <c r="AT902" s="136"/>
      <c r="AU902" s="136"/>
      <c r="AV902" s="136"/>
      <c r="AW902" s="136"/>
      <c r="AX902" s="136"/>
      <c r="AY902" s="136"/>
      <c r="AZ902" s="136"/>
      <c r="BA902" s="136"/>
      <c r="BB902" s="136"/>
      <c r="BC902" s="136"/>
      <c r="BD902" s="136"/>
      <c r="BE902" s="136"/>
      <c r="BF902" s="136"/>
      <c r="BG902" s="136"/>
      <c r="BH902" s="136"/>
      <c r="BI902" s="136"/>
      <c r="BJ902" s="136"/>
      <c r="BK902" s="136"/>
      <c r="BL902" s="136"/>
      <c r="BM902" s="136"/>
      <c r="BN902" s="136"/>
    </row>
    <row r="903" spans="1:66" ht="15.75" customHeight="1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136"/>
      <c r="AQ903" s="136"/>
      <c r="AR903" s="136"/>
      <c r="AS903" s="136"/>
      <c r="AT903" s="136"/>
      <c r="AU903" s="136"/>
      <c r="AV903" s="136"/>
      <c r="AW903" s="136"/>
      <c r="AX903" s="136"/>
      <c r="AY903" s="136"/>
      <c r="AZ903" s="136"/>
      <c r="BA903" s="136"/>
      <c r="BB903" s="136"/>
      <c r="BC903" s="136"/>
      <c r="BD903" s="136"/>
      <c r="BE903" s="136"/>
      <c r="BF903" s="136"/>
      <c r="BG903" s="136"/>
      <c r="BH903" s="136"/>
      <c r="BI903" s="136"/>
      <c r="BJ903" s="136"/>
      <c r="BK903" s="136"/>
      <c r="BL903" s="136"/>
      <c r="BM903" s="136"/>
      <c r="BN903" s="136"/>
    </row>
    <row r="904" spans="1:66" ht="15.75" customHeight="1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  <c r="AW904" s="136"/>
      <c r="AX904" s="136"/>
      <c r="AY904" s="136"/>
      <c r="AZ904" s="136"/>
      <c r="BA904" s="136"/>
      <c r="BB904" s="136"/>
      <c r="BC904" s="136"/>
      <c r="BD904" s="136"/>
      <c r="BE904" s="136"/>
      <c r="BF904" s="136"/>
      <c r="BG904" s="136"/>
      <c r="BH904" s="136"/>
      <c r="BI904" s="136"/>
      <c r="BJ904" s="136"/>
      <c r="BK904" s="136"/>
      <c r="BL904" s="136"/>
      <c r="BM904" s="136"/>
      <c r="BN904" s="136"/>
    </row>
    <row r="905" spans="1:66" ht="15.75" customHeight="1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136"/>
      <c r="AS905" s="136"/>
      <c r="AT905" s="136"/>
      <c r="AU905" s="136"/>
      <c r="AV905" s="136"/>
      <c r="AW905" s="136"/>
      <c r="AX905" s="136"/>
      <c r="AY905" s="136"/>
      <c r="AZ905" s="136"/>
      <c r="BA905" s="136"/>
      <c r="BB905" s="136"/>
      <c r="BC905" s="136"/>
      <c r="BD905" s="136"/>
      <c r="BE905" s="136"/>
      <c r="BF905" s="136"/>
      <c r="BG905" s="136"/>
      <c r="BH905" s="136"/>
      <c r="BI905" s="136"/>
      <c r="BJ905" s="136"/>
      <c r="BK905" s="136"/>
      <c r="BL905" s="136"/>
      <c r="BM905" s="136"/>
      <c r="BN905" s="136"/>
    </row>
    <row r="906" spans="1:66" ht="15.75" customHeight="1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  <c r="AW906" s="136"/>
      <c r="AX906" s="136"/>
      <c r="AY906" s="136"/>
      <c r="AZ906" s="136"/>
      <c r="BA906" s="136"/>
      <c r="BB906" s="136"/>
      <c r="BC906" s="136"/>
      <c r="BD906" s="136"/>
      <c r="BE906" s="136"/>
      <c r="BF906" s="136"/>
      <c r="BG906" s="136"/>
      <c r="BH906" s="136"/>
      <c r="BI906" s="136"/>
      <c r="BJ906" s="136"/>
      <c r="BK906" s="136"/>
      <c r="BL906" s="136"/>
      <c r="BM906" s="136"/>
      <c r="BN906" s="136"/>
    </row>
    <row r="907" spans="1:66" ht="15.75" customHeight="1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136"/>
      <c r="AS907" s="136"/>
      <c r="AT907" s="136"/>
      <c r="AU907" s="136"/>
      <c r="AV907" s="136"/>
      <c r="AW907" s="136"/>
      <c r="AX907" s="136"/>
      <c r="AY907" s="136"/>
      <c r="AZ907" s="136"/>
      <c r="BA907" s="136"/>
      <c r="BB907" s="136"/>
      <c r="BC907" s="136"/>
      <c r="BD907" s="136"/>
      <c r="BE907" s="136"/>
      <c r="BF907" s="136"/>
      <c r="BG907" s="136"/>
      <c r="BH907" s="136"/>
      <c r="BI907" s="136"/>
      <c r="BJ907" s="136"/>
      <c r="BK907" s="136"/>
      <c r="BL907" s="136"/>
      <c r="BM907" s="136"/>
      <c r="BN907" s="136"/>
    </row>
    <row r="908" spans="1:66" ht="15.75" customHeight="1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136"/>
      <c r="AS908" s="136"/>
      <c r="AT908" s="136"/>
      <c r="AU908" s="136"/>
      <c r="AV908" s="136"/>
      <c r="AW908" s="136"/>
      <c r="AX908" s="136"/>
      <c r="AY908" s="136"/>
      <c r="AZ908" s="136"/>
      <c r="BA908" s="136"/>
      <c r="BB908" s="136"/>
      <c r="BC908" s="136"/>
      <c r="BD908" s="136"/>
      <c r="BE908" s="136"/>
      <c r="BF908" s="136"/>
      <c r="BG908" s="136"/>
      <c r="BH908" s="136"/>
      <c r="BI908" s="136"/>
      <c r="BJ908" s="136"/>
      <c r="BK908" s="136"/>
      <c r="BL908" s="136"/>
      <c r="BM908" s="136"/>
      <c r="BN908" s="136"/>
    </row>
    <row r="909" spans="1:66" ht="15.75" customHeight="1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136"/>
      <c r="AQ909" s="136"/>
      <c r="AR909" s="136"/>
      <c r="AS909" s="136"/>
      <c r="AT909" s="136"/>
      <c r="AU909" s="136"/>
      <c r="AV909" s="136"/>
      <c r="AW909" s="136"/>
      <c r="AX909" s="136"/>
      <c r="AY909" s="136"/>
      <c r="AZ909" s="136"/>
      <c r="BA909" s="136"/>
      <c r="BB909" s="136"/>
      <c r="BC909" s="136"/>
      <c r="BD909" s="136"/>
      <c r="BE909" s="136"/>
      <c r="BF909" s="136"/>
      <c r="BG909" s="136"/>
      <c r="BH909" s="136"/>
      <c r="BI909" s="136"/>
      <c r="BJ909" s="136"/>
      <c r="BK909" s="136"/>
      <c r="BL909" s="136"/>
      <c r="BM909" s="136"/>
      <c r="BN909" s="136"/>
    </row>
    <row r="910" spans="1:66" ht="15.75" customHeight="1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136"/>
      <c r="AS910" s="136"/>
      <c r="AT910" s="136"/>
      <c r="AU910" s="136"/>
      <c r="AV910" s="136"/>
      <c r="AW910" s="136"/>
      <c r="AX910" s="136"/>
      <c r="AY910" s="136"/>
      <c r="AZ910" s="136"/>
      <c r="BA910" s="136"/>
      <c r="BB910" s="136"/>
      <c r="BC910" s="136"/>
      <c r="BD910" s="136"/>
      <c r="BE910" s="136"/>
      <c r="BF910" s="136"/>
      <c r="BG910" s="136"/>
      <c r="BH910" s="136"/>
      <c r="BI910" s="136"/>
      <c r="BJ910" s="136"/>
      <c r="BK910" s="136"/>
      <c r="BL910" s="136"/>
      <c r="BM910" s="136"/>
      <c r="BN910" s="136"/>
    </row>
    <row r="911" spans="1:66" ht="15.75" customHeight="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  <c r="AW911" s="136"/>
      <c r="AX911" s="136"/>
      <c r="AY911" s="136"/>
      <c r="AZ911" s="136"/>
      <c r="BA911" s="136"/>
      <c r="BB911" s="136"/>
      <c r="BC911" s="136"/>
      <c r="BD911" s="136"/>
      <c r="BE911" s="136"/>
      <c r="BF911" s="136"/>
      <c r="BG911" s="136"/>
      <c r="BH911" s="136"/>
      <c r="BI911" s="136"/>
      <c r="BJ911" s="136"/>
      <c r="BK911" s="136"/>
      <c r="BL911" s="136"/>
      <c r="BM911" s="136"/>
      <c r="BN911" s="136"/>
    </row>
    <row r="912" spans="1:66" ht="15.75" customHeight="1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136"/>
      <c r="AS912" s="136"/>
      <c r="AT912" s="136"/>
      <c r="AU912" s="136"/>
      <c r="AV912" s="136"/>
      <c r="AW912" s="136"/>
      <c r="AX912" s="136"/>
      <c r="AY912" s="136"/>
      <c r="AZ912" s="136"/>
      <c r="BA912" s="136"/>
      <c r="BB912" s="136"/>
      <c r="BC912" s="136"/>
      <c r="BD912" s="136"/>
      <c r="BE912" s="136"/>
      <c r="BF912" s="136"/>
      <c r="BG912" s="136"/>
      <c r="BH912" s="136"/>
      <c r="BI912" s="136"/>
      <c r="BJ912" s="136"/>
      <c r="BK912" s="136"/>
      <c r="BL912" s="136"/>
      <c r="BM912" s="136"/>
      <c r="BN912" s="136"/>
    </row>
    <row r="913" spans="1:66" ht="15.75" customHeight="1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136"/>
      <c r="AS913" s="136"/>
      <c r="AT913" s="136"/>
      <c r="AU913" s="136"/>
      <c r="AV913" s="136"/>
      <c r="AW913" s="136"/>
      <c r="AX913" s="136"/>
      <c r="AY913" s="136"/>
      <c r="AZ913" s="136"/>
      <c r="BA913" s="136"/>
      <c r="BB913" s="136"/>
      <c r="BC913" s="136"/>
      <c r="BD913" s="136"/>
      <c r="BE913" s="136"/>
      <c r="BF913" s="136"/>
      <c r="BG913" s="136"/>
      <c r="BH913" s="136"/>
      <c r="BI913" s="136"/>
      <c r="BJ913" s="136"/>
      <c r="BK913" s="136"/>
      <c r="BL913" s="136"/>
      <c r="BM913" s="136"/>
      <c r="BN913" s="136"/>
    </row>
    <row r="914" spans="1:66" ht="15.75" customHeight="1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136"/>
      <c r="AS914" s="136"/>
      <c r="AT914" s="136"/>
      <c r="AU914" s="136"/>
      <c r="AV914" s="136"/>
      <c r="AW914" s="136"/>
      <c r="AX914" s="136"/>
      <c r="AY914" s="136"/>
      <c r="AZ914" s="136"/>
      <c r="BA914" s="136"/>
      <c r="BB914" s="136"/>
      <c r="BC914" s="136"/>
      <c r="BD914" s="136"/>
      <c r="BE914" s="136"/>
      <c r="BF914" s="136"/>
      <c r="BG914" s="136"/>
      <c r="BH914" s="136"/>
      <c r="BI914" s="136"/>
      <c r="BJ914" s="136"/>
      <c r="BK914" s="136"/>
      <c r="BL914" s="136"/>
      <c r="BM914" s="136"/>
      <c r="BN914" s="136"/>
    </row>
    <row r="915" spans="1:66" ht="15.75" customHeight="1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  <c r="AT915" s="136"/>
      <c r="AU915" s="136"/>
      <c r="AV915" s="136"/>
      <c r="AW915" s="136"/>
      <c r="AX915" s="136"/>
      <c r="AY915" s="136"/>
      <c r="AZ915" s="136"/>
      <c r="BA915" s="136"/>
      <c r="BB915" s="136"/>
      <c r="BC915" s="136"/>
      <c r="BD915" s="136"/>
      <c r="BE915" s="136"/>
      <c r="BF915" s="136"/>
      <c r="BG915" s="136"/>
      <c r="BH915" s="136"/>
      <c r="BI915" s="136"/>
      <c r="BJ915" s="136"/>
      <c r="BK915" s="136"/>
      <c r="BL915" s="136"/>
      <c r="BM915" s="136"/>
      <c r="BN915" s="136"/>
    </row>
    <row r="916" spans="1:66" ht="15.75" customHeight="1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  <c r="AW916" s="136"/>
      <c r="AX916" s="136"/>
      <c r="AY916" s="136"/>
      <c r="AZ916" s="136"/>
      <c r="BA916" s="136"/>
      <c r="BB916" s="136"/>
      <c r="BC916" s="136"/>
      <c r="BD916" s="136"/>
      <c r="BE916" s="136"/>
      <c r="BF916" s="136"/>
      <c r="BG916" s="136"/>
      <c r="BH916" s="136"/>
      <c r="BI916" s="136"/>
      <c r="BJ916" s="136"/>
      <c r="BK916" s="136"/>
      <c r="BL916" s="136"/>
      <c r="BM916" s="136"/>
      <c r="BN916" s="136"/>
    </row>
    <row r="917" spans="1:66" ht="15.75" customHeight="1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  <c r="AW917" s="136"/>
      <c r="AX917" s="136"/>
      <c r="AY917" s="136"/>
      <c r="AZ917" s="136"/>
      <c r="BA917" s="136"/>
      <c r="BB917" s="136"/>
      <c r="BC917" s="136"/>
      <c r="BD917" s="136"/>
      <c r="BE917" s="136"/>
      <c r="BF917" s="136"/>
      <c r="BG917" s="136"/>
      <c r="BH917" s="136"/>
      <c r="BI917" s="136"/>
      <c r="BJ917" s="136"/>
      <c r="BK917" s="136"/>
      <c r="BL917" s="136"/>
      <c r="BM917" s="136"/>
      <c r="BN917" s="136"/>
    </row>
    <row r="918" spans="1:66" ht="15.75" customHeight="1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136"/>
      <c r="AS918" s="136"/>
      <c r="AT918" s="136"/>
      <c r="AU918" s="136"/>
      <c r="AV918" s="136"/>
      <c r="AW918" s="136"/>
      <c r="AX918" s="136"/>
      <c r="AY918" s="136"/>
      <c r="AZ918" s="136"/>
      <c r="BA918" s="136"/>
      <c r="BB918" s="136"/>
      <c r="BC918" s="136"/>
      <c r="BD918" s="136"/>
      <c r="BE918" s="136"/>
      <c r="BF918" s="136"/>
      <c r="BG918" s="136"/>
      <c r="BH918" s="136"/>
      <c r="BI918" s="136"/>
      <c r="BJ918" s="136"/>
      <c r="BK918" s="136"/>
      <c r="BL918" s="136"/>
      <c r="BM918" s="136"/>
      <c r="BN918" s="136"/>
    </row>
    <row r="919" spans="1:66" ht="15.75" customHeight="1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  <c r="AW919" s="136"/>
      <c r="AX919" s="136"/>
      <c r="AY919" s="136"/>
      <c r="AZ919" s="136"/>
      <c r="BA919" s="136"/>
      <c r="BB919" s="136"/>
      <c r="BC919" s="136"/>
      <c r="BD919" s="136"/>
      <c r="BE919" s="136"/>
      <c r="BF919" s="136"/>
      <c r="BG919" s="136"/>
      <c r="BH919" s="136"/>
      <c r="BI919" s="136"/>
      <c r="BJ919" s="136"/>
      <c r="BK919" s="136"/>
      <c r="BL919" s="136"/>
      <c r="BM919" s="136"/>
      <c r="BN919" s="136"/>
    </row>
    <row r="920" spans="1:66" ht="15.75" customHeight="1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136"/>
      <c r="AS920" s="136"/>
      <c r="AT920" s="136"/>
      <c r="AU920" s="136"/>
      <c r="AV920" s="136"/>
      <c r="AW920" s="136"/>
      <c r="AX920" s="136"/>
      <c r="AY920" s="136"/>
      <c r="AZ920" s="136"/>
      <c r="BA920" s="136"/>
      <c r="BB920" s="136"/>
      <c r="BC920" s="136"/>
      <c r="BD920" s="136"/>
      <c r="BE920" s="136"/>
      <c r="BF920" s="136"/>
      <c r="BG920" s="136"/>
      <c r="BH920" s="136"/>
      <c r="BI920" s="136"/>
      <c r="BJ920" s="136"/>
      <c r="BK920" s="136"/>
      <c r="BL920" s="136"/>
      <c r="BM920" s="136"/>
      <c r="BN920" s="136"/>
    </row>
    <row r="921" spans="1:66" ht="15.75" customHeight="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136"/>
      <c r="AQ921" s="136"/>
      <c r="AR921" s="136"/>
      <c r="AS921" s="136"/>
      <c r="AT921" s="136"/>
      <c r="AU921" s="136"/>
      <c r="AV921" s="136"/>
      <c r="AW921" s="136"/>
      <c r="AX921" s="136"/>
      <c r="AY921" s="136"/>
      <c r="AZ921" s="136"/>
      <c r="BA921" s="136"/>
      <c r="BB921" s="136"/>
      <c r="BC921" s="136"/>
      <c r="BD921" s="136"/>
      <c r="BE921" s="136"/>
      <c r="BF921" s="136"/>
      <c r="BG921" s="136"/>
      <c r="BH921" s="136"/>
      <c r="BI921" s="136"/>
      <c r="BJ921" s="136"/>
      <c r="BK921" s="136"/>
      <c r="BL921" s="136"/>
      <c r="BM921" s="136"/>
      <c r="BN921" s="136"/>
    </row>
    <row r="922" spans="1:66" ht="15.75" customHeight="1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136"/>
      <c r="AS922" s="136"/>
      <c r="AT922" s="136"/>
      <c r="AU922" s="136"/>
      <c r="AV922" s="136"/>
      <c r="AW922" s="136"/>
      <c r="AX922" s="136"/>
      <c r="AY922" s="136"/>
      <c r="AZ922" s="136"/>
      <c r="BA922" s="136"/>
      <c r="BB922" s="136"/>
      <c r="BC922" s="136"/>
      <c r="BD922" s="136"/>
      <c r="BE922" s="136"/>
      <c r="BF922" s="136"/>
      <c r="BG922" s="136"/>
      <c r="BH922" s="136"/>
      <c r="BI922" s="136"/>
      <c r="BJ922" s="136"/>
      <c r="BK922" s="136"/>
      <c r="BL922" s="136"/>
      <c r="BM922" s="136"/>
      <c r="BN922" s="136"/>
    </row>
    <row r="923" spans="1:66" ht="15.75" customHeight="1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136"/>
      <c r="AS923" s="136"/>
      <c r="AT923" s="136"/>
      <c r="AU923" s="136"/>
      <c r="AV923" s="136"/>
      <c r="AW923" s="136"/>
      <c r="AX923" s="136"/>
      <c r="AY923" s="136"/>
      <c r="AZ923" s="136"/>
      <c r="BA923" s="136"/>
      <c r="BB923" s="136"/>
      <c r="BC923" s="136"/>
      <c r="BD923" s="136"/>
      <c r="BE923" s="136"/>
      <c r="BF923" s="136"/>
      <c r="BG923" s="136"/>
      <c r="BH923" s="136"/>
      <c r="BI923" s="136"/>
      <c r="BJ923" s="136"/>
      <c r="BK923" s="136"/>
      <c r="BL923" s="136"/>
      <c r="BM923" s="136"/>
      <c r="BN923" s="136"/>
    </row>
    <row r="924" spans="1:66" ht="15.75" customHeight="1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136"/>
      <c r="AQ924" s="136"/>
      <c r="AR924" s="136"/>
      <c r="AS924" s="136"/>
      <c r="AT924" s="136"/>
      <c r="AU924" s="136"/>
      <c r="AV924" s="136"/>
      <c r="AW924" s="136"/>
      <c r="AX924" s="136"/>
      <c r="AY924" s="136"/>
      <c r="AZ924" s="136"/>
      <c r="BA924" s="136"/>
      <c r="BB924" s="136"/>
      <c r="BC924" s="136"/>
      <c r="BD924" s="136"/>
      <c r="BE924" s="136"/>
      <c r="BF924" s="136"/>
      <c r="BG924" s="136"/>
      <c r="BH924" s="136"/>
      <c r="BI924" s="136"/>
      <c r="BJ924" s="136"/>
      <c r="BK924" s="136"/>
      <c r="BL924" s="136"/>
      <c r="BM924" s="136"/>
      <c r="BN924" s="136"/>
    </row>
    <row r="925" spans="1:66" ht="15.75" customHeight="1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  <c r="AW925" s="136"/>
      <c r="AX925" s="136"/>
      <c r="AY925" s="136"/>
      <c r="AZ925" s="136"/>
      <c r="BA925" s="136"/>
      <c r="BB925" s="136"/>
      <c r="BC925" s="136"/>
      <c r="BD925" s="136"/>
      <c r="BE925" s="136"/>
      <c r="BF925" s="136"/>
      <c r="BG925" s="136"/>
      <c r="BH925" s="136"/>
      <c r="BI925" s="136"/>
      <c r="BJ925" s="136"/>
      <c r="BK925" s="136"/>
      <c r="BL925" s="136"/>
      <c r="BM925" s="136"/>
      <c r="BN925" s="136"/>
    </row>
    <row r="926" spans="1:66" ht="15.75" customHeight="1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136"/>
      <c r="AS926" s="136"/>
      <c r="AT926" s="136"/>
      <c r="AU926" s="136"/>
      <c r="AV926" s="136"/>
      <c r="AW926" s="136"/>
      <c r="AX926" s="136"/>
      <c r="AY926" s="136"/>
      <c r="AZ926" s="136"/>
      <c r="BA926" s="136"/>
      <c r="BB926" s="136"/>
      <c r="BC926" s="136"/>
      <c r="BD926" s="136"/>
      <c r="BE926" s="136"/>
      <c r="BF926" s="136"/>
      <c r="BG926" s="136"/>
      <c r="BH926" s="136"/>
      <c r="BI926" s="136"/>
      <c r="BJ926" s="136"/>
      <c r="BK926" s="136"/>
      <c r="BL926" s="136"/>
      <c r="BM926" s="136"/>
      <c r="BN926" s="136"/>
    </row>
    <row r="927" spans="1:66" ht="15.75" customHeight="1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136"/>
      <c r="AQ927" s="136"/>
      <c r="AR927" s="136"/>
      <c r="AS927" s="136"/>
      <c r="AT927" s="136"/>
      <c r="AU927" s="136"/>
      <c r="AV927" s="136"/>
      <c r="AW927" s="136"/>
      <c r="AX927" s="136"/>
      <c r="AY927" s="136"/>
      <c r="AZ927" s="136"/>
      <c r="BA927" s="136"/>
      <c r="BB927" s="136"/>
      <c r="BC927" s="136"/>
      <c r="BD927" s="136"/>
      <c r="BE927" s="136"/>
      <c r="BF927" s="136"/>
      <c r="BG927" s="136"/>
      <c r="BH927" s="136"/>
      <c r="BI927" s="136"/>
      <c r="BJ927" s="136"/>
      <c r="BK927" s="136"/>
      <c r="BL927" s="136"/>
      <c r="BM927" s="136"/>
      <c r="BN927" s="136"/>
    </row>
    <row r="928" spans="1:66" ht="15.75" customHeight="1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136"/>
      <c r="AS928" s="136"/>
      <c r="AT928" s="136"/>
      <c r="AU928" s="136"/>
      <c r="AV928" s="136"/>
      <c r="AW928" s="136"/>
      <c r="AX928" s="136"/>
      <c r="AY928" s="136"/>
      <c r="AZ928" s="136"/>
      <c r="BA928" s="136"/>
      <c r="BB928" s="136"/>
      <c r="BC928" s="136"/>
      <c r="BD928" s="136"/>
      <c r="BE928" s="136"/>
      <c r="BF928" s="136"/>
      <c r="BG928" s="136"/>
      <c r="BH928" s="136"/>
      <c r="BI928" s="136"/>
      <c r="BJ928" s="136"/>
      <c r="BK928" s="136"/>
      <c r="BL928" s="136"/>
      <c r="BM928" s="136"/>
      <c r="BN928" s="136"/>
    </row>
    <row r="929" spans="1:66" ht="15.75" customHeight="1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136"/>
      <c r="AS929" s="136"/>
      <c r="AT929" s="136"/>
      <c r="AU929" s="136"/>
      <c r="AV929" s="136"/>
      <c r="AW929" s="136"/>
      <c r="AX929" s="136"/>
      <c r="AY929" s="136"/>
      <c r="AZ929" s="136"/>
      <c r="BA929" s="136"/>
      <c r="BB929" s="136"/>
      <c r="BC929" s="136"/>
      <c r="BD929" s="136"/>
      <c r="BE929" s="136"/>
      <c r="BF929" s="136"/>
      <c r="BG929" s="136"/>
      <c r="BH929" s="136"/>
      <c r="BI929" s="136"/>
      <c r="BJ929" s="136"/>
      <c r="BK929" s="136"/>
      <c r="BL929" s="136"/>
      <c r="BM929" s="136"/>
      <c r="BN929" s="136"/>
    </row>
    <row r="930" spans="1:66" ht="15.75" customHeight="1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136"/>
      <c r="AQ930" s="136"/>
      <c r="AR930" s="136"/>
      <c r="AS930" s="136"/>
      <c r="AT930" s="136"/>
      <c r="AU930" s="136"/>
      <c r="AV930" s="136"/>
      <c r="AW930" s="136"/>
      <c r="AX930" s="136"/>
      <c r="AY930" s="136"/>
      <c r="AZ930" s="136"/>
      <c r="BA930" s="136"/>
      <c r="BB930" s="136"/>
      <c r="BC930" s="136"/>
      <c r="BD930" s="136"/>
      <c r="BE930" s="136"/>
      <c r="BF930" s="136"/>
      <c r="BG930" s="136"/>
      <c r="BH930" s="136"/>
      <c r="BI930" s="136"/>
      <c r="BJ930" s="136"/>
      <c r="BK930" s="136"/>
      <c r="BL930" s="136"/>
      <c r="BM930" s="136"/>
      <c r="BN930" s="136"/>
    </row>
    <row r="931" spans="1:66" ht="15.75" customHeight="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  <c r="AT931" s="136"/>
      <c r="AU931" s="136"/>
      <c r="AV931" s="136"/>
      <c r="AW931" s="136"/>
      <c r="AX931" s="136"/>
      <c r="AY931" s="136"/>
      <c r="AZ931" s="136"/>
      <c r="BA931" s="136"/>
      <c r="BB931" s="136"/>
      <c r="BC931" s="136"/>
      <c r="BD931" s="136"/>
      <c r="BE931" s="136"/>
      <c r="BF931" s="136"/>
      <c r="BG931" s="136"/>
      <c r="BH931" s="136"/>
      <c r="BI931" s="136"/>
      <c r="BJ931" s="136"/>
      <c r="BK931" s="136"/>
      <c r="BL931" s="136"/>
      <c r="BM931" s="136"/>
      <c r="BN931" s="136"/>
    </row>
    <row r="932" spans="1:66" ht="15.75" customHeight="1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136"/>
      <c r="AS932" s="136"/>
      <c r="AT932" s="136"/>
      <c r="AU932" s="136"/>
      <c r="AV932" s="136"/>
      <c r="AW932" s="136"/>
      <c r="AX932" s="136"/>
      <c r="AY932" s="136"/>
      <c r="AZ932" s="136"/>
      <c r="BA932" s="136"/>
      <c r="BB932" s="136"/>
      <c r="BC932" s="136"/>
      <c r="BD932" s="136"/>
      <c r="BE932" s="136"/>
      <c r="BF932" s="136"/>
      <c r="BG932" s="136"/>
      <c r="BH932" s="136"/>
      <c r="BI932" s="136"/>
      <c r="BJ932" s="136"/>
      <c r="BK932" s="136"/>
      <c r="BL932" s="136"/>
      <c r="BM932" s="136"/>
      <c r="BN932" s="136"/>
    </row>
    <row r="933" spans="1:66" ht="15.75" customHeight="1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  <c r="AT933" s="136"/>
      <c r="AU933" s="136"/>
      <c r="AV933" s="136"/>
      <c r="AW933" s="136"/>
      <c r="AX933" s="136"/>
      <c r="AY933" s="136"/>
      <c r="AZ933" s="136"/>
      <c r="BA933" s="136"/>
      <c r="BB933" s="136"/>
      <c r="BC933" s="136"/>
      <c r="BD933" s="136"/>
      <c r="BE933" s="136"/>
      <c r="BF933" s="136"/>
      <c r="BG933" s="136"/>
      <c r="BH933" s="136"/>
      <c r="BI933" s="136"/>
      <c r="BJ933" s="136"/>
      <c r="BK933" s="136"/>
      <c r="BL933" s="136"/>
      <c r="BM933" s="136"/>
      <c r="BN933" s="136"/>
    </row>
    <row r="934" spans="1:66" ht="15.75" customHeight="1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136"/>
      <c r="AS934" s="136"/>
      <c r="AT934" s="136"/>
      <c r="AU934" s="136"/>
      <c r="AV934" s="136"/>
      <c r="AW934" s="136"/>
      <c r="AX934" s="136"/>
      <c r="AY934" s="136"/>
      <c r="AZ934" s="136"/>
      <c r="BA934" s="136"/>
      <c r="BB934" s="136"/>
      <c r="BC934" s="136"/>
      <c r="BD934" s="136"/>
      <c r="BE934" s="136"/>
      <c r="BF934" s="136"/>
      <c r="BG934" s="136"/>
      <c r="BH934" s="136"/>
      <c r="BI934" s="136"/>
      <c r="BJ934" s="136"/>
      <c r="BK934" s="136"/>
      <c r="BL934" s="136"/>
      <c r="BM934" s="136"/>
      <c r="BN934" s="136"/>
    </row>
    <row r="935" spans="1:66" ht="15.75" customHeight="1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  <c r="AT935" s="136"/>
      <c r="AU935" s="136"/>
      <c r="AV935" s="136"/>
      <c r="AW935" s="136"/>
      <c r="AX935" s="136"/>
      <c r="AY935" s="136"/>
      <c r="AZ935" s="136"/>
      <c r="BA935" s="136"/>
      <c r="BB935" s="136"/>
      <c r="BC935" s="136"/>
      <c r="BD935" s="136"/>
      <c r="BE935" s="136"/>
      <c r="BF935" s="136"/>
      <c r="BG935" s="136"/>
      <c r="BH935" s="136"/>
      <c r="BI935" s="136"/>
      <c r="BJ935" s="136"/>
      <c r="BK935" s="136"/>
      <c r="BL935" s="136"/>
      <c r="BM935" s="136"/>
      <c r="BN935" s="136"/>
    </row>
    <row r="936" spans="1:66" ht="15.75" customHeight="1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136"/>
      <c r="AS936" s="136"/>
      <c r="AT936" s="136"/>
      <c r="AU936" s="136"/>
      <c r="AV936" s="136"/>
      <c r="AW936" s="136"/>
      <c r="AX936" s="136"/>
      <c r="AY936" s="136"/>
      <c r="AZ936" s="136"/>
      <c r="BA936" s="136"/>
      <c r="BB936" s="136"/>
      <c r="BC936" s="136"/>
      <c r="BD936" s="136"/>
      <c r="BE936" s="136"/>
      <c r="BF936" s="136"/>
      <c r="BG936" s="136"/>
      <c r="BH936" s="136"/>
      <c r="BI936" s="136"/>
      <c r="BJ936" s="136"/>
      <c r="BK936" s="136"/>
      <c r="BL936" s="136"/>
      <c r="BM936" s="136"/>
      <c r="BN936" s="136"/>
    </row>
    <row r="937" spans="1:66" ht="15.75" customHeight="1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  <c r="AT937" s="136"/>
      <c r="AU937" s="136"/>
      <c r="AV937" s="136"/>
      <c r="AW937" s="136"/>
      <c r="AX937" s="136"/>
      <c r="AY937" s="136"/>
      <c r="AZ937" s="136"/>
      <c r="BA937" s="136"/>
      <c r="BB937" s="136"/>
      <c r="BC937" s="136"/>
      <c r="BD937" s="136"/>
      <c r="BE937" s="136"/>
      <c r="BF937" s="136"/>
      <c r="BG937" s="136"/>
      <c r="BH937" s="136"/>
      <c r="BI937" s="136"/>
      <c r="BJ937" s="136"/>
      <c r="BK937" s="136"/>
      <c r="BL937" s="136"/>
      <c r="BM937" s="136"/>
      <c r="BN937" s="136"/>
    </row>
    <row r="938" spans="1:66" ht="15.75" customHeight="1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136"/>
      <c r="AS938" s="136"/>
      <c r="AT938" s="136"/>
      <c r="AU938" s="136"/>
      <c r="AV938" s="136"/>
      <c r="AW938" s="136"/>
      <c r="AX938" s="136"/>
      <c r="AY938" s="136"/>
      <c r="AZ938" s="136"/>
      <c r="BA938" s="136"/>
      <c r="BB938" s="136"/>
      <c r="BC938" s="136"/>
      <c r="BD938" s="136"/>
      <c r="BE938" s="136"/>
      <c r="BF938" s="136"/>
      <c r="BG938" s="136"/>
      <c r="BH938" s="136"/>
      <c r="BI938" s="136"/>
      <c r="BJ938" s="136"/>
      <c r="BK938" s="136"/>
      <c r="BL938" s="136"/>
      <c r="BM938" s="136"/>
      <c r="BN938" s="136"/>
    </row>
    <row r="939" spans="1:66" ht="15.75" customHeight="1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136"/>
      <c r="AS939" s="136"/>
      <c r="AT939" s="136"/>
      <c r="AU939" s="136"/>
      <c r="AV939" s="136"/>
      <c r="AW939" s="136"/>
      <c r="AX939" s="136"/>
      <c r="AY939" s="136"/>
      <c r="AZ939" s="136"/>
      <c r="BA939" s="136"/>
      <c r="BB939" s="136"/>
      <c r="BC939" s="136"/>
      <c r="BD939" s="136"/>
      <c r="BE939" s="136"/>
      <c r="BF939" s="136"/>
      <c r="BG939" s="136"/>
      <c r="BH939" s="136"/>
      <c r="BI939" s="136"/>
      <c r="BJ939" s="136"/>
      <c r="BK939" s="136"/>
      <c r="BL939" s="136"/>
      <c r="BM939" s="136"/>
      <c r="BN939" s="136"/>
    </row>
    <row r="940" spans="1:66" ht="15.75" customHeight="1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136"/>
      <c r="AS940" s="136"/>
      <c r="AT940" s="136"/>
      <c r="AU940" s="136"/>
      <c r="AV940" s="136"/>
      <c r="AW940" s="136"/>
      <c r="AX940" s="136"/>
      <c r="AY940" s="136"/>
      <c r="AZ940" s="136"/>
      <c r="BA940" s="136"/>
      <c r="BB940" s="136"/>
      <c r="BC940" s="136"/>
      <c r="BD940" s="136"/>
      <c r="BE940" s="136"/>
      <c r="BF940" s="136"/>
      <c r="BG940" s="136"/>
      <c r="BH940" s="136"/>
      <c r="BI940" s="136"/>
      <c r="BJ940" s="136"/>
      <c r="BK940" s="136"/>
      <c r="BL940" s="136"/>
      <c r="BM940" s="136"/>
      <c r="BN940" s="136"/>
    </row>
    <row r="941" spans="1:66" ht="15.75" customHeight="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  <c r="AT941" s="136"/>
      <c r="AU941" s="136"/>
      <c r="AV941" s="136"/>
      <c r="AW941" s="136"/>
      <c r="AX941" s="136"/>
      <c r="AY941" s="136"/>
      <c r="AZ941" s="136"/>
      <c r="BA941" s="136"/>
      <c r="BB941" s="136"/>
      <c r="BC941" s="136"/>
      <c r="BD941" s="136"/>
      <c r="BE941" s="136"/>
      <c r="BF941" s="136"/>
      <c r="BG941" s="136"/>
      <c r="BH941" s="136"/>
      <c r="BI941" s="136"/>
      <c r="BJ941" s="136"/>
      <c r="BK941" s="136"/>
      <c r="BL941" s="136"/>
      <c r="BM941" s="136"/>
      <c r="BN941" s="136"/>
    </row>
    <row r="942" spans="1:66" ht="15.75" customHeight="1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136"/>
      <c r="AQ942" s="136"/>
      <c r="AR942" s="136"/>
      <c r="AS942" s="136"/>
      <c r="AT942" s="136"/>
      <c r="AU942" s="136"/>
      <c r="AV942" s="136"/>
      <c r="AW942" s="136"/>
      <c r="AX942" s="136"/>
      <c r="AY942" s="136"/>
      <c r="AZ942" s="136"/>
      <c r="BA942" s="136"/>
      <c r="BB942" s="136"/>
      <c r="BC942" s="136"/>
      <c r="BD942" s="136"/>
      <c r="BE942" s="136"/>
      <c r="BF942" s="136"/>
      <c r="BG942" s="136"/>
      <c r="BH942" s="136"/>
      <c r="BI942" s="136"/>
      <c r="BJ942" s="136"/>
      <c r="BK942" s="136"/>
      <c r="BL942" s="136"/>
      <c r="BM942" s="136"/>
      <c r="BN942" s="136"/>
    </row>
    <row r="943" spans="1:66" ht="15.75" customHeight="1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  <c r="AW943" s="136"/>
      <c r="AX943" s="136"/>
      <c r="AY943" s="136"/>
      <c r="AZ943" s="136"/>
      <c r="BA943" s="136"/>
      <c r="BB943" s="136"/>
      <c r="BC943" s="136"/>
      <c r="BD943" s="136"/>
      <c r="BE943" s="136"/>
      <c r="BF943" s="136"/>
      <c r="BG943" s="136"/>
      <c r="BH943" s="136"/>
      <c r="BI943" s="136"/>
      <c r="BJ943" s="136"/>
      <c r="BK943" s="136"/>
      <c r="BL943" s="136"/>
      <c r="BM943" s="136"/>
      <c r="BN943" s="136"/>
    </row>
    <row r="944" spans="1:66" ht="15.75" customHeight="1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136"/>
      <c r="AS944" s="136"/>
      <c r="AT944" s="136"/>
      <c r="AU944" s="136"/>
      <c r="AV944" s="136"/>
      <c r="AW944" s="136"/>
      <c r="AX944" s="136"/>
      <c r="AY944" s="136"/>
      <c r="AZ944" s="136"/>
      <c r="BA944" s="136"/>
      <c r="BB944" s="136"/>
      <c r="BC944" s="136"/>
      <c r="BD944" s="136"/>
      <c r="BE944" s="136"/>
      <c r="BF944" s="136"/>
      <c r="BG944" s="136"/>
      <c r="BH944" s="136"/>
      <c r="BI944" s="136"/>
      <c r="BJ944" s="136"/>
      <c r="BK944" s="136"/>
      <c r="BL944" s="136"/>
      <c r="BM944" s="136"/>
      <c r="BN944" s="136"/>
    </row>
    <row r="945" spans="1:66" ht="15.75" customHeight="1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136"/>
      <c r="AS945" s="136"/>
      <c r="AT945" s="136"/>
      <c r="AU945" s="136"/>
      <c r="AV945" s="136"/>
      <c r="AW945" s="136"/>
      <c r="AX945" s="136"/>
      <c r="AY945" s="136"/>
      <c r="AZ945" s="136"/>
      <c r="BA945" s="136"/>
      <c r="BB945" s="136"/>
      <c r="BC945" s="136"/>
      <c r="BD945" s="136"/>
      <c r="BE945" s="136"/>
      <c r="BF945" s="136"/>
      <c r="BG945" s="136"/>
      <c r="BH945" s="136"/>
      <c r="BI945" s="136"/>
      <c r="BJ945" s="136"/>
      <c r="BK945" s="136"/>
      <c r="BL945" s="136"/>
      <c r="BM945" s="136"/>
      <c r="BN945" s="136"/>
    </row>
    <row r="946" spans="1:66" ht="15.75" customHeight="1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136"/>
      <c r="AU946" s="136"/>
      <c r="AV946" s="136"/>
      <c r="AW946" s="136"/>
      <c r="AX946" s="136"/>
      <c r="AY946" s="136"/>
      <c r="AZ946" s="136"/>
      <c r="BA946" s="136"/>
      <c r="BB946" s="136"/>
      <c r="BC946" s="136"/>
      <c r="BD946" s="136"/>
      <c r="BE946" s="136"/>
      <c r="BF946" s="136"/>
      <c r="BG946" s="136"/>
      <c r="BH946" s="136"/>
      <c r="BI946" s="136"/>
      <c r="BJ946" s="136"/>
      <c r="BK946" s="136"/>
      <c r="BL946" s="136"/>
      <c r="BM946" s="136"/>
      <c r="BN946" s="136"/>
    </row>
    <row r="947" spans="1:66" ht="15.75" customHeight="1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  <c r="AT947" s="136"/>
      <c r="AU947" s="136"/>
      <c r="AV947" s="136"/>
      <c r="AW947" s="136"/>
      <c r="AX947" s="136"/>
      <c r="AY947" s="136"/>
      <c r="AZ947" s="136"/>
      <c r="BA947" s="136"/>
      <c r="BB947" s="136"/>
      <c r="BC947" s="136"/>
      <c r="BD947" s="136"/>
      <c r="BE947" s="136"/>
      <c r="BF947" s="136"/>
      <c r="BG947" s="136"/>
      <c r="BH947" s="136"/>
      <c r="BI947" s="136"/>
      <c r="BJ947" s="136"/>
      <c r="BK947" s="136"/>
      <c r="BL947" s="136"/>
      <c r="BM947" s="136"/>
      <c r="BN947" s="136"/>
    </row>
    <row r="948" spans="1:66" ht="15.75" customHeight="1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136"/>
      <c r="AS948" s="136"/>
      <c r="AT948" s="136"/>
      <c r="AU948" s="136"/>
      <c r="AV948" s="136"/>
      <c r="AW948" s="136"/>
      <c r="AX948" s="136"/>
      <c r="AY948" s="136"/>
      <c r="AZ948" s="136"/>
      <c r="BA948" s="136"/>
      <c r="BB948" s="136"/>
      <c r="BC948" s="136"/>
      <c r="BD948" s="136"/>
      <c r="BE948" s="136"/>
      <c r="BF948" s="136"/>
      <c r="BG948" s="136"/>
      <c r="BH948" s="136"/>
      <c r="BI948" s="136"/>
      <c r="BJ948" s="136"/>
      <c r="BK948" s="136"/>
      <c r="BL948" s="136"/>
      <c r="BM948" s="136"/>
      <c r="BN948" s="136"/>
    </row>
    <row r="949" spans="1:66" ht="15.75" customHeight="1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  <c r="AT949" s="136"/>
      <c r="AU949" s="136"/>
      <c r="AV949" s="136"/>
      <c r="AW949" s="136"/>
      <c r="AX949" s="136"/>
      <c r="AY949" s="136"/>
      <c r="AZ949" s="136"/>
      <c r="BA949" s="136"/>
      <c r="BB949" s="136"/>
      <c r="BC949" s="136"/>
      <c r="BD949" s="136"/>
      <c r="BE949" s="136"/>
      <c r="BF949" s="136"/>
      <c r="BG949" s="136"/>
      <c r="BH949" s="136"/>
      <c r="BI949" s="136"/>
      <c r="BJ949" s="136"/>
      <c r="BK949" s="136"/>
      <c r="BL949" s="136"/>
      <c r="BM949" s="136"/>
      <c r="BN949" s="136"/>
    </row>
    <row r="950" spans="1:66" ht="15.75" customHeight="1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136"/>
      <c r="AT950" s="136"/>
      <c r="AU950" s="136"/>
      <c r="AV950" s="136"/>
      <c r="AW950" s="136"/>
      <c r="AX950" s="136"/>
      <c r="AY950" s="136"/>
      <c r="AZ950" s="136"/>
      <c r="BA950" s="136"/>
      <c r="BB950" s="136"/>
      <c r="BC950" s="136"/>
      <c r="BD950" s="136"/>
      <c r="BE950" s="136"/>
      <c r="BF950" s="136"/>
      <c r="BG950" s="136"/>
      <c r="BH950" s="136"/>
      <c r="BI950" s="136"/>
      <c r="BJ950" s="136"/>
      <c r="BK950" s="136"/>
      <c r="BL950" s="136"/>
      <c r="BM950" s="136"/>
      <c r="BN950" s="136"/>
    </row>
    <row r="951" spans="1:66" ht="15.75" customHeight="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136"/>
      <c r="AS951" s="136"/>
      <c r="AT951" s="136"/>
      <c r="AU951" s="136"/>
      <c r="AV951" s="136"/>
      <c r="AW951" s="136"/>
      <c r="AX951" s="136"/>
      <c r="AY951" s="136"/>
      <c r="AZ951" s="136"/>
      <c r="BA951" s="136"/>
      <c r="BB951" s="136"/>
      <c r="BC951" s="136"/>
      <c r="BD951" s="136"/>
      <c r="BE951" s="136"/>
      <c r="BF951" s="136"/>
      <c r="BG951" s="136"/>
      <c r="BH951" s="136"/>
      <c r="BI951" s="136"/>
      <c r="BJ951" s="136"/>
      <c r="BK951" s="136"/>
      <c r="BL951" s="136"/>
      <c r="BM951" s="136"/>
      <c r="BN951" s="136"/>
    </row>
    <row r="952" spans="1:66" ht="15.75" customHeight="1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136"/>
      <c r="AS952" s="136"/>
      <c r="AT952" s="136"/>
      <c r="AU952" s="136"/>
      <c r="AV952" s="136"/>
      <c r="AW952" s="136"/>
      <c r="AX952" s="136"/>
      <c r="AY952" s="136"/>
      <c r="AZ952" s="136"/>
      <c r="BA952" s="136"/>
      <c r="BB952" s="136"/>
      <c r="BC952" s="136"/>
      <c r="BD952" s="136"/>
      <c r="BE952" s="136"/>
      <c r="BF952" s="136"/>
      <c r="BG952" s="136"/>
      <c r="BH952" s="136"/>
      <c r="BI952" s="136"/>
      <c r="BJ952" s="136"/>
      <c r="BK952" s="136"/>
      <c r="BL952" s="136"/>
      <c r="BM952" s="136"/>
      <c r="BN952" s="136"/>
    </row>
    <row r="953" spans="1:66" ht="15.75" customHeight="1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  <c r="AW953" s="136"/>
      <c r="AX953" s="136"/>
      <c r="AY953" s="136"/>
      <c r="AZ953" s="136"/>
      <c r="BA953" s="136"/>
      <c r="BB953" s="136"/>
      <c r="BC953" s="136"/>
      <c r="BD953" s="136"/>
      <c r="BE953" s="136"/>
      <c r="BF953" s="136"/>
      <c r="BG953" s="136"/>
      <c r="BH953" s="136"/>
      <c r="BI953" s="136"/>
      <c r="BJ953" s="136"/>
      <c r="BK953" s="136"/>
      <c r="BL953" s="136"/>
      <c r="BM953" s="136"/>
      <c r="BN953" s="136"/>
    </row>
    <row r="954" spans="1:66" ht="15.75" customHeight="1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136"/>
      <c r="AQ954" s="136"/>
      <c r="AR954" s="136"/>
      <c r="AS954" s="136"/>
      <c r="AT954" s="136"/>
      <c r="AU954" s="136"/>
      <c r="AV954" s="136"/>
      <c r="AW954" s="136"/>
      <c r="AX954" s="136"/>
      <c r="AY954" s="136"/>
      <c r="AZ954" s="136"/>
      <c r="BA954" s="136"/>
      <c r="BB954" s="136"/>
      <c r="BC954" s="136"/>
      <c r="BD954" s="136"/>
      <c r="BE954" s="136"/>
      <c r="BF954" s="136"/>
      <c r="BG954" s="136"/>
      <c r="BH954" s="136"/>
      <c r="BI954" s="136"/>
      <c r="BJ954" s="136"/>
      <c r="BK954" s="136"/>
      <c r="BL954" s="136"/>
      <c r="BM954" s="136"/>
      <c r="BN954" s="136"/>
    </row>
    <row r="955" spans="1:66" ht="15.75" customHeight="1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  <c r="AT955" s="136"/>
      <c r="AU955" s="136"/>
      <c r="AV955" s="136"/>
      <c r="AW955" s="136"/>
      <c r="AX955" s="136"/>
      <c r="AY955" s="136"/>
      <c r="AZ955" s="136"/>
      <c r="BA955" s="136"/>
      <c r="BB955" s="136"/>
      <c r="BC955" s="136"/>
      <c r="BD955" s="136"/>
      <c r="BE955" s="136"/>
      <c r="BF955" s="136"/>
      <c r="BG955" s="136"/>
      <c r="BH955" s="136"/>
      <c r="BI955" s="136"/>
      <c r="BJ955" s="136"/>
      <c r="BK955" s="136"/>
      <c r="BL955" s="136"/>
      <c r="BM955" s="136"/>
      <c r="BN955" s="136"/>
    </row>
    <row r="956" spans="1:66" ht="15.75" customHeight="1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  <c r="AU956" s="136"/>
      <c r="AV956" s="136"/>
      <c r="AW956" s="136"/>
      <c r="AX956" s="136"/>
      <c r="AY956" s="136"/>
      <c r="AZ956" s="136"/>
      <c r="BA956" s="136"/>
      <c r="BB956" s="136"/>
      <c r="BC956" s="136"/>
      <c r="BD956" s="136"/>
      <c r="BE956" s="136"/>
      <c r="BF956" s="136"/>
      <c r="BG956" s="136"/>
      <c r="BH956" s="136"/>
      <c r="BI956" s="136"/>
      <c r="BJ956" s="136"/>
      <c r="BK956" s="136"/>
      <c r="BL956" s="136"/>
      <c r="BM956" s="136"/>
      <c r="BN956" s="136"/>
    </row>
    <row r="957" spans="1:66" ht="15.75" customHeight="1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  <c r="AT957" s="136"/>
      <c r="AU957" s="136"/>
      <c r="AV957" s="136"/>
      <c r="AW957" s="136"/>
      <c r="AX957" s="136"/>
      <c r="AY957" s="136"/>
      <c r="AZ957" s="136"/>
      <c r="BA957" s="136"/>
      <c r="BB957" s="136"/>
      <c r="BC957" s="136"/>
      <c r="BD957" s="136"/>
      <c r="BE957" s="136"/>
      <c r="BF957" s="136"/>
      <c r="BG957" s="136"/>
      <c r="BH957" s="136"/>
      <c r="BI957" s="136"/>
      <c r="BJ957" s="136"/>
      <c r="BK957" s="136"/>
      <c r="BL957" s="136"/>
      <c r="BM957" s="136"/>
      <c r="BN957" s="136"/>
    </row>
    <row r="958" spans="1:66" ht="15.75" customHeight="1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136"/>
      <c r="AU958" s="136"/>
      <c r="AV958" s="136"/>
      <c r="AW958" s="136"/>
      <c r="AX958" s="136"/>
      <c r="AY958" s="136"/>
      <c r="AZ958" s="136"/>
      <c r="BA958" s="136"/>
      <c r="BB958" s="136"/>
      <c r="BC958" s="136"/>
      <c r="BD958" s="136"/>
      <c r="BE958" s="136"/>
      <c r="BF958" s="136"/>
      <c r="BG958" s="136"/>
      <c r="BH958" s="136"/>
      <c r="BI958" s="136"/>
      <c r="BJ958" s="136"/>
      <c r="BK958" s="136"/>
      <c r="BL958" s="136"/>
      <c r="BM958" s="136"/>
      <c r="BN958" s="136"/>
    </row>
    <row r="959" spans="1:66" ht="15.75" customHeight="1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  <c r="AU959" s="136"/>
      <c r="AV959" s="136"/>
      <c r="AW959" s="136"/>
      <c r="AX959" s="136"/>
      <c r="AY959" s="136"/>
      <c r="AZ959" s="136"/>
      <c r="BA959" s="136"/>
      <c r="BB959" s="136"/>
      <c r="BC959" s="136"/>
      <c r="BD959" s="136"/>
      <c r="BE959" s="136"/>
      <c r="BF959" s="136"/>
      <c r="BG959" s="136"/>
      <c r="BH959" s="136"/>
      <c r="BI959" s="136"/>
      <c r="BJ959" s="136"/>
      <c r="BK959" s="136"/>
      <c r="BL959" s="136"/>
      <c r="BM959" s="136"/>
      <c r="BN959" s="136"/>
    </row>
    <row r="960" spans="1:66" ht="15.75" customHeight="1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136"/>
      <c r="AS960" s="136"/>
      <c r="AT960" s="136"/>
      <c r="AU960" s="136"/>
      <c r="AV960" s="136"/>
      <c r="AW960" s="136"/>
      <c r="AX960" s="136"/>
      <c r="AY960" s="136"/>
      <c r="AZ960" s="136"/>
      <c r="BA960" s="136"/>
      <c r="BB960" s="136"/>
      <c r="BC960" s="136"/>
      <c r="BD960" s="136"/>
      <c r="BE960" s="136"/>
      <c r="BF960" s="136"/>
      <c r="BG960" s="136"/>
      <c r="BH960" s="136"/>
      <c r="BI960" s="136"/>
      <c r="BJ960" s="136"/>
      <c r="BK960" s="136"/>
      <c r="BL960" s="136"/>
      <c r="BM960" s="136"/>
      <c r="BN960" s="136"/>
    </row>
    <row r="961" spans="1:66" ht="15.75" customHeight="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  <c r="BF961" s="136"/>
      <c r="BG961" s="136"/>
      <c r="BH961" s="136"/>
      <c r="BI961" s="136"/>
      <c r="BJ961" s="136"/>
      <c r="BK961" s="136"/>
      <c r="BL961" s="136"/>
      <c r="BM961" s="136"/>
      <c r="BN961" s="136"/>
    </row>
    <row r="962" spans="1:66" ht="15.75" customHeight="1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  <c r="AU962" s="136"/>
      <c r="AV962" s="136"/>
      <c r="AW962" s="136"/>
      <c r="AX962" s="136"/>
      <c r="AY962" s="136"/>
      <c r="AZ962" s="136"/>
      <c r="BA962" s="136"/>
      <c r="BB962" s="136"/>
      <c r="BC962" s="136"/>
      <c r="BD962" s="136"/>
      <c r="BE962" s="136"/>
      <c r="BF962" s="136"/>
      <c r="BG962" s="136"/>
      <c r="BH962" s="136"/>
      <c r="BI962" s="136"/>
      <c r="BJ962" s="136"/>
      <c r="BK962" s="136"/>
      <c r="BL962" s="136"/>
      <c r="BM962" s="136"/>
      <c r="BN962" s="136"/>
    </row>
    <row r="963" spans="1:66" ht="15.75" customHeight="1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  <c r="AU963" s="136"/>
      <c r="AV963" s="136"/>
      <c r="AW963" s="136"/>
      <c r="AX963" s="136"/>
      <c r="AY963" s="136"/>
      <c r="AZ963" s="136"/>
      <c r="BA963" s="136"/>
      <c r="BB963" s="136"/>
      <c r="BC963" s="136"/>
      <c r="BD963" s="136"/>
      <c r="BE963" s="136"/>
      <c r="BF963" s="136"/>
      <c r="BG963" s="136"/>
      <c r="BH963" s="136"/>
      <c r="BI963" s="136"/>
      <c r="BJ963" s="136"/>
      <c r="BK963" s="136"/>
      <c r="BL963" s="136"/>
      <c r="BM963" s="136"/>
      <c r="BN963" s="136"/>
    </row>
    <row r="964" spans="1:66" ht="15.75" customHeight="1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  <c r="AW964" s="136"/>
      <c r="AX964" s="136"/>
      <c r="AY964" s="136"/>
      <c r="AZ964" s="136"/>
      <c r="BA964" s="136"/>
      <c r="BB964" s="136"/>
      <c r="BC964" s="136"/>
      <c r="BD964" s="136"/>
      <c r="BE964" s="136"/>
      <c r="BF964" s="136"/>
      <c r="BG964" s="136"/>
      <c r="BH964" s="136"/>
      <c r="BI964" s="136"/>
      <c r="BJ964" s="136"/>
      <c r="BK964" s="136"/>
      <c r="BL964" s="136"/>
      <c r="BM964" s="136"/>
      <c r="BN964" s="136"/>
    </row>
    <row r="965" spans="1:66" ht="15.75" customHeight="1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  <c r="AU965" s="136"/>
      <c r="AV965" s="136"/>
      <c r="AW965" s="136"/>
      <c r="AX965" s="136"/>
      <c r="AY965" s="136"/>
      <c r="AZ965" s="136"/>
      <c r="BA965" s="136"/>
      <c r="BB965" s="136"/>
      <c r="BC965" s="136"/>
      <c r="BD965" s="136"/>
      <c r="BE965" s="136"/>
      <c r="BF965" s="136"/>
      <c r="BG965" s="136"/>
      <c r="BH965" s="136"/>
      <c r="BI965" s="136"/>
      <c r="BJ965" s="136"/>
      <c r="BK965" s="136"/>
      <c r="BL965" s="136"/>
      <c r="BM965" s="136"/>
      <c r="BN965" s="136"/>
    </row>
    <row r="966" spans="1:66" ht="15.75" customHeight="1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136"/>
      <c r="AQ966" s="136"/>
      <c r="AR966" s="136"/>
      <c r="AS966" s="136"/>
      <c r="AT966" s="136"/>
      <c r="AU966" s="136"/>
      <c r="AV966" s="136"/>
      <c r="AW966" s="136"/>
      <c r="AX966" s="136"/>
      <c r="AY966" s="136"/>
      <c r="AZ966" s="136"/>
      <c r="BA966" s="136"/>
      <c r="BB966" s="136"/>
      <c r="BC966" s="136"/>
      <c r="BD966" s="136"/>
      <c r="BE966" s="136"/>
      <c r="BF966" s="136"/>
      <c r="BG966" s="136"/>
      <c r="BH966" s="136"/>
      <c r="BI966" s="136"/>
      <c r="BJ966" s="136"/>
      <c r="BK966" s="136"/>
      <c r="BL966" s="136"/>
      <c r="BM966" s="136"/>
      <c r="BN966" s="136"/>
    </row>
    <row r="967" spans="1:66" ht="15.75" customHeight="1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136"/>
      <c r="AS967" s="136"/>
      <c r="AT967" s="136"/>
      <c r="AU967" s="136"/>
      <c r="AV967" s="136"/>
      <c r="AW967" s="136"/>
      <c r="AX967" s="136"/>
      <c r="AY967" s="136"/>
      <c r="AZ967" s="136"/>
      <c r="BA967" s="136"/>
      <c r="BB967" s="136"/>
      <c r="BC967" s="136"/>
      <c r="BD967" s="136"/>
      <c r="BE967" s="136"/>
      <c r="BF967" s="136"/>
      <c r="BG967" s="136"/>
      <c r="BH967" s="136"/>
      <c r="BI967" s="136"/>
      <c r="BJ967" s="136"/>
      <c r="BK967" s="136"/>
      <c r="BL967" s="136"/>
      <c r="BM967" s="136"/>
      <c r="BN967" s="136"/>
    </row>
    <row r="968" spans="1:66" ht="15.75" customHeight="1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  <c r="AP968" s="136"/>
      <c r="AQ968" s="136"/>
      <c r="AR968" s="136"/>
      <c r="AS968" s="136"/>
      <c r="AT968" s="136"/>
      <c r="AU968" s="136"/>
      <c r="AV968" s="136"/>
      <c r="AW968" s="136"/>
      <c r="AX968" s="136"/>
      <c r="AY968" s="136"/>
      <c r="AZ968" s="136"/>
      <c r="BA968" s="136"/>
      <c r="BB968" s="136"/>
      <c r="BC968" s="136"/>
      <c r="BD968" s="136"/>
      <c r="BE968" s="136"/>
      <c r="BF968" s="136"/>
      <c r="BG968" s="136"/>
      <c r="BH968" s="136"/>
      <c r="BI968" s="136"/>
      <c r="BJ968" s="136"/>
      <c r="BK968" s="136"/>
      <c r="BL968" s="136"/>
      <c r="BM968" s="136"/>
      <c r="BN968" s="136"/>
    </row>
    <row r="969" spans="1:66" ht="15.75" customHeight="1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  <c r="AP969" s="136"/>
      <c r="AQ969" s="136"/>
      <c r="AR969" s="136"/>
      <c r="AS969" s="136"/>
      <c r="AT969" s="136"/>
      <c r="AU969" s="136"/>
      <c r="AV969" s="136"/>
      <c r="AW969" s="136"/>
      <c r="AX969" s="136"/>
      <c r="AY969" s="136"/>
      <c r="AZ969" s="136"/>
      <c r="BA969" s="136"/>
      <c r="BB969" s="136"/>
      <c r="BC969" s="136"/>
      <c r="BD969" s="136"/>
      <c r="BE969" s="136"/>
      <c r="BF969" s="136"/>
      <c r="BG969" s="136"/>
      <c r="BH969" s="136"/>
      <c r="BI969" s="136"/>
      <c r="BJ969" s="136"/>
      <c r="BK969" s="136"/>
      <c r="BL969" s="136"/>
      <c r="BM969" s="136"/>
      <c r="BN969" s="136"/>
    </row>
    <row r="970" spans="1:66" ht="15.75" customHeight="1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  <c r="AP970" s="136"/>
      <c r="AQ970" s="136"/>
      <c r="AR970" s="136"/>
      <c r="AS970" s="136"/>
      <c r="AT970" s="136"/>
      <c r="AU970" s="136"/>
      <c r="AV970" s="136"/>
      <c r="AW970" s="136"/>
      <c r="AX970" s="136"/>
      <c r="AY970" s="136"/>
      <c r="AZ970" s="136"/>
      <c r="BA970" s="136"/>
      <c r="BB970" s="136"/>
      <c r="BC970" s="136"/>
      <c r="BD970" s="136"/>
      <c r="BE970" s="136"/>
      <c r="BF970" s="136"/>
      <c r="BG970" s="136"/>
      <c r="BH970" s="136"/>
      <c r="BI970" s="136"/>
      <c r="BJ970" s="136"/>
      <c r="BK970" s="136"/>
      <c r="BL970" s="136"/>
      <c r="BM970" s="136"/>
      <c r="BN970" s="136"/>
    </row>
    <row r="971" spans="1:66" ht="15.75" customHeight="1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  <c r="AP971" s="136"/>
      <c r="AQ971" s="136"/>
      <c r="AR971" s="136"/>
      <c r="AS971" s="136"/>
      <c r="AT971" s="136"/>
      <c r="AU971" s="136"/>
      <c r="AV971" s="136"/>
      <c r="AW971" s="136"/>
      <c r="AX971" s="136"/>
      <c r="AY971" s="136"/>
      <c r="AZ971" s="136"/>
      <c r="BA971" s="136"/>
      <c r="BB971" s="136"/>
      <c r="BC971" s="136"/>
      <c r="BD971" s="136"/>
      <c r="BE971" s="136"/>
      <c r="BF971" s="136"/>
      <c r="BG971" s="136"/>
      <c r="BH971" s="136"/>
      <c r="BI971" s="136"/>
      <c r="BJ971" s="136"/>
      <c r="BK971" s="136"/>
      <c r="BL971" s="136"/>
      <c r="BM971" s="136"/>
      <c r="BN971" s="136"/>
    </row>
    <row r="972" spans="1:66" ht="15.75" customHeight="1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  <c r="AP972" s="136"/>
      <c r="AQ972" s="136"/>
      <c r="AR972" s="136"/>
      <c r="AS972" s="136"/>
      <c r="AT972" s="136"/>
      <c r="AU972" s="136"/>
      <c r="AV972" s="136"/>
      <c r="AW972" s="136"/>
      <c r="AX972" s="136"/>
      <c r="AY972" s="136"/>
      <c r="AZ972" s="136"/>
      <c r="BA972" s="136"/>
      <c r="BB972" s="136"/>
      <c r="BC972" s="136"/>
      <c r="BD972" s="136"/>
      <c r="BE972" s="136"/>
      <c r="BF972" s="136"/>
      <c r="BG972" s="136"/>
      <c r="BH972" s="136"/>
      <c r="BI972" s="136"/>
      <c r="BJ972" s="136"/>
      <c r="BK972" s="136"/>
      <c r="BL972" s="136"/>
      <c r="BM972" s="136"/>
      <c r="BN972" s="136"/>
    </row>
    <row r="973" spans="1:66" ht="15.75" customHeight="1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136"/>
      <c r="AS973" s="136"/>
      <c r="AT973" s="136"/>
      <c r="AU973" s="136"/>
      <c r="AV973" s="136"/>
      <c r="AW973" s="136"/>
      <c r="AX973" s="136"/>
      <c r="AY973" s="136"/>
      <c r="AZ973" s="136"/>
      <c r="BA973" s="136"/>
      <c r="BB973" s="136"/>
      <c r="BC973" s="136"/>
      <c r="BD973" s="136"/>
      <c r="BE973" s="136"/>
      <c r="BF973" s="136"/>
      <c r="BG973" s="136"/>
      <c r="BH973" s="136"/>
      <c r="BI973" s="136"/>
      <c r="BJ973" s="136"/>
      <c r="BK973" s="136"/>
      <c r="BL973" s="136"/>
      <c r="BM973" s="136"/>
      <c r="BN973" s="136"/>
    </row>
    <row r="974" spans="1:66" ht="15.75" customHeight="1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136"/>
      <c r="AQ974" s="136"/>
      <c r="AR974" s="136"/>
      <c r="AS974" s="136"/>
      <c r="AT974" s="136"/>
      <c r="AU974" s="136"/>
      <c r="AV974" s="136"/>
      <c r="AW974" s="136"/>
      <c r="AX974" s="136"/>
      <c r="AY974" s="136"/>
      <c r="AZ974" s="136"/>
      <c r="BA974" s="136"/>
      <c r="BB974" s="136"/>
      <c r="BC974" s="136"/>
      <c r="BD974" s="136"/>
      <c r="BE974" s="136"/>
      <c r="BF974" s="136"/>
      <c r="BG974" s="136"/>
      <c r="BH974" s="136"/>
      <c r="BI974" s="136"/>
      <c r="BJ974" s="136"/>
      <c r="BK974" s="136"/>
      <c r="BL974" s="136"/>
      <c r="BM974" s="136"/>
      <c r="BN974" s="136"/>
    </row>
    <row r="975" spans="1:66" ht="15.75" customHeight="1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  <c r="AP975" s="136"/>
      <c r="AQ975" s="136"/>
      <c r="AR975" s="136"/>
      <c r="AS975" s="136"/>
      <c r="AT975" s="136"/>
      <c r="AU975" s="136"/>
      <c r="AV975" s="136"/>
      <c r="AW975" s="136"/>
      <c r="AX975" s="136"/>
      <c r="AY975" s="136"/>
      <c r="AZ975" s="136"/>
      <c r="BA975" s="136"/>
      <c r="BB975" s="136"/>
      <c r="BC975" s="136"/>
      <c r="BD975" s="136"/>
      <c r="BE975" s="136"/>
      <c r="BF975" s="136"/>
      <c r="BG975" s="136"/>
      <c r="BH975" s="136"/>
      <c r="BI975" s="136"/>
      <c r="BJ975" s="136"/>
      <c r="BK975" s="136"/>
      <c r="BL975" s="136"/>
      <c r="BM975" s="136"/>
      <c r="BN975" s="136"/>
    </row>
    <row r="976" spans="1:66" ht="15.75" customHeight="1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  <c r="AP976" s="136"/>
      <c r="AQ976" s="136"/>
      <c r="AR976" s="136"/>
      <c r="AS976" s="136"/>
      <c r="AT976" s="136"/>
      <c r="AU976" s="136"/>
      <c r="AV976" s="136"/>
      <c r="AW976" s="136"/>
      <c r="AX976" s="136"/>
      <c r="AY976" s="136"/>
      <c r="AZ976" s="136"/>
      <c r="BA976" s="136"/>
      <c r="BB976" s="136"/>
      <c r="BC976" s="136"/>
      <c r="BD976" s="136"/>
      <c r="BE976" s="136"/>
      <c r="BF976" s="136"/>
      <c r="BG976" s="136"/>
      <c r="BH976" s="136"/>
      <c r="BI976" s="136"/>
      <c r="BJ976" s="136"/>
      <c r="BK976" s="136"/>
      <c r="BL976" s="136"/>
      <c r="BM976" s="136"/>
      <c r="BN976" s="136"/>
    </row>
    <row r="977" spans="1:66" ht="15.75" customHeight="1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  <c r="AP977" s="136"/>
      <c r="AQ977" s="136"/>
      <c r="AR977" s="136"/>
      <c r="AS977" s="136"/>
      <c r="AT977" s="136"/>
      <c r="AU977" s="136"/>
      <c r="AV977" s="136"/>
      <c r="AW977" s="136"/>
      <c r="AX977" s="136"/>
      <c r="AY977" s="136"/>
      <c r="AZ977" s="136"/>
      <c r="BA977" s="136"/>
      <c r="BB977" s="136"/>
      <c r="BC977" s="136"/>
      <c r="BD977" s="136"/>
      <c r="BE977" s="136"/>
      <c r="BF977" s="136"/>
      <c r="BG977" s="136"/>
      <c r="BH977" s="136"/>
      <c r="BI977" s="136"/>
      <c r="BJ977" s="136"/>
      <c r="BK977" s="136"/>
      <c r="BL977" s="136"/>
      <c r="BM977" s="136"/>
      <c r="BN977" s="136"/>
    </row>
    <row r="978" spans="1:66" ht="15.75" customHeight="1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  <c r="AP978" s="136"/>
      <c r="AQ978" s="136"/>
      <c r="AR978" s="136"/>
      <c r="AS978" s="136"/>
      <c r="AT978" s="136"/>
      <c r="AU978" s="136"/>
      <c r="AV978" s="136"/>
      <c r="AW978" s="136"/>
      <c r="AX978" s="136"/>
      <c r="AY978" s="136"/>
      <c r="AZ978" s="136"/>
      <c r="BA978" s="136"/>
      <c r="BB978" s="136"/>
      <c r="BC978" s="136"/>
      <c r="BD978" s="136"/>
      <c r="BE978" s="136"/>
      <c r="BF978" s="136"/>
      <c r="BG978" s="136"/>
      <c r="BH978" s="136"/>
      <c r="BI978" s="136"/>
      <c r="BJ978" s="136"/>
      <c r="BK978" s="136"/>
      <c r="BL978" s="136"/>
      <c r="BM978" s="136"/>
      <c r="BN978" s="136"/>
    </row>
    <row r="979" spans="1:66" ht="15.75" customHeight="1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  <c r="AP979" s="136"/>
      <c r="AQ979" s="136"/>
      <c r="AR979" s="136"/>
      <c r="AS979" s="136"/>
      <c r="AT979" s="136"/>
      <c r="AU979" s="136"/>
      <c r="AV979" s="136"/>
      <c r="AW979" s="136"/>
      <c r="AX979" s="136"/>
      <c r="AY979" s="136"/>
      <c r="AZ979" s="136"/>
      <c r="BA979" s="136"/>
      <c r="BB979" s="136"/>
      <c r="BC979" s="136"/>
      <c r="BD979" s="136"/>
      <c r="BE979" s="136"/>
      <c r="BF979" s="136"/>
      <c r="BG979" s="136"/>
      <c r="BH979" s="136"/>
      <c r="BI979" s="136"/>
      <c r="BJ979" s="136"/>
      <c r="BK979" s="136"/>
      <c r="BL979" s="136"/>
      <c r="BM979" s="136"/>
      <c r="BN979" s="136"/>
    </row>
    <row r="980" spans="1:66" ht="15.75" customHeight="1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136"/>
      <c r="AQ980" s="136"/>
      <c r="AR980" s="136"/>
      <c r="AS980" s="136"/>
      <c r="AT980" s="136"/>
      <c r="AU980" s="136"/>
      <c r="AV980" s="136"/>
      <c r="AW980" s="136"/>
      <c r="AX980" s="136"/>
      <c r="AY980" s="136"/>
      <c r="AZ980" s="136"/>
      <c r="BA980" s="136"/>
      <c r="BB980" s="136"/>
      <c r="BC980" s="136"/>
      <c r="BD980" s="136"/>
      <c r="BE980" s="136"/>
      <c r="BF980" s="136"/>
      <c r="BG980" s="136"/>
      <c r="BH980" s="136"/>
      <c r="BI980" s="136"/>
      <c r="BJ980" s="136"/>
      <c r="BK980" s="136"/>
      <c r="BL980" s="136"/>
      <c r="BM980" s="136"/>
      <c r="BN980" s="136"/>
    </row>
    <row r="981" spans="1:66" ht="15.75" customHeight="1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  <c r="AP981" s="136"/>
      <c r="AQ981" s="136"/>
      <c r="AR981" s="136"/>
      <c r="AS981" s="136"/>
      <c r="AT981" s="136"/>
      <c r="AU981" s="136"/>
      <c r="AV981" s="136"/>
      <c r="AW981" s="136"/>
      <c r="AX981" s="136"/>
      <c r="AY981" s="136"/>
      <c r="AZ981" s="136"/>
      <c r="BA981" s="136"/>
      <c r="BB981" s="136"/>
      <c r="BC981" s="136"/>
      <c r="BD981" s="136"/>
      <c r="BE981" s="136"/>
      <c r="BF981" s="136"/>
      <c r="BG981" s="136"/>
      <c r="BH981" s="136"/>
      <c r="BI981" s="136"/>
      <c r="BJ981" s="136"/>
      <c r="BK981" s="136"/>
      <c r="BL981" s="136"/>
      <c r="BM981" s="136"/>
      <c r="BN981" s="136"/>
    </row>
    <row r="982" spans="1:66" ht="15.75" customHeight="1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  <c r="AP982" s="136"/>
      <c r="AQ982" s="136"/>
      <c r="AR982" s="136"/>
      <c r="AS982" s="136"/>
      <c r="AT982" s="136"/>
      <c r="AU982" s="136"/>
      <c r="AV982" s="136"/>
      <c r="AW982" s="136"/>
      <c r="AX982" s="136"/>
      <c r="AY982" s="136"/>
      <c r="AZ982" s="136"/>
      <c r="BA982" s="136"/>
      <c r="BB982" s="136"/>
      <c r="BC982" s="136"/>
      <c r="BD982" s="136"/>
      <c r="BE982" s="136"/>
      <c r="BF982" s="136"/>
      <c r="BG982" s="136"/>
      <c r="BH982" s="136"/>
      <c r="BI982" s="136"/>
      <c r="BJ982" s="136"/>
      <c r="BK982" s="136"/>
      <c r="BL982" s="136"/>
      <c r="BM982" s="136"/>
      <c r="BN982" s="136"/>
    </row>
    <row r="983" spans="1:66" ht="15.75" customHeight="1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  <c r="AP983" s="136"/>
      <c r="AQ983" s="136"/>
      <c r="AR983" s="136"/>
      <c r="AS983" s="136"/>
      <c r="AT983" s="136"/>
      <c r="AU983" s="136"/>
      <c r="AV983" s="136"/>
      <c r="AW983" s="136"/>
      <c r="AX983" s="136"/>
      <c r="AY983" s="136"/>
      <c r="AZ983" s="136"/>
      <c r="BA983" s="136"/>
      <c r="BB983" s="136"/>
      <c r="BC983" s="136"/>
      <c r="BD983" s="136"/>
      <c r="BE983" s="136"/>
      <c r="BF983" s="136"/>
      <c r="BG983" s="136"/>
      <c r="BH983" s="136"/>
      <c r="BI983" s="136"/>
      <c r="BJ983" s="136"/>
      <c r="BK983" s="136"/>
      <c r="BL983" s="136"/>
      <c r="BM983" s="136"/>
      <c r="BN983" s="136"/>
    </row>
    <row r="984" spans="1:66" ht="15.75" customHeight="1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  <c r="AP984" s="136"/>
      <c r="AQ984" s="136"/>
      <c r="AR984" s="136"/>
      <c r="AS984" s="136"/>
      <c r="AT984" s="136"/>
      <c r="AU984" s="136"/>
      <c r="AV984" s="136"/>
      <c r="AW984" s="136"/>
      <c r="AX984" s="136"/>
      <c r="AY984" s="136"/>
      <c r="AZ984" s="136"/>
      <c r="BA984" s="136"/>
      <c r="BB984" s="136"/>
      <c r="BC984" s="136"/>
      <c r="BD984" s="136"/>
      <c r="BE984" s="136"/>
      <c r="BF984" s="136"/>
      <c r="BG984" s="136"/>
      <c r="BH984" s="136"/>
      <c r="BI984" s="136"/>
      <c r="BJ984" s="136"/>
      <c r="BK984" s="136"/>
      <c r="BL984" s="136"/>
      <c r="BM984" s="136"/>
      <c r="BN984" s="136"/>
    </row>
    <row r="985" spans="1:66" ht="15.75" customHeight="1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  <c r="AC985" s="136"/>
      <c r="AD985" s="136"/>
      <c r="AE985" s="136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  <c r="AP985" s="136"/>
      <c r="AQ985" s="136"/>
      <c r="AR985" s="136"/>
      <c r="AS985" s="136"/>
      <c r="AT985" s="136"/>
      <c r="AU985" s="136"/>
      <c r="AV985" s="136"/>
      <c r="AW985" s="136"/>
      <c r="AX985" s="136"/>
      <c r="AY985" s="136"/>
      <c r="AZ985" s="136"/>
      <c r="BA985" s="136"/>
      <c r="BB985" s="136"/>
      <c r="BC985" s="136"/>
      <c r="BD985" s="136"/>
      <c r="BE985" s="136"/>
      <c r="BF985" s="136"/>
      <c r="BG985" s="136"/>
      <c r="BH985" s="136"/>
      <c r="BI985" s="136"/>
      <c r="BJ985" s="136"/>
      <c r="BK985" s="136"/>
      <c r="BL985" s="136"/>
      <c r="BM985" s="136"/>
      <c r="BN985" s="136"/>
    </row>
    <row r="986" spans="1:66" ht="15.75" customHeight="1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  <c r="AP986" s="136"/>
      <c r="AQ986" s="136"/>
      <c r="AR986" s="136"/>
      <c r="AS986" s="136"/>
      <c r="AT986" s="136"/>
      <c r="AU986" s="136"/>
      <c r="AV986" s="136"/>
      <c r="AW986" s="136"/>
      <c r="AX986" s="136"/>
      <c r="AY986" s="136"/>
      <c r="AZ986" s="136"/>
      <c r="BA986" s="136"/>
      <c r="BB986" s="136"/>
      <c r="BC986" s="136"/>
      <c r="BD986" s="136"/>
      <c r="BE986" s="136"/>
      <c r="BF986" s="136"/>
      <c r="BG986" s="136"/>
      <c r="BH986" s="136"/>
      <c r="BI986" s="136"/>
      <c r="BJ986" s="136"/>
      <c r="BK986" s="136"/>
      <c r="BL986" s="136"/>
      <c r="BM986" s="136"/>
      <c r="BN986" s="136"/>
    </row>
    <row r="987" spans="1:66" ht="15.75" customHeight="1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  <c r="AC987" s="136"/>
      <c r="AD987" s="136"/>
      <c r="AE987" s="136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  <c r="AP987" s="136"/>
      <c r="AQ987" s="136"/>
      <c r="AR987" s="136"/>
      <c r="AS987" s="136"/>
      <c r="AT987" s="136"/>
      <c r="AU987" s="136"/>
      <c r="AV987" s="136"/>
      <c r="AW987" s="136"/>
      <c r="AX987" s="136"/>
      <c r="AY987" s="136"/>
      <c r="AZ987" s="136"/>
      <c r="BA987" s="136"/>
      <c r="BB987" s="136"/>
      <c r="BC987" s="136"/>
      <c r="BD987" s="136"/>
      <c r="BE987" s="136"/>
      <c r="BF987" s="136"/>
      <c r="BG987" s="136"/>
      <c r="BH987" s="136"/>
      <c r="BI987" s="136"/>
      <c r="BJ987" s="136"/>
      <c r="BK987" s="136"/>
      <c r="BL987" s="136"/>
      <c r="BM987" s="136"/>
      <c r="BN987" s="136"/>
    </row>
    <row r="988" spans="1:66" ht="15.75" customHeight="1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  <c r="AC988" s="136"/>
      <c r="AD988" s="136"/>
      <c r="AE988" s="136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  <c r="AP988" s="136"/>
      <c r="AQ988" s="136"/>
      <c r="AR988" s="136"/>
      <c r="AS988" s="136"/>
      <c r="AT988" s="136"/>
      <c r="AU988" s="136"/>
      <c r="AV988" s="136"/>
      <c r="AW988" s="136"/>
      <c r="AX988" s="136"/>
      <c r="AY988" s="136"/>
      <c r="AZ988" s="136"/>
      <c r="BA988" s="136"/>
      <c r="BB988" s="136"/>
      <c r="BC988" s="136"/>
      <c r="BD988" s="136"/>
      <c r="BE988" s="136"/>
      <c r="BF988" s="136"/>
      <c r="BG988" s="136"/>
      <c r="BH988" s="136"/>
      <c r="BI988" s="136"/>
      <c r="BJ988" s="136"/>
      <c r="BK988" s="136"/>
      <c r="BL988" s="136"/>
      <c r="BM988" s="136"/>
      <c r="BN988" s="136"/>
    </row>
    <row r="989" spans="1:66" ht="15.75" customHeight="1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  <c r="AC989" s="136"/>
      <c r="AD989" s="136"/>
      <c r="AE989" s="136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  <c r="AP989" s="136"/>
      <c r="AQ989" s="136"/>
      <c r="AR989" s="136"/>
      <c r="AS989" s="136"/>
      <c r="AT989" s="136"/>
      <c r="AU989" s="136"/>
      <c r="AV989" s="136"/>
      <c r="AW989" s="136"/>
      <c r="AX989" s="136"/>
      <c r="AY989" s="136"/>
      <c r="AZ989" s="136"/>
      <c r="BA989" s="136"/>
      <c r="BB989" s="136"/>
      <c r="BC989" s="136"/>
      <c r="BD989" s="136"/>
      <c r="BE989" s="136"/>
      <c r="BF989" s="136"/>
      <c r="BG989" s="136"/>
      <c r="BH989" s="136"/>
      <c r="BI989" s="136"/>
      <c r="BJ989" s="136"/>
      <c r="BK989" s="136"/>
      <c r="BL989" s="136"/>
      <c r="BM989" s="136"/>
      <c r="BN989" s="136"/>
    </row>
    <row r="990" spans="1:66" ht="15.75" customHeight="1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  <c r="AC990" s="136"/>
      <c r="AD990" s="136"/>
      <c r="AE990" s="136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  <c r="AP990" s="136"/>
      <c r="AQ990" s="136"/>
      <c r="AR990" s="136"/>
      <c r="AS990" s="136"/>
      <c r="AT990" s="136"/>
      <c r="AU990" s="136"/>
      <c r="AV990" s="136"/>
      <c r="AW990" s="136"/>
      <c r="AX990" s="136"/>
      <c r="AY990" s="136"/>
      <c r="AZ990" s="136"/>
      <c r="BA990" s="136"/>
      <c r="BB990" s="136"/>
      <c r="BC990" s="136"/>
      <c r="BD990" s="136"/>
      <c r="BE990" s="136"/>
      <c r="BF990" s="136"/>
      <c r="BG990" s="136"/>
      <c r="BH990" s="136"/>
      <c r="BI990" s="136"/>
      <c r="BJ990" s="136"/>
      <c r="BK990" s="136"/>
      <c r="BL990" s="136"/>
      <c r="BM990" s="136"/>
      <c r="BN990" s="136"/>
    </row>
    <row r="991" spans="1:66" ht="15.75" customHeight="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  <c r="AP991" s="136"/>
      <c r="AQ991" s="136"/>
      <c r="AR991" s="136"/>
      <c r="AS991" s="136"/>
      <c r="AT991" s="136"/>
      <c r="AU991" s="136"/>
      <c r="AV991" s="136"/>
      <c r="AW991" s="136"/>
      <c r="AX991" s="136"/>
      <c r="AY991" s="136"/>
      <c r="AZ991" s="136"/>
      <c r="BA991" s="136"/>
      <c r="BB991" s="136"/>
      <c r="BC991" s="136"/>
      <c r="BD991" s="136"/>
      <c r="BE991" s="136"/>
      <c r="BF991" s="136"/>
      <c r="BG991" s="136"/>
      <c r="BH991" s="136"/>
      <c r="BI991" s="136"/>
      <c r="BJ991" s="136"/>
      <c r="BK991" s="136"/>
      <c r="BL991" s="136"/>
      <c r="BM991" s="136"/>
      <c r="BN991" s="136"/>
    </row>
    <row r="992" spans="1:66" ht="15.75" customHeight="1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  <c r="AP992" s="136"/>
      <c r="AQ992" s="136"/>
      <c r="AR992" s="136"/>
      <c r="AS992" s="136"/>
      <c r="AT992" s="136"/>
      <c r="AU992" s="136"/>
      <c r="AV992" s="136"/>
      <c r="AW992" s="136"/>
      <c r="AX992" s="136"/>
      <c r="AY992" s="136"/>
      <c r="AZ992" s="136"/>
      <c r="BA992" s="136"/>
      <c r="BB992" s="136"/>
      <c r="BC992" s="136"/>
      <c r="BD992" s="136"/>
      <c r="BE992" s="136"/>
      <c r="BF992" s="136"/>
      <c r="BG992" s="136"/>
      <c r="BH992" s="136"/>
      <c r="BI992" s="136"/>
      <c r="BJ992" s="136"/>
      <c r="BK992" s="136"/>
      <c r="BL992" s="136"/>
      <c r="BM992" s="136"/>
      <c r="BN992" s="136"/>
    </row>
    <row r="993" spans="1:66" ht="15.75" customHeight="1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  <c r="AP993" s="136"/>
      <c r="AQ993" s="136"/>
      <c r="AR993" s="136"/>
      <c r="AS993" s="136"/>
      <c r="AT993" s="136"/>
      <c r="AU993" s="136"/>
      <c r="AV993" s="136"/>
      <c r="AW993" s="136"/>
      <c r="AX993" s="136"/>
      <c r="AY993" s="136"/>
      <c r="AZ993" s="136"/>
      <c r="BA993" s="136"/>
      <c r="BB993" s="136"/>
      <c r="BC993" s="136"/>
      <c r="BD993" s="136"/>
      <c r="BE993" s="136"/>
      <c r="BF993" s="136"/>
      <c r="BG993" s="136"/>
      <c r="BH993" s="136"/>
      <c r="BI993" s="136"/>
      <c r="BJ993" s="136"/>
      <c r="BK993" s="136"/>
      <c r="BL993" s="136"/>
      <c r="BM993" s="136"/>
      <c r="BN993" s="136"/>
    </row>
    <row r="994" spans="1:66" ht="15.75" customHeight="1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  <c r="AP994" s="136"/>
      <c r="AQ994" s="136"/>
      <c r="AR994" s="136"/>
      <c r="AS994" s="136"/>
      <c r="AT994" s="136"/>
      <c r="AU994" s="136"/>
      <c r="AV994" s="136"/>
      <c r="AW994" s="136"/>
      <c r="AX994" s="136"/>
      <c r="AY994" s="136"/>
      <c r="AZ994" s="136"/>
      <c r="BA994" s="136"/>
      <c r="BB994" s="136"/>
      <c r="BC994" s="136"/>
      <c r="BD994" s="136"/>
      <c r="BE994" s="136"/>
      <c r="BF994" s="136"/>
      <c r="BG994" s="136"/>
      <c r="BH994" s="136"/>
      <c r="BI994" s="136"/>
      <c r="BJ994" s="136"/>
      <c r="BK994" s="136"/>
      <c r="BL994" s="136"/>
      <c r="BM994" s="136"/>
      <c r="BN994" s="136"/>
    </row>
    <row r="995" spans="1:66" ht="15.75" customHeight="1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  <c r="AP995" s="136"/>
      <c r="AQ995" s="136"/>
      <c r="AR995" s="136"/>
      <c r="AS995" s="136"/>
      <c r="AT995" s="136"/>
      <c r="AU995" s="136"/>
      <c r="AV995" s="136"/>
      <c r="AW995" s="136"/>
      <c r="AX995" s="136"/>
      <c r="AY995" s="136"/>
      <c r="AZ995" s="136"/>
      <c r="BA995" s="136"/>
      <c r="BB995" s="136"/>
      <c r="BC995" s="136"/>
      <c r="BD995" s="136"/>
      <c r="BE995" s="136"/>
      <c r="BF995" s="136"/>
      <c r="BG995" s="136"/>
      <c r="BH995" s="136"/>
      <c r="BI995" s="136"/>
      <c r="BJ995" s="136"/>
      <c r="BK995" s="136"/>
      <c r="BL995" s="136"/>
      <c r="BM995" s="136"/>
      <c r="BN995" s="136"/>
    </row>
    <row r="996" spans="1:66" ht="15.75" customHeight="1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  <c r="AP996" s="136"/>
      <c r="AQ996" s="136"/>
      <c r="AR996" s="136"/>
      <c r="AS996" s="136"/>
      <c r="AT996" s="136"/>
      <c r="AU996" s="136"/>
      <c r="AV996" s="136"/>
      <c r="AW996" s="136"/>
      <c r="AX996" s="136"/>
      <c r="AY996" s="136"/>
      <c r="AZ996" s="136"/>
      <c r="BA996" s="136"/>
      <c r="BB996" s="136"/>
      <c r="BC996" s="136"/>
      <c r="BD996" s="136"/>
      <c r="BE996" s="136"/>
      <c r="BF996" s="136"/>
      <c r="BG996" s="136"/>
      <c r="BH996" s="136"/>
      <c r="BI996" s="136"/>
      <c r="BJ996" s="136"/>
      <c r="BK996" s="136"/>
      <c r="BL996" s="136"/>
      <c r="BM996" s="136"/>
      <c r="BN996" s="136"/>
    </row>
    <row r="997" spans="1:66" ht="15.75" customHeight="1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  <c r="AP997" s="136"/>
      <c r="AQ997" s="136"/>
      <c r="AR997" s="136"/>
      <c r="AS997" s="136"/>
      <c r="AT997" s="136"/>
      <c r="AU997" s="136"/>
      <c r="AV997" s="136"/>
      <c r="AW997" s="136"/>
      <c r="AX997" s="136"/>
      <c r="AY997" s="136"/>
      <c r="AZ997" s="136"/>
      <c r="BA997" s="136"/>
      <c r="BB997" s="136"/>
      <c r="BC997" s="136"/>
      <c r="BD997" s="136"/>
      <c r="BE997" s="136"/>
      <c r="BF997" s="136"/>
      <c r="BG997" s="136"/>
      <c r="BH997" s="136"/>
      <c r="BI997" s="136"/>
      <c r="BJ997" s="136"/>
      <c r="BK997" s="136"/>
      <c r="BL997" s="136"/>
      <c r="BM997" s="136"/>
      <c r="BN997" s="136"/>
    </row>
    <row r="998" spans="1:66" ht="15.75" customHeight="1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  <c r="AP998" s="136"/>
      <c r="AQ998" s="136"/>
      <c r="AR998" s="136"/>
      <c r="AS998" s="136"/>
      <c r="AT998" s="136"/>
      <c r="AU998" s="136"/>
      <c r="AV998" s="136"/>
      <c r="AW998" s="136"/>
      <c r="AX998" s="136"/>
      <c r="AY998" s="136"/>
      <c r="AZ998" s="136"/>
      <c r="BA998" s="136"/>
      <c r="BB998" s="136"/>
      <c r="BC998" s="136"/>
      <c r="BD998" s="136"/>
      <c r="BE998" s="136"/>
      <c r="BF998" s="136"/>
      <c r="BG998" s="136"/>
      <c r="BH998" s="136"/>
      <c r="BI998" s="136"/>
      <c r="BJ998" s="136"/>
      <c r="BK998" s="136"/>
      <c r="BL998" s="136"/>
      <c r="BM998" s="136"/>
      <c r="BN998" s="136"/>
    </row>
    <row r="999" spans="1:66" ht="15.75" customHeight="1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  <c r="AP999" s="136"/>
      <c r="AQ999" s="136"/>
      <c r="AR999" s="136"/>
      <c r="AS999" s="136"/>
      <c r="AT999" s="136"/>
      <c r="AU999" s="136"/>
      <c r="AV999" s="136"/>
      <c r="AW999" s="136"/>
      <c r="AX999" s="136"/>
      <c r="AY999" s="136"/>
      <c r="AZ999" s="136"/>
      <c r="BA999" s="136"/>
      <c r="BB999" s="136"/>
      <c r="BC999" s="136"/>
      <c r="BD999" s="136"/>
      <c r="BE999" s="136"/>
      <c r="BF999" s="136"/>
      <c r="BG999" s="136"/>
      <c r="BH999" s="136"/>
      <c r="BI999" s="136"/>
      <c r="BJ999" s="136"/>
      <c r="BK999" s="136"/>
      <c r="BL999" s="136"/>
      <c r="BM999" s="136"/>
      <c r="BN999" s="136"/>
    </row>
    <row r="1000" spans="1:66" ht="15.75" customHeight="1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  <c r="AA1000" s="136"/>
      <c r="AB1000" s="136"/>
      <c r="AC1000" s="136"/>
      <c r="AD1000" s="136"/>
      <c r="AE1000" s="136"/>
      <c r="AF1000" s="136"/>
      <c r="AG1000" s="136"/>
      <c r="AH1000" s="136"/>
      <c r="AI1000" s="136"/>
      <c r="AJ1000" s="136"/>
      <c r="AK1000" s="136"/>
      <c r="AL1000" s="136"/>
      <c r="AM1000" s="136"/>
      <c r="AN1000" s="136"/>
      <c r="AO1000" s="136"/>
      <c r="AP1000" s="136"/>
      <c r="AQ1000" s="136"/>
      <c r="AR1000" s="136"/>
      <c r="AS1000" s="136"/>
      <c r="AT1000" s="136"/>
      <c r="AU1000" s="136"/>
      <c r="AV1000" s="136"/>
      <c r="AW1000" s="136"/>
      <c r="AX1000" s="136"/>
      <c r="AY1000" s="136"/>
      <c r="AZ1000" s="136"/>
      <c r="BA1000" s="136"/>
      <c r="BB1000" s="136"/>
      <c r="BC1000" s="136"/>
      <c r="BD1000" s="136"/>
      <c r="BE1000" s="136"/>
      <c r="BF1000" s="136"/>
      <c r="BG1000" s="136"/>
      <c r="BH1000" s="136"/>
      <c r="BI1000" s="136"/>
      <c r="BJ1000" s="136"/>
      <c r="BK1000" s="136"/>
      <c r="BL1000" s="136"/>
      <c r="BM1000" s="136"/>
      <c r="BN1000" s="136"/>
    </row>
    <row r="1001" spans="1:66" ht="15.75" customHeight="1">
      <c r="A1001" s="136"/>
      <c r="B1001" s="136"/>
      <c r="C1001" s="136"/>
      <c r="D1001" s="136"/>
      <c r="E1001" s="136"/>
      <c r="F1001" s="136"/>
      <c r="G1001" s="136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  <c r="T1001" s="136"/>
      <c r="U1001" s="136"/>
      <c r="V1001" s="136"/>
      <c r="W1001" s="136"/>
      <c r="X1001" s="136"/>
      <c r="Y1001" s="136"/>
      <c r="Z1001" s="136"/>
      <c r="AA1001" s="136"/>
      <c r="AB1001" s="136"/>
      <c r="AC1001" s="136"/>
      <c r="AD1001" s="136"/>
      <c r="AE1001" s="136"/>
      <c r="AF1001" s="136"/>
      <c r="AG1001" s="136"/>
      <c r="AH1001" s="136"/>
      <c r="AI1001" s="136"/>
      <c r="AJ1001" s="136"/>
      <c r="AK1001" s="136"/>
      <c r="AL1001" s="136"/>
      <c r="AM1001" s="136"/>
      <c r="AN1001" s="136"/>
      <c r="AO1001" s="136"/>
      <c r="AP1001" s="136"/>
      <c r="AQ1001" s="136"/>
      <c r="AR1001" s="136"/>
      <c r="AS1001" s="136"/>
      <c r="AT1001" s="136"/>
      <c r="AU1001" s="136"/>
      <c r="AV1001" s="136"/>
      <c r="AW1001" s="136"/>
      <c r="AX1001" s="136"/>
      <c r="AY1001" s="136"/>
      <c r="AZ1001" s="136"/>
      <c r="BA1001" s="136"/>
      <c r="BB1001" s="136"/>
      <c r="BC1001" s="136"/>
      <c r="BD1001" s="136"/>
      <c r="BE1001" s="136"/>
      <c r="BF1001" s="136"/>
      <c r="BG1001" s="136"/>
      <c r="BH1001" s="136"/>
      <c r="BI1001" s="136"/>
      <c r="BJ1001" s="136"/>
      <c r="BK1001" s="136"/>
      <c r="BL1001" s="136"/>
      <c r="BM1001" s="136"/>
      <c r="BN1001" s="136"/>
    </row>
    <row r="1002" spans="1:66" ht="15.75" customHeight="1">
      <c r="A1002" s="136"/>
      <c r="B1002" s="136"/>
      <c r="C1002" s="136"/>
      <c r="D1002" s="136"/>
      <c r="E1002" s="136"/>
      <c r="F1002" s="136"/>
      <c r="G1002" s="136"/>
      <c r="H1002" s="136"/>
      <c r="I1002" s="136"/>
      <c r="J1002" s="136"/>
      <c r="K1002" s="136"/>
      <c r="L1002" s="136"/>
      <c r="M1002" s="136"/>
      <c r="N1002" s="136"/>
      <c r="O1002" s="136"/>
      <c r="P1002" s="136"/>
      <c r="Q1002" s="136"/>
      <c r="R1002" s="136"/>
      <c r="S1002" s="136"/>
      <c r="T1002" s="136"/>
      <c r="U1002" s="136"/>
      <c r="V1002" s="136"/>
      <c r="W1002" s="136"/>
      <c r="X1002" s="136"/>
      <c r="Y1002" s="136"/>
      <c r="Z1002" s="136"/>
      <c r="AA1002" s="136"/>
      <c r="AB1002" s="136"/>
      <c r="AC1002" s="136"/>
      <c r="AD1002" s="136"/>
      <c r="AE1002" s="136"/>
      <c r="AF1002" s="136"/>
      <c r="AG1002" s="136"/>
      <c r="AH1002" s="136"/>
      <c r="AI1002" s="136"/>
      <c r="AJ1002" s="136"/>
      <c r="AK1002" s="136"/>
      <c r="AL1002" s="136"/>
      <c r="AM1002" s="136"/>
      <c r="AN1002" s="136"/>
      <c r="AO1002" s="136"/>
      <c r="AP1002" s="136"/>
      <c r="AQ1002" s="136"/>
      <c r="AR1002" s="136"/>
      <c r="AS1002" s="136"/>
      <c r="AT1002" s="136"/>
      <c r="AU1002" s="136"/>
      <c r="AV1002" s="136"/>
      <c r="AW1002" s="136"/>
      <c r="AX1002" s="136"/>
      <c r="AY1002" s="136"/>
      <c r="AZ1002" s="136"/>
      <c r="BA1002" s="136"/>
      <c r="BB1002" s="136"/>
      <c r="BC1002" s="136"/>
      <c r="BD1002" s="136"/>
      <c r="BE1002" s="136"/>
      <c r="BF1002" s="136"/>
      <c r="BG1002" s="136"/>
      <c r="BH1002" s="136"/>
      <c r="BI1002" s="136"/>
      <c r="BJ1002" s="136"/>
      <c r="BK1002" s="136"/>
      <c r="BL1002" s="136"/>
      <c r="BM1002" s="136"/>
      <c r="BN1002" s="136"/>
    </row>
    <row r="1003" spans="1:66" ht="15.75" customHeight="1">
      <c r="A1003" s="136"/>
      <c r="B1003" s="136"/>
      <c r="C1003" s="136"/>
      <c r="D1003" s="136"/>
      <c r="E1003" s="136"/>
      <c r="F1003" s="136"/>
      <c r="G1003" s="136"/>
      <c r="H1003" s="136"/>
      <c r="I1003" s="136"/>
      <c r="J1003" s="136"/>
      <c r="K1003" s="136"/>
      <c r="L1003" s="136"/>
      <c r="M1003" s="136"/>
      <c r="N1003" s="136"/>
      <c r="O1003" s="136"/>
      <c r="P1003" s="136"/>
      <c r="Q1003" s="136"/>
      <c r="R1003" s="136"/>
      <c r="S1003" s="136"/>
      <c r="T1003" s="136"/>
      <c r="U1003" s="136"/>
      <c r="V1003" s="136"/>
      <c r="W1003" s="136"/>
      <c r="X1003" s="136"/>
      <c r="Y1003" s="136"/>
      <c r="Z1003" s="136"/>
      <c r="AA1003" s="136"/>
      <c r="AB1003" s="136"/>
      <c r="AC1003" s="136"/>
      <c r="AD1003" s="136"/>
      <c r="AE1003" s="136"/>
      <c r="AF1003" s="136"/>
      <c r="AG1003" s="136"/>
      <c r="AH1003" s="136"/>
      <c r="AI1003" s="136"/>
      <c r="AJ1003" s="136"/>
      <c r="AK1003" s="136"/>
      <c r="AL1003" s="136"/>
      <c r="AM1003" s="136"/>
      <c r="AN1003" s="136"/>
      <c r="AO1003" s="136"/>
      <c r="AP1003" s="136"/>
      <c r="AQ1003" s="136"/>
      <c r="AR1003" s="136"/>
      <c r="AS1003" s="136"/>
      <c r="AT1003" s="136"/>
      <c r="AU1003" s="136"/>
      <c r="AV1003" s="136"/>
      <c r="AW1003" s="136"/>
      <c r="AX1003" s="136"/>
      <c r="AY1003" s="136"/>
      <c r="AZ1003" s="136"/>
      <c r="BA1003" s="136"/>
      <c r="BB1003" s="136"/>
      <c r="BC1003" s="136"/>
      <c r="BD1003" s="136"/>
      <c r="BE1003" s="136"/>
      <c r="BF1003" s="136"/>
      <c r="BG1003" s="136"/>
      <c r="BH1003" s="136"/>
      <c r="BI1003" s="136"/>
      <c r="BJ1003" s="136"/>
      <c r="BK1003" s="136"/>
      <c r="BL1003" s="136"/>
      <c r="BM1003" s="136"/>
      <c r="BN1003" s="136"/>
    </row>
    <row r="1004" spans="1:66" ht="15.75" customHeight="1">
      <c r="A1004" s="136"/>
      <c r="B1004" s="136"/>
      <c r="C1004" s="136"/>
      <c r="D1004" s="136"/>
      <c r="E1004" s="136"/>
      <c r="F1004" s="136"/>
      <c r="G1004" s="136"/>
      <c r="H1004" s="136"/>
      <c r="I1004" s="136"/>
      <c r="J1004" s="136"/>
      <c r="K1004" s="136"/>
      <c r="L1004" s="136"/>
      <c r="M1004" s="136"/>
      <c r="N1004" s="136"/>
      <c r="O1004" s="136"/>
      <c r="P1004" s="136"/>
      <c r="Q1004" s="136"/>
      <c r="R1004" s="136"/>
      <c r="S1004" s="136"/>
      <c r="T1004" s="136"/>
      <c r="U1004" s="136"/>
      <c r="V1004" s="136"/>
      <c r="W1004" s="136"/>
      <c r="X1004" s="136"/>
      <c r="Y1004" s="136"/>
      <c r="Z1004" s="136"/>
      <c r="AA1004" s="136"/>
      <c r="AB1004" s="136"/>
      <c r="AC1004" s="136"/>
      <c r="AD1004" s="136"/>
      <c r="AE1004" s="136"/>
      <c r="AF1004" s="136"/>
      <c r="AG1004" s="136"/>
      <c r="AH1004" s="136"/>
      <c r="AI1004" s="136"/>
      <c r="AJ1004" s="136"/>
      <c r="AK1004" s="136"/>
      <c r="AL1004" s="136"/>
      <c r="AM1004" s="136"/>
      <c r="AN1004" s="136"/>
      <c r="AO1004" s="136"/>
      <c r="AP1004" s="136"/>
      <c r="AQ1004" s="136"/>
      <c r="AR1004" s="136"/>
      <c r="AS1004" s="136"/>
      <c r="AT1004" s="136"/>
      <c r="AU1004" s="136"/>
      <c r="AV1004" s="136"/>
      <c r="AW1004" s="136"/>
      <c r="AX1004" s="136"/>
      <c r="AY1004" s="136"/>
      <c r="AZ1004" s="136"/>
      <c r="BA1004" s="136"/>
      <c r="BB1004" s="136"/>
      <c r="BC1004" s="136"/>
      <c r="BD1004" s="136"/>
      <c r="BE1004" s="136"/>
      <c r="BF1004" s="136"/>
      <c r="BG1004" s="136"/>
      <c r="BH1004" s="136"/>
      <c r="BI1004" s="136"/>
      <c r="BJ1004" s="136"/>
      <c r="BK1004" s="136"/>
      <c r="BL1004" s="136"/>
      <c r="BM1004" s="136"/>
      <c r="BN1004" s="136"/>
    </row>
    <row r="1005" spans="1:66" ht="15.75" customHeight="1">
      <c r="A1005" s="136"/>
      <c r="B1005" s="136"/>
      <c r="C1005" s="136"/>
      <c r="D1005" s="136"/>
      <c r="E1005" s="136"/>
      <c r="F1005" s="136"/>
      <c r="G1005" s="136"/>
      <c r="H1005" s="136"/>
      <c r="I1005" s="136"/>
      <c r="J1005" s="136"/>
      <c r="K1005" s="136"/>
      <c r="L1005" s="136"/>
      <c r="M1005" s="136"/>
      <c r="N1005" s="136"/>
      <c r="O1005" s="136"/>
      <c r="P1005" s="136"/>
      <c r="Q1005" s="136"/>
      <c r="R1005" s="136"/>
      <c r="S1005" s="136"/>
      <c r="T1005" s="136"/>
      <c r="U1005" s="136"/>
      <c r="V1005" s="136"/>
      <c r="W1005" s="136"/>
      <c r="X1005" s="136"/>
      <c r="Y1005" s="136"/>
      <c r="Z1005" s="136"/>
      <c r="AA1005" s="136"/>
      <c r="AB1005" s="136"/>
      <c r="AC1005" s="136"/>
      <c r="AD1005" s="136"/>
      <c r="AE1005" s="136"/>
      <c r="AF1005" s="136"/>
      <c r="AG1005" s="136"/>
      <c r="AH1005" s="136"/>
      <c r="AI1005" s="136"/>
      <c r="AJ1005" s="136"/>
      <c r="AK1005" s="136"/>
      <c r="AL1005" s="136"/>
      <c r="AM1005" s="136"/>
      <c r="AN1005" s="136"/>
      <c r="AO1005" s="136"/>
      <c r="AP1005" s="136"/>
      <c r="AQ1005" s="136"/>
      <c r="AR1005" s="136"/>
      <c r="AS1005" s="136"/>
      <c r="AT1005" s="136"/>
      <c r="AU1005" s="136"/>
      <c r="AV1005" s="136"/>
      <c r="AW1005" s="136"/>
      <c r="AX1005" s="136"/>
      <c r="AY1005" s="136"/>
      <c r="AZ1005" s="136"/>
      <c r="BA1005" s="136"/>
      <c r="BB1005" s="136"/>
      <c r="BC1005" s="136"/>
      <c r="BD1005" s="136"/>
      <c r="BE1005" s="136"/>
      <c r="BF1005" s="136"/>
      <c r="BG1005" s="136"/>
      <c r="BH1005" s="136"/>
      <c r="BI1005" s="136"/>
      <c r="BJ1005" s="136"/>
      <c r="BK1005" s="136"/>
      <c r="BL1005" s="136"/>
      <c r="BM1005" s="136"/>
      <c r="BN1005" s="136"/>
    </row>
  </sheetData>
  <mergeCells count="1">
    <mergeCell ref="AF46:AF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I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328125" defaultRowHeight="15.75" customHeight="1"/>
  <cols>
    <col min="1" max="1" width="18.90625" customWidth="1"/>
    <col min="2" max="11" width="6.26953125" customWidth="1"/>
    <col min="12" max="12" width="6.08984375" customWidth="1"/>
    <col min="13" max="16" width="6.26953125" customWidth="1"/>
    <col min="17" max="17" width="5.36328125" customWidth="1"/>
    <col min="18" max="32" width="6.26953125" customWidth="1"/>
  </cols>
  <sheetData>
    <row r="1" spans="1:35">
      <c r="A1" s="83" t="s">
        <v>641</v>
      </c>
      <c r="B1" s="132">
        <v>3793</v>
      </c>
      <c r="C1" s="132">
        <v>7146</v>
      </c>
      <c r="D1" s="132">
        <v>10790</v>
      </c>
      <c r="E1" s="132">
        <v>284</v>
      </c>
      <c r="F1" s="132" t="e">
        <f>SUM(F3:F38)</f>
        <v>#REF!</v>
      </c>
      <c r="G1" s="132" t="e">
        <f>SUM(G3:G38)</f>
        <v>#REF!</v>
      </c>
      <c r="H1" s="132" t="e">
        <f t="shared" ref="H1:AF1" si="0">SUM(H3:H39)</f>
        <v>#REF!</v>
      </c>
      <c r="I1" s="132" t="e">
        <f t="shared" si="0"/>
        <v>#REF!</v>
      </c>
      <c r="J1" s="132" t="e">
        <f t="shared" si="0"/>
        <v>#REF!</v>
      </c>
      <c r="K1" s="132" t="e">
        <f t="shared" si="0"/>
        <v>#REF!</v>
      </c>
      <c r="L1" s="132" t="e">
        <f t="shared" si="0"/>
        <v>#REF!</v>
      </c>
      <c r="M1" s="132" t="e">
        <f t="shared" si="0"/>
        <v>#REF!</v>
      </c>
      <c r="N1" s="132" t="e">
        <f t="shared" si="0"/>
        <v>#REF!</v>
      </c>
      <c r="O1" s="132" t="e">
        <f t="shared" si="0"/>
        <v>#REF!</v>
      </c>
      <c r="P1" s="132" t="e">
        <f t="shared" si="0"/>
        <v>#REF!</v>
      </c>
      <c r="Q1" s="132" t="e">
        <f t="shared" si="0"/>
        <v>#REF!</v>
      </c>
      <c r="R1" s="132" t="e">
        <f t="shared" si="0"/>
        <v>#REF!</v>
      </c>
      <c r="S1" s="132" t="e">
        <f t="shared" si="0"/>
        <v>#REF!</v>
      </c>
      <c r="T1" s="132" t="e">
        <f t="shared" si="0"/>
        <v>#REF!</v>
      </c>
      <c r="U1" s="132" t="e">
        <f t="shared" si="0"/>
        <v>#REF!</v>
      </c>
      <c r="V1" s="132" t="e">
        <f t="shared" si="0"/>
        <v>#REF!</v>
      </c>
      <c r="W1" s="132" t="e">
        <f t="shared" si="0"/>
        <v>#REF!</v>
      </c>
      <c r="X1" s="132" t="e">
        <f t="shared" si="0"/>
        <v>#REF!</v>
      </c>
      <c r="Y1" s="132" t="e">
        <f t="shared" si="0"/>
        <v>#REF!</v>
      </c>
      <c r="Z1" s="132" t="e">
        <f t="shared" si="0"/>
        <v>#REF!</v>
      </c>
      <c r="AA1" s="132" t="e">
        <f t="shared" si="0"/>
        <v>#REF!</v>
      </c>
      <c r="AB1" s="132" t="e">
        <f t="shared" si="0"/>
        <v>#REF!</v>
      </c>
      <c r="AC1" s="132" t="e">
        <f t="shared" si="0"/>
        <v>#REF!</v>
      </c>
      <c r="AD1" s="132" t="e">
        <f t="shared" si="0"/>
        <v>#REF!</v>
      </c>
      <c r="AE1" s="132" t="e">
        <f t="shared" si="0"/>
        <v>#REF!</v>
      </c>
      <c r="AF1" s="132" t="e">
        <f t="shared" si="0"/>
        <v>#REF!</v>
      </c>
      <c r="AG1" s="164" t="s">
        <v>84</v>
      </c>
    </row>
    <row r="2" spans="1:35">
      <c r="A2" s="83" t="s">
        <v>70</v>
      </c>
      <c r="B2" s="134">
        <v>46082</v>
      </c>
      <c r="C2" s="134">
        <v>46083</v>
      </c>
      <c r="D2" s="134">
        <v>46084</v>
      </c>
      <c r="E2" s="134">
        <v>46085</v>
      </c>
      <c r="F2" s="134">
        <v>46086</v>
      </c>
      <c r="G2" s="134">
        <v>46087</v>
      </c>
      <c r="H2" s="134">
        <v>46088</v>
      </c>
      <c r="I2" s="134">
        <v>46089</v>
      </c>
      <c r="J2" s="134">
        <v>46090</v>
      </c>
      <c r="K2" s="134">
        <v>46091</v>
      </c>
      <c r="L2" s="134">
        <v>46092</v>
      </c>
      <c r="M2" s="134">
        <v>46093</v>
      </c>
      <c r="N2" s="134">
        <v>46094</v>
      </c>
      <c r="O2" s="134">
        <v>46095</v>
      </c>
      <c r="P2" s="134">
        <v>46096</v>
      </c>
      <c r="Q2" s="134">
        <v>46097</v>
      </c>
      <c r="R2" s="134">
        <v>46098</v>
      </c>
      <c r="S2" s="134">
        <v>46099</v>
      </c>
      <c r="T2" s="134">
        <v>46100</v>
      </c>
      <c r="U2" s="134">
        <v>46101</v>
      </c>
      <c r="V2" s="134">
        <v>46102</v>
      </c>
      <c r="W2" s="134">
        <v>46103</v>
      </c>
      <c r="X2" s="134">
        <v>46104</v>
      </c>
      <c r="Y2" s="134">
        <v>46105</v>
      </c>
      <c r="Z2" s="134">
        <v>46106</v>
      </c>
      <c r="AA2" s="134">
        <v>46107</v>
      </c>
      <c r="AB2" s="134">
        <v>46108</v>
      </c>
      <c r="AC2" s="134">
        <v>46109</v>
      </c>
      <c r="AD2" s="134">
        <v>46110</v>
      </c>
      <c r="AE2" s="134">
        <v>46111</v>
      </c>
      <c r="AF2" s="134">
        <v>46112</v>
      </c>
      <c r="AG2" s="164" t="s">
        <v>84</v>
      </c>
      <c r="AH2" s="167"/>
      <c r="AI2" s="167"/>
    </row>
    <row r="3" spans="1:35">
      <c r="A3" s="19"/>
      <c r="B3" s="19" t="e">
        <f t="shared" ref="B3:AF3" si="1">SUM(#REF!)</f>
        <v>#REF!</v>
      </c>
      <c r="C3" s="19" t="e">
        <f t="shared" si="1"/>
        <v>#REF!</v>
      </c>
      <c r="D3" s="19" t="e">
        <f t="shared" si="1"/>
        <v>#REF!</v>
      </c>
      <c r="E3" s="19" t="e">
        <f t="shared" si="1"/>
        <v>#REF!</v>
      </c>
      <c r="F3" s="19" t="e">
        <f t="shared" si="1"/>
        <v>#REF!</v>
      </c>
      <c r="G3" s="19" t="e">
        <f t="shared" si="1"/>
        <v>#REF!</v>
      </c>
      <c r="H3" s="19" t="e">
        <f t="shared" si="1"/>
        <v>#REF!</v>
      </c>
      <c r="I3" s="19" t="e">
        <f t="shared" si="1"/>
        <v>#REF!</v>
      </c>
      <c r="J3" s="19" t="e">
        <f t="shared" si="1"/>
        <v>#REF!</v>
      </c>
      <c r="K3" s="19" t="e">
        <f t="shared" si="1"/>
        <v>#REF!</v>
      </c>
      <c r="L3" s="19" t="e">
        <f t="shared" si="1"/>
        <v>#REF!</v>
      </c>
      <c r="M3" s="19" t="e">
        <f t="shared" si="1"/>
        <v>#REF!</v>
      </c>
      <c r="N3" s="19" t="e">
        <f t="shared" si="1"/>
        <v>#REF!</v>
      </c>
      <c r="O3" s="19" t="e">
        <f t="shared" si="1"/>
        <v>#REF!</v>
      </c>
      <c r="P3" s="19" t="e">
        <f t="shared" si="1"/>
        <v>#REF!</v>
      </c>
      <c r="Q3" s="19" t="e">
        <f t="shared" si="1"/>
        <v>#REF!</v>
      </c>
      <c r="R3" s="19" t="e">
        <f t="shared" si="1"/>
        <v>#REF!</v>
      </c>
      <c r="S3" s="19" t="e">
        <f t="shared" si="1"/>
        <v>#REF!</v>
      </c>
      <c r="T3" s="19" t="e">
        <f t="shared" si="1"/>
        <v>#REF!</v>
      </c>
      <c r="U3" s="19" t="e">
        <f t="shared" si="1"/>
        <v>#REF!</v>
      </c>
      <c r="V3" s="19" t="e">
        <f t="shared" si="1"/>
        <v>#REF!</v>
      </c>
      <c r="W3" s="19" t="e">
        <f t="shared" si="1"/>
        <v>#REF!</v>
      </c>
      <c r="X3" s="19" t="e">
        <f t="shared" si="1"/>
        <v>#REF!</v>
      </c>
      <c r="Y3" s="19" t="e">
        <f t="shared" si="1"/>
        <v>#REF!</v>
      </c>
      <c r="Z3" s="19" t="e">
        <f t="shared" si="1"/>
        <v>#REF!</v>
      </c>
      <c r="AA3" s="19" t="e">
        <f t="shared" si="1"/>
        <v>#REF!</v>
      </c>
      <c r="AB3" s="19" t="e">
        <f t="shared" si="1"/>
        <v>#REF!</v>
      </c>
      <c r="AC3" s="19" t="e">
        <f t="shared" si="1"/>
        <v>#REF!</v>
      </c>
      <c r="AD3" s="19" t="e">
        <f t="shared" si="1"/>
        <v>#REF!</v>
      </c>
      <c r="AE3" s="19" t="e">
        <f t="shared" si="1"/>
        <v>#REF!</v>
      </c>
      <c r="AF3" s="19" t="e">
        <f t="shared" si="1"/>
        <v>#REF!</v>
      </c>
      <c r="AG3" s="168" t="e">
        <f>SUM(B3:AF3)</f>
        <v>#REF!</v>
      </c>
    </row>
    <row r="4" spans="1:35">
      <c r="A4" s="83" t="s">
        <v>470</v>
      </c>
      <c r="B4" s="9">
        <v>298</v>
      </c>
      <c r="C4" s="9">
        <v>1723</v>
      </c>
      <c r="D4" s="9">
        <v>2969</v>
      </c>
      <c r="E4" s="9"/>
      <c r="F4" s="9">
        <v>1577</v>
      </c>
      <c r="G4" s="9">
        <v>1961</v>
      </c>
      <c r="H4" s="9">
        <v>1350</v>
      </c>
      <c r="I4" s="9">
        <v>861</v>
      </c>
      <c r="J4" s="9">
        <v>1721</v>
      </c>
      <c r="K4" s="9">
        <v>1929</v>
      </c>
      <c r="L4" s="9">
        <v>1428</v>
      </c>
      <c r="M4" s="9">
        <v>1228</v>
      </c>
      <c r="N4" s="9">
        <v>2080</v>
      </c>
      <c r="O4" s="9">
        <v>2061</v>
      </c>
      <c r="P4" s="9"/>
      <c r="Q4" s="9">
        <v>1554</v>
      </c>
      <c r="R4" s="9">
        <v>3183</v>
      </c>
      <c r="S4" s="9">
        <v>2330</v>
      </c>
      <c r="T4" s="9">
        <v>2485</v>
      </c>
      <c r="U4" s="9">
        <v>1865</v>
      </c>
      <c r="V4" s="9">
        <v>1738</v>
      </c>
      <c r="W4" s="9">
        <v>2334</v>
      </c>
      <c r="X4" s="9">
        <v>4295</v>
      </c>
      <c r="Y4" s="9">
        <v>2543</v>
      </c>
      <c r="Z4" s="9">
        <v>2980</v>
      </c>
      <c r="AA4" s="9">
        <v>2035</v>
      </c>
      <c r="AB4" s="9">
        <v>2896</v>
      </c>
      <c r="AC4" s="9">
        <v>2499</v>
      </c>
      <c r="AD4" s="9">
        <v>463</v>
      </c>
      <c r="AE4" s="9">
        <v>1110</v>
      </c>
      <c r="AF4" s="9">
        <v>1931</v>
      </c>
      <c r="AG4" s="9">
        <f t="shared" ref="AG4:AG40" si="2">SUM(B4:AF4)</f>
        <v>57427</v>
      </c>
    </row>
    <row r="5" spans="1:35">
      <c r="A5" s="83" t="s">
        <v>91</v>
      </c>
      <c r="B5" s="9">
        <v>132</v>
      </c>
      <c r="C5" s="9">
        <v>991</v>
      </c>
      <c r="D5" s="9">
        <v>1372</v>
      </c>
      <c r="E5" s="9"/>
      <c r="F5" s="9">
        <v>1323</v>
      </c>
      <c r="G5" s="9">
        <v>900</v>
      </c>
      <c r="H5" s="9">
        <v>797</v>
      </c>
      <c r="I5" s="9"/>
      <c r="J5" s="9">
        <v>423</v>
      </c>
      <c r="K5" s="9">
        <v>1295</v>
      </c>
      <c r="L5" s="9">
        <v>842</v>
      </c>
      <c r="M5" s="9">
        <v>848</v>
      </c>
      <c r="N5" s="9"/>
      <c r="O5" s="9">
        <v>1587</v>
      </c>
      <c r="P5" s="9"/>
      <c r="Q5" s="9">
        <v>299</v>
      </c>
      <c r="R5" s="9">
        <v>1405</v>
      </c>
      <c r="S5" s="9">
        <v>323</v>
      </c>
      <c r="T5" s="9">
        <v>1693</v>
      </c>
      <c r="U5" s="9">
        <v>433</v>
      </c>
      <c r="V5" s="9">
        <v>526</v>
      </c>
      <c r="W5" s="9">
        <v>1319</v>
      </c>
      <c r="X5" s="9">
        <v>517</v>
      </c>
      <c r="Y5" s="9">
        <v>994</v>
      </c>
      <c r="Z5" s="9">
        <v>1436</v>
      </c>
      <c r="AA5" s="9">
        <v>1117</v>
      </c>
      <c r="AB5" s="9">
        <v>967</v>
      </c>
      <c r="AC5" s="9">
        <v>1297</v>
      </c>
      <c r="AD5" s="9">
        <v>109</v>
      </c>
      <c r="AE5" s="9">
        <v>1995</v>
      </c>
      <c r="AF5" s="9">
        <v>1829</v>
      </c>
      <c r="AG5" s="9">
        <f t="shared" si="2"/>
        <v>26769</v>
      </c>
    </row>
    <row r="6" spans="1:35">
      <c r="A6" s="83" t="s">
        <v>98</v>
      </c>
      <c r="B6" s="9">
        <v>551</v>
      </c>
      <c r="C6" s="9">
        <v>851</v>
      </c>
      <c r="D6" s="9">
        <v>178</v>
      </c>
      <c r="E6" s="9">
        <v>284</v>
      </c>
      <c r="F6" s="9">
        <v>580</v>
      </c>
      <c r="G6" s="9"/>
      <c r="H6" s="9">
        <v>717</v>
      </c>
      <c r="I6" s="9">
        <v>161</v>
      </c>
      <c r="J6" s="9">
        <v>505</v>
      </c>
      <c r="K6" s="9">
        <v>454</v>
      </c>
      <c r="L6" s="9">
        <v>626</v>
      </c>
      <c r="M6" s="9">
        <v>921</v>
      </c>
      <c r="N6" s="9"/>
      <c r="O6" s="9">
        <v>1074</v>
      </c>
      <c r="P6" s="9">
        <v>575</v>
      </c>
      <c r="Q6" s="9">
        <v>72</v>
      </c>
      <c r="R6" s="9">
        <v>1566</v>
      </c>
      <c r="S6" s="9">
        <v>990</v>
      </c>
      <c r="T6" s="9">
        <v>1152</v>
      </c>
      <c r="U6" s="9">
        <v>558</v>
      </c>
      <c r="V6" s="9">
        <v>436</v>
      </c>
      <c r="W6" s="9">
        <v>964</v>
      </c>
      <c r="X6" s="9">
        <v>593</v>
      </c>
      <c r="Y6" s="9">
        <v>933</v>
      </c>
      <c r="Z6" s="9">
        <v>1228</v>
      </c>
      <c r="AA6" s="9">
        <v>1821</v>
      </c>
      <c r="AB6" s="9">
        <v>490</v>
      </c>
      <c r="AC6" s="9">
        <v>1296</v>
      </c>
      <c r="AD6" s="9">
        <v>537</v>
      </c>
      <c r="AE6" s="9">
        <v>597</v>
      </c>
      <c r="AF6" s="9">
        <v>2143</v>
      </c>
      <c r="AG6" s="9">
        <f t="shared" si="2"/>
        <v>22853</v>
      </c>
    </row>
    <row r="7" spans="1:35">
      <c r="A7" s="83" t="s">
        <v>103</v>
      </c>
      <c r="B7" s="9"/>
      <c r="C7" s="9">
        <v>1802</v>
      </c>
      <c r="D7" s="9">
        <v>1694</v>
      </c>
      <c r="E7" s="9"/>
      <c r="F7" s="9">
        <v>147</v>
      </c>
      <c r="G7" s="9">
        <v>541</v>
      </c>
      <c r="H7" s="9">
        <v>505</v>
      </c>
      <c r="I7" s="9">
        <v>107</v>
      </c>
      <c r="J7" s="9"/>
      <c r="K7" s="9">
        <v>1496</v>
      </c>
      <c r="L7" s="9">
        <v>425</v>
      </c>
      <c r="M7" s="9">
        <v>277</v>
      </c>
      <c r="N7" s="9">
        <v>747</v>
      </c>
      <c r="O7" s="9">
        <v>736</v>
      </c>
      <c r="P7" s="9"/>
      <c r="Q7" s="9">
        <v>764</v>
      </c>
      <c r="R7" s="9">
        <v>680</v>
      </c>
      <c r="S7" s="9">
        <v>386</v>
      </c>
      <c r="T7" s="9">
        <v>519</v>
      </c>
      <c r="U7" s="9">
        <v>596</v>
      </c>
      <c r="V7" s="19"/>
      <c r="W7" s="9">
        <v>1027</v>
      </c>
      <c r="X7" s="9">
        <v>975</v>
      </c>
      <c r="Y7" s="9">
        <v>1376</v>
      </c>
      <c r="Z7" s="9">
        <v>364</v>
      </c>
      <c r="AA7" s="9">
        <v>458</v>
      </c>
      <c r="AB7" s="9">
        <v>458</v>
      </c>
      <c r="AC7" s="9">
        <v>2231</v>
      </c>
      <c r="AD7" s="9">
        <v>356</v>
      </c>
      <c r="AE7" s="9">
        <v>1471</v>
      </c>
      <c r="AF7" s="9">
        <v>1176</v>
      </c>
      <c r="AG7" s="9">
        <f t="shared" si="2"/>
        <v>21314</v>
      </c>
    </row>
    <row r="8" spans="1:35">
      <c r="A8" s="83" t="s">
        <v>454</v>
      </c>
      <c r="B8" s="9">
        <v>942</v>
      </c>
      <c r="C8" s="9"/>
      <c r="D8" s="9">
        <v>1713</v>
      </c>
      <c r="E8" s="9"/>
      <c r="F8" s="9">
        <v>744</v>
      </c>
      <c r="G8" s="9">
        <v>265</v>
      </c>
      <c r="H8" s="9">
        <v>403</v>
      </c>
      <c r="I8" s="9">
        <v>999</v>
      </c>
      <c r="J8" s="9">
        <v>264</v>
      </c>
      <c r="K8" s="9">
        <v>386</v>
      </c>
      <c r="L8" s="9">
        <v>1193</v>
      </c>
      <c r="M8" s="9">
        <v>960</v>
      </c>
      <c r="N8" s="9">
        <v>773</v>
      </c>
      <c r="O8" s="9">
        <v>194</v>
      </c>
      <c r="P8" s="9">
        <v>1013</v>
      </c>
      <c r="Q8" s="9"/>
      <c r="R8" s="9">
        <v>452</v>
      </c>
      <c r="S8" s="9">
        <v>526</v>
      </c>
      <c r="T8" s="9">
        <v>1084</v>
      </c>
      <c r="U8" s="9">
        <v>863</v>
      </c>
      <c r="V8" s="9">
        <v>811</v>
      </c>
      <c r="W8" s="9">
        <v>889</v>
      </c>
      <c r="X8" s="9"/>
      <c r="Y8" s="9">
        <v>382</v>
      </c>
      <c r="Z8" s="9">
        <v>742</v>
      </c>
      <c r="AA8" s="9">
        <v>1074</v>
      </c>
      <c r="AB8" s="9">
        <v>535</v>
      </c>
      <c r="AC8" s="9">
        <v>623</v>
      </c>
      <c r="AD8" s="9">
        <v>420</v>
      </c>
      <c r="AE8" s="9">
        <v>521</v>
      </c>
      <c r="AF8" s="9">
        <v>665</v>
      </c>
      <c r="AG8" s="9">
        <f t="shared" si="2"/>
        <v>19436</v>
      </c>
    </row>
    <row r="9" spans="1:35">
      <c r="A9" s="83" t="s">
        <v>471</v>
      </c>
      <c r="B9" s="9">
        <v>169</v>
      </c>
      <c r="C9" s="9">
        <v>701</v>
      </c>
      <c r="D9" s="9">
        <v>302</v>
      </c>
      <c r="E9" s="9"/>
      <c r="F9" s="9">
        <v>103</v>
      </c>
      <c r="G9" s="9"/>
      <c r="H9" s="9">
        <v>910</v>
      </c>
      <c r="I9" s="9">
        <v>70</v>
      </c>
      <c r="J9" s="9">
        <v>162</v>
      </c>
      <c r="K9" s="9">
        <v>412</v>
      </c>
      <c r="L9" s="9">
        <v>496</v>
      </c>
      <c r="M9" s="9"/>
      <c r="N9" s="9">
        <v>505</v>
      </c>
      <c r="O9" s="9">
        <v>397</v>
      </c>
      <c r="P9" s="9"/>
      <c r="Q9" s="9">
        <v>88</v>
      </c>
      <c r="R9" s="9">
        <v>1659</v>
      </c>
      <c r="S9" s="9">
        <v>451</v>
      </c>
      <c r="T9" s="9">
        <v>159</v>
      </c>
      <c r="U9" s="9"/>
      <c r="V9" s="136">
        <v>791</v>
      </c>
      <c r="W9" s="9">
        <v>540</v>
      </c>
      <c r="X9" s="9">
        <v>462</v>
      </c>
      <c r="Y9" s="9">
        <v>123</v>
      </c>
      <c r="Z9" s="9">
        <v>153</v>
      </c>
      <c r="AA9" s="9">
        <v>178</v>
      </c>
      <c r="AB9" s="9">
        <v>204</v>
      </c>
      <c r="AC9" s="9">
        <v>457</v>
      </c>
      <c r="AD9" s="9"/>
      <c r="AE9" s="9">
        <v>213</v>
      </c>
      <c r="AF9" s="9">
        <v>55</v>
      </c>
      <c r="AG9" s="9">
        <f t="shared" si="2"/>
        <v>9760</v>
      </c>
    </row>
    <row r="10" spans="1:35">
      <c r="A10" s="83" t="s">
        <v>461</v>
      </c>
      <c r="B10" s="9">
        <v>252</v>
      </c>
      <c r="C10" s="9"/>
      <c r="D10" s="9">
        <v>544</v>
      </c>
      <c r="E10" s="9"/>
      <c r="F10" s="9">
        <v>316</v>
      </c>
      <c r="G10" s="9">
        <v>181</v>
      </c>
      <c r="H10" s="9">
        <v>323</v>
      </c>
      <c r="I10" s="9"/>
      <c r="J10" s="9"/>
      <c r="K10" s="9"/>
      <c r="L10" s="9">
        <v>512</v>
      </c>
      <c r="M10" s="9">
        <v>199</v>
      </c>
      <c r="N10" s="9"/>
      <c r="O10" s="9"/>
      <c r="P10" s="9">
        <v>979</v>
      </c>
      <c r="Q10" s="9"/>
      <c r="R10" s="9">
        <v>220</v>
      </c>
      <c r="S10" s="9">
        <v>415</v>
      </c>
      <c r="T10" s="9"/>
      <c r="U10" s="9">
        <v>804</v>
      </c>
      <c r="V10" s="9"/>
      <c r="W10" s="9">
        <v>822</v>
      </c>
      <c r="X10" s="9"/>
      <c r="Y10" s="9"/>
      <c r="Z10" s="9">
        <v>777</v>
      </c>
      <c r="AA10" s="9">
        <v>433</v>
      </c>
      <c r="AB10" s="9"/>
      <c r="AC10" s="9">
        <v>399</v>
      </c>
      <c r="AD10" s="9">
        <v>290</v>
      </c>
      <c r="AE10" s="9"/>
      <c r="AF10" s="9"/>
      <c r="AG10" s="9">
        <f t="shared" si="2"/>
        <v>7466</v>
      </c>
    </row>
    <row r="11" spans="1:35">
      <c r="A11" s="83" t="s">
        <v>463</v>
      </c>
      <c r="B11" s="9"/>
      <c r="C11" s="9"/>
      <c r="D11" s="9">
        <v>457</v>
      </c>
      <c r="E11" s="9"/>
      <c r="F11" s="9"/>
      <c r="G11" s="9">
        <v>101</v>
      </c>
      <c r="H11" s="9">
        <v>294</v>
      </c>
      <c r="I11" s="9">
        <v>137</v>
      </c>
      <c r="J11" s="9"/>
      <c r="K11" s="9">
        <v>192</v>
      </c>
      <c r="L11" s="9">
        <v>303</v>
      </c>
      <c r="M11" s="9">
        <v>90</v>
      </c>
      <c r="N11" s="9"/>
      <c r="O11" s="9">
        <v>100</v>
      </c>
      <c r="P11" s="9">
        <v>1412</v>
      </c>
      <c r="Q11" s="9">
        <v>100</v>
      </c>
      <c r="R11" s="9">
        <v>361</v>
      </c>
      <c r="S11" s="9">
        <v>308</v>
      </c>
      <c r="T11" s="9">
        <v>134</v>
      </c>
      <c r="U11" s="9">
        <v>271</v>
      </c>
      <c r="V11" s="9">
        <v>229</v>
      </c>
      <c r="W11" s="9">
        <v>169</v>
      </c>
      <c r="X11" s="9"/>
      <c r="Y11" s="9">
        <v>842</v>
      </c>
      <c r="Z11" s="9"/>
      <c r="AA11" s="136">
        <v>318</v>
      </c>
      <c r="AB11" s="9"/>
      <c r="AC11" s="9">
        <v>516</v>
      </c>
      <c r="AD11" s="9"/>
      <c r="AE11" s="9">
        <v>282</v>
      </c>
      <c r="AF11" s="9">
        <v>841</v>
      </c>
      <c r="AG11" s="9">
        <f t="shared" si="2"/>
        <v>7457</v>
      </c>
    </row>
    <row r="12" spans="1:35">
      <c r="A12" s="83" t="s">
        <v>486</v>
      </c>
      <c r="B12" s="9">
        <v>191</v>
      </c>
      <c r="C12" s="9">
        <v>86</v>
      </c>
      <c r="D12" s="9">
        <v>166</v>
      </c>
      <c r="E12" s="9"/>
      <c r="F12" s="9">
        <v>41</v>
      </c>
      <c r="G12" s="9"/>
      <c r="H12" s="9">
        <v>179</v>
      </c>
      <c r="I12" s="9">
        <v>433</v>
      </c>
      <c r="J12" s="9"/>
      <c r="K12" s="9">
        <v>603</v>
      </c>
      <c r="L12" s="9"/>
      <c r="M12" s="9">
        <v>563</v>
      </c>
      <c r="N12" s="9">
        <v>341</v>
      </c>
      <c r="O12" s="9"/>
      <c r="P12" s="9"/>
      <c r="Q12" s="9">
        <v>535</v>
      </c>
      <c r="R12" s="9">
        <v>378</v>
      </c>
      <c r="S12" s="9">
        <v>285</v>
      </c>
      <c r="T12" s="9"/>
      <c r="U12" s="9">
        <v>377</v>
      </c>
      <c r="V12" s="136">
        <v>423</v>
      </c>
      <c r="W12" s="9"/>
      <c r="X12" s="9">
        <v>223</v>
      </c>
      <c r="Y12" s="9">
        <v>443</v>
      </c>
      <c r="Z12" s="9"/>
      <c r="AA12" s="9">
        <v>851</v>
      </c>
      <c r="AB12" s="9">
        <v>398</v>
      </c>
      <c r="AC12" s="9">
        <v>155</v>
      </c>
      <c r="AD12" s="9">
        <v>451</v>
      </c>
      <c r="AE12" s="9">
        <v>47</v>
      </c>
      <c r="AF12" s="9"/>
      <c r="AG12" s="9">
        <f t="shared" si="2"/>
        <v>7169</v>
      </c>
    </row>
    <row r="13" spans="1:35">
      <c r="A13" s="83" t="s">
        <v>528</v>
      </c>
      <c r="B13" s="9"/>
      <c r="C13" s="9">
        <v>179</v>
      </c>
      <c r="D13" s="9">
        <v>271</v>
      </c>
      <c r="E13" s="9"/>
      <c r="F13" s="9">
        <v>563</v>
      </c>
      <c r="G13" s="9">
        <v>130</v>
      </c>
      <c r="H13" s="9">
        <v>327</v>
      </c>
      <c r="I13" s="9">
        <v>87</v>
      </c>
      <c r="J13" s="9">
        <v>123</v>
      </c>
      <c r="K13" s="9">
        <v>99</v>
      </c>
      <c r="L13" s="9">
        <v>126</v>
      </c>
      <c r="M13" s="9">
        <v>157</v>
      </c>
      <c r="N13" s="9">
        <v>206</v>
      </c>
      <c r="O13" s="9">
        <v>424</v>
      </c>
      <c r="P13" s="9"/>
      <c r="Q13" s="9">
        <v>359</v>
      </c>
      <c r="R13" s="9">
        <v>260</v>
      </c>
      <c r="S13" s="9">
        <v>684</v>
      </c>
      <c r="T13" s="9"/>
      <c r="U13" s="9">
        <v>181</v>
      </c>
      <c r="V13" s="9">
        <v>238</v>
      </c>
      <c r="W13" s="9">
        <v>271</v>
      </c>
      <c r="X13" s="9">
        <v>156</v>
      </c>
      <c r="Y13" s="9">
        <v>223</v>
      </c>
      <c r="Z13" s="9">
        <v>201</v>
      </c>
      <c r="AA13" s="9">
        <v>209</v>
      </c>
      <c r="AB13" s="9">
        <v>165</v>
      </c>
      <c r="AC13" s="9">
        <v>192</v>
      </c>
      <c r="AD13" s="9"/>
      <c r="AE13" s="9">
        <v>188</v>
      </c>
      <c r="AF13" s="9">
        <v>143</v>
      </c>
      <c r="AG13" s="9">
        <f t="shared" si="2"/>
        <v>6162</v>
      </c>
    </row>
    <row r="14" spans="1:35">
      <c r="A14" s="83" t="s">
        <v>488</v>
      </c>
      <c r="B14" s="9">
        <v>35</v>
      </c>
      <c r="C14" s="9">
        <v>485</v>
      </c>
      <c r="D14" s="9"/>
      <c r="E14" s="9"/>
      <c r="F14" s="9">
        <v>322</v>
      </c>
      <c r="G14" s="9"/>
      <c r="H14" s="9"/>
      <c r="I14" s="9"/>
      <c r="J14" s="9"/>
      <c r="K14" s="9"/>
      <c r="L14" s="9"/>
      <c r="M14" s="9"/>
      <c r="N14" s="9">
        <v>686</v>
      </c>
      <c r="O14" s="9"/>
      <c r="P14" s="9"/>
      <c r="Q14" s="9"/>
      <c r="R14" s="9"/>
      <c r="S14" s="9"/>
      <c r="T14" s="9">
        <v>994</v>
      </c>
      <c r="U14" s="9"/>
      <c r="V14" s="9"/>
      <c r="W14" s="9">
        <v>581</v>
      </c>
      <c r="X14" s="9"/>
      <c r="Y14" s="9"/>
      <c r="Z14" s="9"/>
      <c r="AA14" s="9">
        <v>785</v>
      </c>
      <c r="AB14" s="9">
        <v>365</v>
      </c>
      <c r="AC14" s="9"/>
      <c r="AD14" s="9"/>
      <c r="AE14" s="9">
        <v>637</v>
      </c>
      <c r="AF14" s="9">
        <v>489</v>
      </c>
      <c r="AG14" s="9">
        <f t="shared" si="2"/>
        <v>5379</v>
      </c>
    </row>
    <row r="15" spans="1:35">
      <c r="A15" s="83" t="s">
        <v>557</v>
      </c>
      <c r="B15" s="9">
        <v>390</v>
      </c>
      <c r="C15" s="9"/>
      <c r="D15" s="9">
        <v>371</v>
      </c>
      <c r="E15" s="9"/>
      <c r="F15" s="9"/>
      <c r="G15" s="9"/>
      <c r="H15" s="9"/>
      <c r="I15" s="9"/>
      <c r="J15" s="9">
        <v>756</v>
      </c>
      <c r="K15" s="9"/>
      <c r="L15" s="9">
        <v>1</v>
      </c>
      <c r="M15" s="9">
        <v>410</v>
      </c>
      <c r="N15" s="9">
        <v>415</v>
      </c>
      <c r="O15" s="9"/>
      <c r="P15" s="9"/>
      <c r="Q15" s="9"/>
      <c r="R15" s="9"/>
      <c r="S15" s="9">
        <v>739</v>
      </c>
      <c r="T15" s="9"/>
      <c r="U15" s="9">
        <v>647</v>
      </c>
      <c r="V15" s="9"/>
      <c r="W15" s="9">
        <v>558</v>
      </c>
      <c r="X15" s="9"/>
      <c r="Y15" s="9"/>
      <c r="Z15" s="9"/>
      <c r="AA15" s="9"/>
      <c r="AB15" s="9"/>
      <c r="AC15" s="9"/>
      <c r="AD15" s="9"/>
      <c r="AE15" s="9">
        <v>558</v>
      </c>
      <c r="AF15" s="19"/>
      <c r="AG15" s="9">
        <f t="shared" si="2"/>
        <v>4845</v>
      </c>
    </row>
    <row r="16" spans="1:35">
      <c r="A16" s="83" t="s">
        <v>538</v>
      </c>
      <c r="B16" s="9"/>
      <c r="C16" s="9">
        <v>127</v>
      </c>
      <c r="D16" s="9">
        <v>22</v>
      </c>
      <c r="E16" s="9"/>
      <c r="F16" s="9"/>
      <c r="G16" s="9">
        <v>77</v>
      </c>
      <c r="H16" s="9">
        <v>251</v>
      </c>
      <c r="I16" s="9"/>
      <c r="J16" s="9">
        <v>11</v>
      </c>
      <c r="K16" s="9">
        <v>278</v>
      </c>
      <c r="L16" s="9">
        <v>192</v>
      </c>
      <c r="M16" s="9">
        <v>32</v>
      </c>
      <c r="N16" s="9">
        <v>110</v>
      </c>
      <c r="O16" s="9">
        <v>227</v>
      </c>
      <c r="P16" s="9"/>
      <c r="Q16" s="9">
        <v>251</v>
      </c>
      <c r="R16" s="9">
        <v>32</v>
      </c>
      <c r="S16" s="9">
        <v>32</v>
      </c>
      <c r="T16" s="9">
        <v>102</v>
      </c>
      <c r="U16" s="9">
        <v>142</v>
      </c>
      <c r="V16" s="19"/>
      <c r="W16" s="9">
        <v>73</v>
      </c>
      <c r="X16" s="9">
        <v>125</v>
      </c>
      <c r="Y16" s="9">
        <v>102</v>
      </c>
      <c r="Z16" s="9">
        <v>61</v>
      </c>
      <c r="AA16" s="9">
        <v>96</v>
      </c>
      <c r="AB16" s="9">
        <v>129</v>
      </c>
      <c r="AC16" s="9">
        <v>143</v>
      </c>
      <c r="AD16" s="9"/>
      <c r="AE16" s="9">
        <v>162</v>
      </c>
      <c r="AF16" s="9">
        <v>29</v>
      </c>
      <c r="AG16" s="9">
        <f t="shared" si="2"/>
        <v>2806</v>
      </c>
    </row>
    <row r="17" spans="1:33">
      <c r="A17" s="83" t="s">
        <v>485</v>
      </c>
      <c r="B17" s="9">
        <v>407</v>
      </c>
      <c r="C17" s="9"/>
      <c r="D17" s="9">
        <v>92</v>
      </c>
      <c r="E17" s="9"/>
      <c r="F17" s="9"/>
      <c r="G17" s="9"/>
      <c r="H17" s="9">
        <v>366</v>
      </c>
      <c r="I17" s="9"/>
      <c r="J17" s="9"/>
      <c r="K17" s="9"/>
      <c r="L17" s="9"/>
      <c r="M17" s="9">
        <v>304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>
        <v>410</v>
      </c>
      <c r="Z17" s="9"/>
      <c r="AA17" s="9">
        <v>343</v>
      </c>
      <c r="AB17" s="9"/>
      <c r="AC17" s="9"/>
      <c r="AD17" s="9">
        <v>365</v>
      </c>
      <c r="AE17" s="9"/>
      <c r="AF17" s="9"/>
      <c r="AG17" s="9">
        <f t="shared" si="2"/>
        <v>2287</v>
      </c>
    </row>
    <row r="18" spans="1:33">
      <c r="A18" s="83" t="s">
        <v>547</v>
      </c>
      <c r="B18" s="9"/>
      <c r="C18" s="9"/>
      <c r="D18" s="9">
        <v>134</v>
      </c>
      <c r="E18" s="9"/>
      <c r="F18" s="9"/>
      <c r="G18" s="9">
        <v>148</v>
      </c>
      <c r="H18" s="9">
        <v>195</v>
      </c>
      <c r="I18" s="9"/>
      <c r="J18" s="9">
        <v>4</v>
      </c>
      <c r="K18" s="9">
        <v>24</v>
      </c>
      <c r="L18" s="9">
        <v>2</v>
      </c>
      <c r="M18" s="9">
        <v>39</v>
      </c>
      <c r="N18" s="9">
        <v>19</v>
      </c>
      <c r="O18" s="9">
        <v>17</v>
      </c>
      <c r="P18" s="9"/>
      <c r="Q18" s="9"/>
      <c r="R18" s="9">
        <v>191</v>
      </c>
      <c r="S18" s="9"/>
      <c r="T18" s="9">
        <v>238</v>
      </c>
      <c r="U18" s="9">
        <v>202</v>
      </c>
      <c r="V18" s="9"/>
      <c r="W18" s="9">
        <v>272</v>
      </c>
      <c r="X18" s="9"/>
      <c r="Y18" s="9">
        <v>221</v>
      </c>
      <c r="Z18" s="9">
        <v>113</v>
      </c>
      <c r="AA18" s="9">
        <v>17</v>
      </c>
      <c r="AB18" s="9">
        <v>121</v>
      </c>
      <c r="AC18" s="9"/>
      <c r="AD18" s="9">
        <v>166</v>
      </c>
      <c r="AE18" s="9">
        <v>109</v>
      </c>
      <c r="AF18" s="9">
        <v>35</v>
      </c>
      <c r="AG18" s="9">
        <f t="shared" si="2"/>
        <v>2267</v>
      </c>
    </row>
    <row r="19" spans="1:33">
      <c r="A19" s="83" t="s">
        <v>452</v>
      </c>
      <c r="B19" s="9"/>
      <c r="C19" s="9">
        <v>13</v>
      </c>
      <c r="D19" s="9">
        <v>204</v>
      </c>
      <c r="E19" s="9"/>
      <c r="F19" s="9">
        <v>19</v>
      </c>
      <c r="G19" s="9">
        <v>104</v>
      </c>
      <c r="H19" s="9"/>
      <c r="I19" s="9"/>
      <c r="J19" s="9"/>
      <c r="K19" s="9">
        <v>383</v>
      </c>
      <c r="L19" s="9"/>
      <c r="M19" s="9"/>
      <c r="N19" s="9">
        <v>4</v>
      </c>
      <c r="O19" s="9"/>
      <c r="P19" s="9">
        <v>279</v>
      </c>
      <c r="Q19" s="9"/>
      <c r="R19" s="9">
        <v>37</v>
      </c>
      <c r="S19" s="9">
        <v>23</v>
      </c>
      <c r="T19" s="9">
        <v>100</v>
      </c>
      <c r="U19" s="9">
        <v>72</v>
      </c>
      <c r="V19" s="9"/>
      <c r="W19" s="9">
        <v>281</v>
      </c>
      <c r="X19" s="9"/>
      <c r="Y19" s="9">
        <v>17</v>
      </c>
      <c r="Z19" s="9">
        <v>98</v>
      </c>
      <c r="AA19" s="9"/>
      <c r="AB19" s="9"/>
      <c r="AC19" s="9">
        <v>101</v>
      </c>
      <c r="AD19" s="9"/>
      <c r="AE19" s="9">
        <v>520</v>
      </c>
      <c r="AF19" s="9"/>
      <c r="AG19" s="9">
        <f t="shared" si="2"/>
        <v>2255</v>
      </c>
    </row>
    <row r="20" spans="1:33">
      <c r="A20" s="83" t="s">
        <v>708</v>
      </c>
      <c r="B20" s="9"/>
      <c r="C20" s="9"/>
      <c r="D20" s="9"/>
      <c r="E20" s="9"/>
      <c r="F20" s="9"/>
      <c r="G20" s="9"/>
      <c r="H20" s="9"/>
      <c r="I20" s="9">
        <v>580</v>
      </c>
      <c r="J20" s="9"/>
      <c r="K20" s="9"/>
      <c r="L20" s="9">
        <v>579</v>
      </c>
      <c r="M20" s="9"/>
      <c r="N20" s="9"/>
      <c r="O20" s="9"/>
      <c r="P20" s="9"/>
      <c r="Q20" s="9"/>
      <c r="R20" s="9"/>
      <c r="S20" s="9"/>
      <c r="T20" s="9"/>
      <c r="U20" s="9">
        <v>600</v>
      </c>
      <c r="V20" s="9"/>
      <c r="W20" s="9"/>
      <c r="X20" s="9"/>
      <c r="Y20" s="9"/>
      <c r="Z20" s="9"/>
      <c r="AA20" s="9"/>
      <c r="AB20" s="9">
        <v>407</v>
      </c>
      <c r="AC20" s="9"/>
      <c r="AD20" s="9"/>
      <c r="AE20" s="9"/>
      <c r="AF20" s="136"/>
      <c r="AG20" s="9">
        <f t="shared" si="2"/>
        <v>2166</v>
      </c>
    </row>
    <row r="21" spans="1:33">
      <c r="A21" s="83" t="s">
        <v>510</v>
      </c>
      <c r="B21" s="9"/>
      <c r="C21" s="9">
        <v>57</v>
      </c>
      <c r="D21" s="9">
        <v>90</v>
      </c>
      <c r="E21" s="9"/>
      <c r="F21" s="9"/>
      <c r="G21" s="9"/>
      <c r="H21" s="9"/>
      <c r="I21" s="9">
        <v>1</v>
      </c>
      <c r="J21" s="9">
        <v>243</v>
      </c>
      <c r="K21" s="9"/>
      <c r="L21" s="9"/>
      <c r="M21" s="9">
        <v>239</v>
      </c>
      <c r="N21" s="9"/>
      <c r="O21" s="9"/>
      <c r="P21" s="9"/>
      <c r="Q21" s="9">
        <v>377</v>
      </c>
      <c r="R21" s="9">
        <v>103</v>
      </c>
      <c r="S21" s="9"/>
      <c r="T21" s="9"/>
      <c r="U21" s="9"/>
      <c r="V21" s="9"/>
      <c r="W21" s="9"/>
      <c r="X21" s="9">
        <v>196</v>
      </c>
      <c r="Y21" s="9">
        <v>245</v>
      </c>
      <c r="Z21" s="9"/>
      <c r="AA21" s="9">
        <v>66</v>
      </c>
      <c r="AB21" s="9"/>
      <c r="AC21" s="9">
        <v>1</v>
      </c>
      <c r="AD21" s="9"/>
      <c r="AE21" s="9"/>
      <c r="AF21" s="9">
        <v>23</v>
      </c>
      <c r="AG21" s="9">
        <f t="shared" si="2"/>
        <v>1641</v>
      </c>
    </row>
    <row r="22" spans="1:33">
      <c r="A22" s="83" t="s">
        <v>450</v>
      </c>
      <c r="B22" s="9">
        <v>242</v>
      </c>
      <c r="C22" s="9">
        <v>67</v>
      </c>
      <c r="D22" s="9">
        <v>51</v>
      </c>
      <c r="E22" s="9"/>
      <c r="F22" s="9"/>
      <c r="G22" s="9">
        <v>85</v>
      </c>
      <c r="H22" s="9"/>
      <c r="I22" s="9">
        <v>47</v>
      </c>
      <c r="J22" s="9">
        <v>76</v>
      </c>
      <c r="K22" s="9">
        <v>46</v>
      </c>
      <c r="L22" s="9">
        <v>148</v>
      </c>
      <c r="M22" s="9"/>
      <c r="N22" s="9">
        <v>46</v>
      </c>
      <c r="O22" s="9"/>
      <c r="P22" s="9">
        <v>27</v>
      </c>
      <c r="Q22" s="9">
        <v>49</v>
      </c>
      <c r="R22" s="9">
        <v>84</v>
      </c>
      <c r="S22" s="9"/>
      <c r="T22" s="9"/>
      <c r="U22" s="9">
        <v>23</v>
      </c>
      <c r="V22" s="9"/>
      <c r="W22" s="9">
        <v>79</v>
      </c>
      <c r="X22" s="9">
        <v>111</v>
      </c>
      <c r="Y22" s="9">
        <v>132</v>
      </c>
      <c r="Z22" s="9"/>
      <c r="AA22" s="9">
        <v>39</v>
      </c>
      <c r="AB22" s="9">
        <v>51</v>
      </c>
      <c r="AC22" s="9"/>
      <c r="AD22" s="9">
        <v>47</v>
      </c>
      <c r="AE22" s="9">
        <v>32</v>
      </c>
      <c r="AF22" s="9">
        <v>42</v>
      </c>
      <c r="AG22" s="9">
        <f t="shared" si="2"/>
        <v>1524</v>
      </c>
    </row>
    <row r="23" spans="1:33">
      <c r="A23" s="83" t="s">
        <v>85</v>
      </c>
      <c r="B23" s="9">
        <v>82</v>
      </c>
      <c r="C23" s="9">
        <v>5</v>
      </c>
      <c r="D23" s="9">
        <v>11</v>
      </c>
      <c r="E23" s="9"/>
      <c r="F23" s="9">
        <v>90</v>
      </c>
      <c r="G23" s="9"/>
      <c r="H23" s="9">
        <v>7</v>
      </c>
      <c r="I23" s="9">
        <v>22</v>
      </c>
      <c r="J23" s="9">
        <v>2</v>
      </c>
      <c r="K23" s="9">
        <v>43</v>
      </c>
      <c r="L23" s="9">
        <v>34</v>
      </c>
      <c r="M23" s="9">
        <v>31</v>
      </c>
      <c r="N23" s="9">
        <v>52</v>
      </c>
      <c r="O23" s="9">
        <v>47</v>
      </c>
      <c r="P23" s="9">
        <v>13</v>
      </c>
      <c r="Q23" s="9"/>
      <c r="R23" s="9">
        <v>7</v>
      </c>
      <c r="S23" s="9">
        <v>34</v>
      </c>
      <c r="T23" s="9">
        <v>64</v>
      </c>
      <c r="U23" s="9">
        <v>76</v>
      </c>
      <c r="V23" s="9"/>
      <c r="W23" s="9">
        <v>85</v>
      </c>
      <c r="X23" s="9"/>
      <c r="Y23" s="9">
        <v>31</v>
      </c>
      <c r="Z23" s="9">
        <v>50</v>
      </c>
      <c r="AA23" s="9">
        <v>92</v>
      </c>
      <c r="AB23" s="9">
        <v>62</v>
      </c>
      <c r="AC23" s="9">
        <v>63</v>
      </c>
      <c r="AD23" s="9">
        <v>53</v>
      </c>
      <c r="AE23" s="9">
        <v>8</v>
      </c>
      <c r="AF23" s="9"/>
      <c r="AG23" s="9">
        <f t="shared" si="2"/>
        <v>1064</v>
      </c>
    </row>
    <row r="24" spans="1:33">
      <c r="A24" s="83" t="s">
        <v>539</v>
      </c>
      <c r="B24" s="9">
        <v>102</v>
      </c>
      <c r="C24" s="9"/>
      <c r="D24" s="9">
        <v>36</v>
      </c>
      <c r="E24" s="9"/>
      <c r="F24" s="9">
        <v>8</v>
      </c>
      <c r="G24" s="9"/>
      <c r="H24" s="9">
        <v>49</v>
      </c>
      <c r="I24" s="9"/>
      <c r="J24" s="9">
        <v>12</v>
      </c>
      <c r="K24" s="9"/>
      <c r="L24" s="9">
        <v>18</v>
      </c>
      <c r="M24" s="9">
        <v>52</v>
      </c>
      <c r="N24" s="9"/>
      <c r="O24" s="9">
        <v>33</v>
      </c>
      <c r="P24" s="9"/>
      <c r="Q24" s="9">
        <v>34</v>
      </c>
      <c r="R24" s="9"/>
      <c r="S24" s="9">
        <v>55</v>
      </c>
      <c r="T24" s="9">
        <v>56</v>
      </c>
      <c r="U24" s="9">
        <v>29</v>
      </c>
      <c r="V24" s="9">
        <v>6</v>
      </c>
      <c r="W24" s="9"/>
      <c r="X24" s="9">
        <v>95</v>
      </c>
      <c r="Y24" s="9">
        <v>23</v>
      </c>
      <c r="Z24" s="9"/>
      <c r="AA24" s="9">
        <v>64</v>
      </c>
      <c r="AB24" s="9">
        <v>11</v>
      </c>
      <c r="AC24" s="9">
        <v>13</v>
      </c>
      <c r="AD24" s="9"/>
      <c r="AE24" s="9">
        <v>28</v>
      </c>
      <c r="AF24" s="9">
        <v>8</v>
      </c>
      <c r="AG24" s="9">
        <f t="shared" si="2"/>
        <v>732</v>
      </c>
    </row>
    <row r="25" spans="1:33">
      <c r="A25" s="83" t="s">
        <v>481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>
        <v>264</v>
      </c>
      <c r="U25" s="9"/>
      <c r="V25" s="9"/>
      <c r="W25" s="9"/>
      <c r="X25" s="9"/>
      <c r="Y25" s="9">
        <v>273</v>
      </c>
      <c r="Z25" s="9"/>
      <c r="AA25" s="9"/>
      <c r="AB25" s="9">
        <v>43</v>
      </c>
      <c r="AC25" s="9"/>
      <c r="AD25" s="9"/>
      <c r="AE25" s="9"/>
      <c r="AF25" s="9"/>
      <c r="AG25" s="9">
        <f t="shared" si="2"/>
        <v>580</v>
      </c>
    </row>
    <row r="26" spans="1:33">
      <c r="A26" s="83" t="s">
        <v>90</v>
      </c>
      <c r="B26" s="9"/>
      <c r="C26" s="9">
        <v>37</v>
      </c>
      <c r="D26" s="9"/>
      <c r="E26" s="9"/>
      <c r="F26" s="9"/>
      <c r="G26" s="9">
        <v>35</v>
      </c>
      <c r="H26" s="9">
        <v>41</v>
      </c>
      <c r="I26" s="9"/>
      <c r="J26" s="9">
        <v>11</v>
      </c>
      <c r="K26" s="9">
        <v>26</v>
      </c>
      <c r="L26" s="9"/>
      <c r="M26" s="9"/>
      <c r="N26" s="9"/>
      <c r="O26" s="9"/>
      <c r="P26" s="9"/>
      <c r="Q26" s="9">
        <v>3</v>
      </c>
      <c r="R26" s="9">
        <v>126</v>
      </c>
      <c r="S26" s="9">
        <v>3</v>
      </c>
      <c r="T26" s="9"/>
      <c r="U26" s="9"/>
      <c r="V26" s="9">
        <v>6</v>
      </c>
      <c r="W26" s="9"/>
      <c r="X26" s="9">
        <v>50</v>
      </c>
      <c r="Y26" s="9"/>
      <c r="Z26" s="9">
        <v>7</v>
      </c>
      <c r="AA26" s="9">
        <v>45</v>
      </c>
      <c r="AB26" s="9"/>
      <c r="AC26" s="9"/>
      <c r="AD26" s="9">
        <v>13</v>
      </c>
      <c r="AE26" s="9"/>
      <c r="AF26" s="9">
        <v>6</v>
      </c>
      <c r="AG26" s="9">
        <f t="shared" si="2"/>
        <v>409</v>
      </c>
    </row>
    <row r="27" spans="1:33">
      <c r="A27" s="83" t="s">
        <v>673</v>
      </c>
      <c r="B27" s="9"/>
      <c r="C27" s="9"/>
      <c r="D27" s="9"/>
      <c r="E27" s="9"/>
      <c r="F27" s="9"/>
      <c r="G27" s="9">
        <v>203</v>
      </c>
      <c r="H27" s="9"/>
      <c r="I27" s="9"/>
      <c r="J27" s="9"/>
      <c r="K27" s="9"/>
      <c r="L27" s="9"/>
      <c r="M27" s="9"/>
      <c r="N27" s="9">
        <v>52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>
        <f t="shared" si="2"/>
        <v>255</v>
      </c>
    </row>
    <row r="28" spans="1:33">
      <c r="A28" s="83" t="s">
        <v>67</v>
      </c>
      <c r="B28" s="9"/>
      <c r="C28" s="9"/>
      <c r="D28" s="9">
        <v>96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>
        <f t="shared" si="2"/>
        <v>96</v>
      </c>
    </row>
    <row r="29" spans="1:33">
      <c r="A29" s="83" t="s">
        <v>701</v>
      </c>
      <c r="B29" s="9"/>
      <c r="C29" s="9"/>
      <c r="D29" s="9"/>
      <c r="E29" s="9"/>
      <c r="F29" s="9"/>
      <c r="G29" s="9">
        <v>4</v>
      </c>
      <c r="H29" s="9"/>
      <c r="I29" s="9"/>
      <c r="J29" s="9"/>
      <c r="K29" s="9"/>
      <c r="L29" s="9"/>
      <c r="M29" s="9"/>
      <c r="N29" s="9"/>
      <c r="O29" s="9">
        <v>24</v>
      </c>
      <c r="P29" s="9"/>
      <c r="Q29" s="9"/>
      <c r="R29" s="9"/>
      <c r="S29" s="9"/>
      <c r="T29" s="9"/>
      <c r="U29" s="9">
        <v>7</v>
      </c>
      <c r="V29" s="9"/>
      <c r="W29" s="9">
        <v>1</v>
      </c>
      <c r="X29" s="9"/>
      <c r="Y29" s="9"/>
      <c r="Z29" s="9"/>
      <c r="AA29" s="9"/>
      <c r="AB29" s="9"/>
      <c r="AC29" s="9"/>
      <c r="AD29" s="9"/>
      <c r="AE29" s="9"/>
      <c r="AF29" s="9"/>
      <c r="AG29" s="9">
        <f t="shared" si="2"/>
        <v>36</v>
      </c>
    </row>
    <row r="30" spans="1:33">
      <c r="A30" s="83" t="s">
        <v>525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>
        <v>17</v>
      </c>
      <c r="W30" s="9"/>
      <c r="X30" s="9"/>
      <c r="Y30" s="9"/>
      <c r="Z30" s="9"/>
      <c r="AA30" s="9"/>
      <c r="AB30" s="9">
        <v>15</v>
      </c>
      <c r="AC30" s="9"/>
      <c r="AD30" s="9"/>
      <c r="AE30" s="9"/>
      <c r="AF30" s="9"/>
      <c r="AG30" s="9">
        <f t="shared" si="2"/>
        <v>32</v>
      </c>
    </row>
    <row r="31" spans="1:33">
      <c r="A31" s="83" t="s">
        <v>709</v>
      </c>
      <c r="B31" s="9"/>
      <c r="C31" s="9">
        <v>18</v>
      </c>
      <c r="D31" s="9"/>
      <c r="E31" s="9"/>
      <c r="F31" s="9"/>
      <c r="G31" s="9"/>
      <c r="H31" s="9"/>
      <c r="I31" s="9"/>
      <c r="J31" s="9"/>
      <c r="K31" s="9"/>
      <c r="L31" s="9"/>
      <c r="M31" s="9">
        <v>2</v>
      </c>
      <c r="N31" s="9"/>
      <c r="O31" s="9"/>
      <c r="P31" s="9"/>
      <c r="Q31" s="9"/>
      <c r="R31" s="9"/>
      <c r="S31" s="9"/>
      <c r="T31" s="9"/>
      <c r="U31" s="9"/>
      <c r="V31" s="9">
        <v>1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>
        <f t="shared" si="2"/>
        <v>21</v>
      </c>
    </row>
    <row r="32" spans="1:33">
      <c r="A32" s="83" t="s">
        <v>710</v>
      </c>
      <c r="B32" s="9"/>
      <c r="C32" s="9"/>
      <c r="D32" s="9">
        <v>8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>
        <v>11</v>
      </c>
      <c r="R32" s="9"/>
      <c r="S32" s="9"/>
      <c r="T32" s="9"/>
      <c r="U32" s="9"/>
      <c r="V32" s="9"/>
      <c r="W32" s="9"/>
      <c r="X32" s="9"/>
      <c r="Y32" s="9"/>
      <c r="Z32" s="9"/>
      <c r="AA32" s="9">
        <v>2</v>
      </c>
      <c r="AB32" s="9"/>
      <c r="AC32" s="9"/>
      <c r="AD32" s="9"/>
      <c r="AE32" s="9"/>
      <c r="AF32" s="9"/>
      <c r="AG32" s="9">
        <f t="shared" si="2"/>
        <v>21</v>
      </c>
    </row>
    <row r="33" spans="1:33">
      <c r="A33" s="83" t="s">
        <v>459</v>
      </c>
      <c r="B33" s="9"/>
      <c r="C33" s="9">
        <v>4</v>
      </c>
      <c r="D33" s="9"/>
      <c r="E33" s="9"/>
      <c r="F33" s="9"/>
      <c r="G33" s="9">
        <v>11</v>
      </c>
      <c r="H33" s="9"/>
      <c r="I33" s="9"/>
      <c r="J33" s="9"/>
      <c r="K33" s="9"/>
      <c r="L33" s="9"/>
      <c r="M33" s="9"/>
      <c r="N33" s="9"/>
      <c r="O33" s="9">
        <v>4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>
        <f t="shared" si="2"/>
        <v>19</v>
      </c>
    </row>
    <row r="34" spans="1:33">
      <c r="A34" s="83" t="s">
        <v>511</v>
      </c>
      <c r="B34" s="9"/>
      <c r="C34" s="9"/>
      <c r="D34" s="9">
        <v>1</v>
      </c>
      <c r="E34" s="9"/>
      <c r="F34" s="9"/>
      <c r="G34" s="9"/>
      <c r="H34" s="9"/>
      <c r="I34" s="9"/>
      <c r="J34" s="9"/>
      <c r="K34" s="9"/>
      <c r="L34" s="9">
        <v>3</v>
      </c>
      <c r="M34" s="9">
        <v>1</v>
      </c>
      <c r="N34" s="9"/>
      <c r="O34" s="9"/>
      <c r="P34" s="9"/>
      <c r="Q34" s="9">
        <v>4</v>
      </c>
      <c r="R34" s="9"/>
      <c r="S34" s="9"/>
      <c r="T34" s="9"/>
      <c r="U34" s="9"/>
      <c r="V34" s="9"/>
      <c r="W34" s="9"/>
      <c r="X34" s="9"/>
      <c r="Y34" s="9">
        <v>10</v>
      </c>
      <c r="Z34" s="9"/>
      <c r="AA34" s="9"/>
      <c r="AB34" s="9"/>
      <c r="AC34" s="9"/>
      <c r="AD34" s="9"/>
      <c r="AE34" s="9"/>
      <c r="AF34" s="9"/>
      <c r="AG34" s="9">
        <f t="shared" si="2"/>
        <v>19</v>
      </c>
    </row>
    <row r="35" spans="1:33">
      <c r="A35" s="83" t="s">
        <v>711</v>
      </c>
      <c r="B35" s="9"/>
      <c r="C35" s="9"/>
      <c r="D35" s="9"/>
      <c r="E35" s="9"/>
      <c r="F35" s="9"/>
      <c r="G35" s="9"/>
      <c r="H35" s="9">
        <v>6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>
        <v>13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>
        <f t="shared" si="2"/>
        <v>19</v>
      </c>
    </row>
    <row r="36" spans="1:33">
      <c r="A36" s="83" t="s">
        <v>644</v>
      </c>
      <c r="B36" s="9"/>
      <c r="C36" s="9"/>
      <c r="D36" s="9">
        <v>8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</v>
      </c>
      <c r="R36" s="9"/>
      <c r="S36" s="9"/>
      <c r="T36" s="9"/>
      <c r="U36" s="9"/>
      <c r="V36" s="9"/>
      <c r="W36" s="9"/>
      <c r="X36" s="9"/>
      <c r="Y36" s="9">
        <v>4</v>
      </c>
      <c r="Z36" s="9"/>
      <c r="AA36" s="9"/>
      <c r="AB36" s="9"/>
      <c r="AC36" s="9"/>
      <c r="AD36" s="9"/>
      <c r="AE36" s="9"/>
      <c r="AF36" s="9"/>
      <c r="AG36" s="9">
        <f t="shared" si="2"/>
        <v>13</v>
      </c>
    </row>
    <row r="37" spans="1:33">
      <c r="A37" s="83" t="s">
        <v>554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>
        <v>2</v>
      </c>
      <c r="M37" s="9">
        <v>2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>
        <v>5</v>
      </c>
      <c r="Y37" s="9"/>
      <c r="Z37" s="9"/>
      <c r="AA37" s="9"/>
      <c r="AB37" s="9"/>
      <c r="AC37" s="9"/>
      <c r="AD37" s="9"/>
      <c r="AE37" s="9"/>
      <c r="AF37" s="9"/>
      <c r="AG37" s="9">
        <f t="shared" si="2"/>
        <v>9</v>
      </c>
    </row>
    <row r="38" spans="1:33">
      <c r="A38" s="83" t="s">
        <v>712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>
        <v>2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>
        <f t="shared" si="2"/>
        <v>2</v>
      </c>
    </row>
    <row r="39" spans="1:33">
      <c r="A39" s="83" t="s">
        <v>458</v>
      </c>
      <c r="B39" s="9"/>
      <c r="C39" s="9"/>
      <c r="D39" s="9"/>
      <c r="E39" s="9"/>
      <c r="F39" s="9"/>
      <c r="G39" s="9"/>
      <c r="H39" s="9"/>
      <c r="I39" s="9"/>
      <c r="J39" s="9">
        <v>1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>
        <f t="shared" si="2"/>
        <v>1</v>
      </c>
    </row>
    <row r="40" spans="1:33">
      <c r="A40" s="84" t="s">
        <v>645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>
        <v>1</v>
      </c>
      <c r="AA40" s="136"/>
      <c r="AB40" s="136"/>
      <c r="AC40" s="136"/>
      <c r="AD40" s="136"/>
      <c r="AE40" s="136"/>
      <c r="AF40" s="136"/>
      <c r="AG40" s="136">
        <f t="shared" si="2"/>
        <v>1</v>
      </c>
    </row>
    <row r="42" spans="1:33">
      <c r="A42" s="83" t="s">
        <v>646</v>
      </c>
      <c r="B42" s="137">
        <v>4922</v>
      </c>
      <c r="C42" s="137">
        <v>4789</v>
      </c>
      <c r="D42" s="137">
        <v>10180</v>
      </c>
      <c r="E42" s="137">
        <v>2937</v>
      </c>
      <c r="F42" s="137">
        <f t="shared" ref="F42:I42" si="3">SUM(F44:F68)</f>
        <v>5690</v>
      </c>
      <c r="G42" s="137">
        <f t="shared" si="3"/>
        <v>4898</v>
      </c>
      <c r="H42" s="137">
        <f t="shared" si="3"/>
        <v>7731</v>
      </c>
      <c r="I42" s="137">
        <f t="shared" si="3"/>
        <v>8125</v>
      </c>
      <c r="J42" s="137">
        <f t="shared" ref="J42:AF42" si="4">SUM(J44:J70)</f>
        <v>5017</v>
      </c>
      <c r="K42" s="137">
        <f t="shared" si="4"/>
        <v>7862</v>
      </c>
      <c r="L42" s="137">
        <f t="shared" si="4"/>
        <v>7736</v>
      </c>
      <c r="M42" s="137">
        <f t="shared" si="4"/>
        <v>5494</v>
      </c>
      <c r="N42" s="137">
        <f t="shared" si="4"/>
        <v>5655</v>
      </c>
      <c r="O42" s="137">
        <f t="shared" si="4"/>
        <v>7474</v>
      </c>
      <c r="P42" s="137">
        <f t="shared" si="4"/>
        <v>5291</v>
      </c>
      <c r="Q42" s="137">
        <f t="shared" si="4"/>
        <v>3778</v>
      </c>
      <c r="R42" s="137">
        <f t="shared" si="4"/>
        <v>7891</v>
      </c>
      <c r="S42" s="137">
        <f t="shared" si="4"/>
        <v>9503</v>
      </c>
      <c r="T42" s="137">
        <f t="shared" si="4"/>
        <v>9160</v>
      </c>
      <c r="U42" s="137">
        <f t="shared" si="4"/>
        <v>7283</v>
      </c>
      <c r="V42" s="137">
        <f t="shared" si="4"/>
        <v>6121</v>
      </c>
      <c r="W42" s="137">
        <f t="shared" si="4"/>
        <v>8039</v>
      </c>
      <c r="X42" s="137">
        <f t="shared" si="4"/>
        <v>8549</v>
      </c>
      <c r="Y42" s="137">
        <f t="shared" si="4"/>
        <v>9916</v>
      </c>
      <c r="Z42" s="137">
        <f t="shared" si="4"/>
        <v>9369</v>
      </c>
      <c r="AA42" s="137">
        <f t="shared" si="4"/>
        <v>8716</v>
      </c>
      <c r="AB42" s="137">
        <f t="shared" si="4"/>
        <v>6342</v>
      </c>
      <c r="AC42" s="137">
        <f t="shared" si="4"/>
        <v>9820</v>
      </c>
      <c r="AD42" s="137">
        <f t="shared" si="4"/>
        <v>8796</v>
      </c>
      <c r="AE42" s="137">
        <f t="shared" si="4"/>
        <v>5389</v>
      </c>
      <c r="AF42" s="137">
        <f t="shared" si="4"/>
        <v>9018</v>
      </c>
      <c r="AG42" s="169" t="s">
        <v>84</v>
      </c>
    </row>
    <row r="43" spans="1:33">
      <c r="A43" s="83" t="s">
        <v>70</v>
      </c>
      <c r="B43" s="134">
        <v>46082</v>
      </c>
      <c r="C43" s="134">
        <v>46083</v>
      </c>
      <c r="D43" s="134">
        <v>46084</v>
      </c>
      <c r="E43" s="134">
        <v>46085</v>
      </c>
      <c r="F43" s="134">
        <v>46086</v>
      </c>
      <c r="G43" s="134">
        <v>46087</v>
      </c>
      <c r="H43" s="134">
        <v>46088</v>
      </c>
      <c r="I43" s="134">
        <v>46089</v>
      </c>
      <c r="J43" s="134">
        <v>46090</v>
      </c>
      <c r="K43" s="134">
        <v>46091</v>
      </c>
      <c r="L43" s="134">
        <v>46092</v>
      </c>
      <c r="M43" s="134">
        <v>46093</v>
      </c>
      <c r="N43" s="134">
        <v>46094</v>
      </c>
      <c r="O43" s="134">
        <v>46095</v>
      </c>
      <c r="P43" s="134">
        <v>46096</v>
      </c>
      <c r="Q43" s="134">
        <v>46097</v>
      </c>
      <c r="R43" s="134">
        <v>46098</v>
      </c>
      <c r="S43" s="134">
        <v>46099</v>
      </c>
      <c r="T43" s="134">
        <v>46100</v>
      </c>
      <c r="U43" s="134">
        <v>46101</v>
      </c>
      <c r="V43" s="134">
        <v>46102</v>
      </c>
      <c r="W43" s="134">
        <v>46103</v>
      </c>
      <c r="X43" s="134">
        <v>46104</v>
      </c>
      <c r="Y43" s="134">
        <v>46105</v>
      </c>
      <c r="Z43" s="134">
        <v>46106</v>
      </c>
      <c r="AA43" s="134">
        <v>46107</v>
      </c>
      <c r="AB43" s="134">
        <v>46108</v>
      </c>
      <c r="AC43" s="134">
        <v>46109</v>
      </c>
      <c r="AD43" s="134">
        <v>46110</v>
      </c>
      <c r="AE43" s="134">
        <v>46111</v>
      </c>
      <c r="AF43" s="134">
        <v>46112</v>
      </c>
      <c r="AG43" s="169"/>
    </row>
    <row r="44" spans="1:3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26" t="s">
        <v>713</v>
      </c>
      <c r="AF44" s="197"/>
      <c r="AG44" s="170">
        <f>SUM(AG16:AG43)</f>
        <v>18275</v>
      </c>
    </row>
    <row r="45" spans="1:33">
      <c r="A45" s="83" t="s">
        <v>90</v>
      </c>
      <c r="B45" s="9">
        <v>2348</v>
      </c>
      <c r="C45" s="9">
        <v>666</v>
      </c>
      <c r="D45" s="9">
        <v>1116</v>
      </c>
      <c r="E45" s="9">
        <v>358</v>
      </c>
      <c r="F45" s="9">
        <v>860</v>
      </c>
      <c r="G45" s="9">
        <v>1060</v>
      </c>
      <c r="H45" s="9">
        <v>1914</v>
      </c>
      <c r="I45" s="9">
        <v>1381</v>
      </c>
      <c r="J45" s="9">
        <v>1158</v>
      </c>
      <c r="K45" s="9">
        <v>2312</v>
      </c>
      <c r="L45" s="9">
        <v>2448</v>
      </c>
      <c r="M45" s="9">
        <v>2076</v>
      </c>
      <c r="N45" s="9">
        <v>2428</v>
      </c>
      <c r="O45" s="9">
        <v>2188</v>
      </c>
      <c r="P45" s="9">
        <v>965</v>
      </c>
      <c r="Q45" s="9">
        <v>1067</v>
      </c>
      <c r="R45" s="9">
        <v>2393</v>
      </c>
      <c r="S45" s="9">
        <v>1677</v>
      </c>
      <c r="T45" s="9">
        <v>2327</v>
      </c>
      <c r="U45" s="9">
        <v>1418</v>
      </c>
      <c r="V45" s="9">
        <v>2576</v>
      </c>
      <c r="W45" s="9">
        <v>1058</v>
      </c>
      <c r="X45" s="9">
        <v>2976</v>
      </c>
      <c r="Y45" s="9">
        <v>2291</v>
      </c>
      <c r="Z45" s="9">
        <v>1888</v>
      </c>
      <c r="AA45" s="9">
        <v>3240</v>
      </c>
      <c r="AB45" s="9">
        <v>2190</v>
      </c>
      <c r="AC45" s="9">
        <v>2147</v>
      </c>
      <c r="AD45" s="9">
        <v>1910</v>
      </c>
      <c r="AE45" s="9">
        <v>2887</v>
      </c>
      <c r="AF45" s="9">
        <v>2895</v>
      </c>
      <c r="AG45" s="9">
        <f t="shared" ref="AG45:AG71" si="5">SUM(B45:AF45)</f>
        <v>58218</v>
      </c>
    </row>
    <row r="46" spans="1:33">
      <c r="A46" s="83" t="s">
        <v>96</v>
      </c>
      <c r="B46" s="9">
        <v>799</v>
      </c>
      <c r="C46" s="9">
        <v>1221</v>
      </c>
      <c r="D46" s="9">
        <v>4465</v>
      </c>
      <c r="E46" s="9">
        <v>1116</v>
      </c>
      <c r="F46" s="9">
        <v>1687</v>
      </c>
      <c r="G46" s="9">
        <v>1387</v>
      </c>
      <c r="H46" s="9">
        <v>1766</v>
      </c>
      <c r="I46" s="9">
        <v>1249</v>
      </c>
      <c r="J46" s="9">
        <v>559</v>
      </c>
      <c r="K46" s="9">
        <v>789</v>
      </c>
      <c r="L46" s="9">
        <v>1486</v>
      </c>
      <c r="M46" s="9">
        <v>1036</v>
      </c>
      <c r="N46" s="9">
        <v>1291</v>
      </c>
      <c r="O46" s="9">
        <v>541</v>
      </c>
      <c r="P46" s="9">
        <v>2124</v>
      </c>
      <c r="Q46" s="9">
        <v>650</v>
      </c>
      <c r="R46" s="9">
        <v>1410</v>
      </c>
      <c r="S46" s="9">
        <v>2382</v>
      </c>
      <c r="T46" s="9">
        <v>2275</v>
      </c>
      <c r="U46" s="9">
        <v>1043</v>
      </c>
      <c r="V46" s="9">
        <v>2171</v>
      </c>
      <c r="W46" s="9">
        <v>1660</v>
      </c>
      <c r="X46" s="9">
        <v>1289</v>
      </c>
      <c r="Y46" s="9">
        <v>2607</v>
      </c>
      <c r="Z46" s="9">
        <v>2062</v>
      </c>
      <c r="AA46" s="9">
        <v>2251</v>
      </c>
      <c r="AB46" s="9">
        <v>558</v>
      </c>
      <c r="AC46" s="19">
        <v>2351</v>
      </c>
      <c r="AD46" s="9">
        <v>2255</v>
      </c>
      <c r="AE46" s="9">
        <v>759</v>
      </c>
      <c r="AF46" s="9">
        <v>2624</v>
      </c>
      <c r="AG46" s="9">
        <f t="shared" si="5"/>
        <v>49863</v>
      </c>
    </row>
    <row r="47" spans="1:33">
      <c r="A47" s="83" t="s">
        <v>108</v>
      </c>
      <c r="B47" s="9">
        <v>610</v>
      </c>
      <c r="C47" s="9">
        <v>1350</v>
      </c>
      <c r="D47" s="9">
        <v>2528</v>
      </c>
      <c r="E47" s="9">
        <v>1063</v>
      </c>
      <c r="F47" s="9">
        <v>1478</v>
      </c>
      <c r="G47" s="9">
        <v>922</v>
      </c>
      <c r="H47" s="9">
        <v>1438</v>
      </c>
      <c r="I47" s="9">
        <v>549</v>
      </c>
      <c r="J47" s="9">
        <v>409</v>
      </c>
      <c r="K47" s="9">
        <v>1437</v>
      </c>
      <c r="L47" s="9">
        <v>1401</v>
      </c>
      <c r="M47" s="9">
        <v>1350</v>
      </c>
      <c r="N47" s="9">
        <v>1318</v>
      </c>
      <c r="O47" s="9">
        <v>1367</v>
      </c>
      <c r="P47" s="9">
        <v>1538</v>
      </c>
      <c r="Q47" s="9">
        <v>528</v>
      </c>
      <c r="R47" s="9">
        <v>1406</v>
      </c>
      <c r="S47" s="9">
        <v>2277</v>
      </c>
      <c r="T47" s="9">
        <v>2933</v>
      </c>
      <c r="U47" s="9">
        <v>1674</v>
      </c>
      <c r="V47" s="9">
        <v>642</v>
      </c>
      <c r="W47" s="9">
        <v>1674</v>
      </c>
      <c r="X47" s="9">
        <v>1729</v>
      </c>
      <c r="Y47" s="9">
        <v>3093</v>
      </c>
      <c r="Z47" s="9">
        <v>1914</v>
      </c>
      <c r="AA47" s="9">
        <v>1228</v>
      </c>
      <c r="AB47" s="9">
        <v>1949</v>
      </c>
      <c r="AC47" s="9">
        <v>2462</v>
      </c>
      <c r="AD47" s="9">
        <v>1282</v>
      </c>
      <c r="AE47" s="9">
        <v>1117</v>
      </c>
      <c r="AF47" s="9">
        <v>1501</v>
      </c>
      <c r="AG47" s="9">
        <f t="shared" si="5"/>
        <v>46167</v>
      </c>
    </row>
    <row r="48" spans="1:33">
      <c r="A48" s="83" t="s">
        <v>462</v>
      </c>
      <c r="B48" s="9">
        <v>281</v>
      </c>
      <c r="C48" s="9">
        <v>1377</v>
      </c>
      <c r="D48" s="9">
        <v>1143</v>
      </c>
      <c r="E48" s="9"/>
      <c r="F48" s="9">
        <v>757</v>
      </c>
      <c r="G48" s="9">
        <v>285</v>
      </c>
      <c r="H48" s="9">
        <v>1856</v>
      </c>
      <c r="I48" s="9">
        <v>796</v>
      </c>
      <c r="J48" s="9">
        <v>475</v>
      </c>
      <c r="K48" s="9">
        <v>1180</v>
      </c>
      <c r="L48" s="9">
        <v>789</v>
      </c>
      <c r="M48" s="9">
        <v>364</v>
      </c>
      <c r="N48" s="9"/>
      <c r="O48" s="9">
        <v>2352</v>
      </c>
      <c r="P48" s="9">
        <v>404</v>
      </c>
      <c r="Q48" s="9">
        <v>426</v>
      </c>
      <c r="R48" s="9">
        <v>772</v>
      </c>
      <c r="S48" s="9">
        <v>1328</v>
      </c>
      <c r="T48" s="9">
        <v>536</v>
      </c>
      <c r="U48" s="9">
        <v>1501</v>
      </c>
      <c r="V48" s="9"/>
      <c r="W48" s="9">
        <v>2025</v>
      </c>
      <c r="X48" s="9">
        <v>1571</v>
      </c>
      <c r="Y48" s="9">
        <v>740</v>
      </c>
      <c r="Z48" s="9">
        <v>1613</v>
      </c>
      <c r="AA48" s="9">
        <v>749</v>
      </c>
      <c r="AB48" s="9">
        <v>642</v>
      </c>
      <c r="AC48" s="9">
        <v>1633</v>
      </c>
      <c r="AD48" s="9">
        <v>2021</v>
      </c>
      <c r="AE48" s="9">
        <v>430</v>
      </c>
      <c r="AF48" s="9">
        <v>1110</v>
      </c>
      <c r="AG48" s="9">
        <f t="shared" si="5"/>
        <v>29156</v>
      </c>
    </row>
    <row r="49" spans="1:33">
      <c r="A49" s="83" t="s">
        <v>714</v>
      </c>
      <c r="B49" s="9">
        <v>387</v>
      </c>
      <c r="C49" s="9"/>
      <c r="D49" s="9">
        <v>272</v>
      </c>
      <c r="E49" s="9"/>
      <c r="F49" s="9">
        <v>344</v>
      </c>
      <c r="G49" s="9"/>
      <c r="H49" s="9">
        <v>356</v>
      </c>
      <c r="I49" s="9">
        <v>231</v>
      </c>
      <c r="J49" s="9"/>
      <c r="K49" s="9">
        <v>310</v>
      </c>
      <c r="L49" s="9">
        <v>486</v>
      </c>
      <c r="M49" s="9">
        <v>82</v>
      </c>
      <c r="N49" s="9"/>
      <c r="O49" s="9">
        <v>449</v>
      </c>
      <c r="P49" s="9"/>
      <c r="Q49" s="9">
        <v>531</v>
      </c>
      <c r="R49" s="9">
        <v>607</v>
      </c>
      <c r="S49" s="9">
        <v>1384</v>
      </c>
      <c r="T49" s="9"/>
      <c r="U49" s="9">
        <v>895</v>
      </c>
      <c r="V49" s="9">
        <v>89</v>
      </c>
      <c r="W49" s="9">
        <v>785</v>
      </c>
      <c r="X49" s="9"/>
      <c r="Y49" s="9">
        <v>747</v>
      </c>
      <c r="Z49" s="9">
        <v>889</v>
      </c>
      <c r="AA49" s="9">
        <v>801</v>
      </c>
      <c r="AB49" s="9">
        <v>329</v>
      </c>
      <c r="AC49" s="9">
        <v>387</v>
      </c>
      <c r="AD49" s="9">
        <v>566</v>
      </c>
      <c r="AE49" s="9">
        <v>95</v>
      </c>
      <c r="AF49" s="9">
        <f>174+37</f>
        <v>211</v>
      </c>
      <c r="AG49" s="9">
        <f t="shared" si="5"/>
        <v>11233</v>
      </c>
    </row>
    <row r="50" spans="1:33">
      <c r="A50" s="83" t="s">
        <v>459</v>
      </c>
      <c r="B50" s="9">
        <v>257</v>
      </c>
      <c r="C50" s="9">
        <v>62</v>
      </c>
      <c r="D50" s="9">
        <v>320</v>
      </c>
      <c r="E50" s="9">
        <v>231</v>
      </c>
      <c r="F50" s="9">
        <v>18</v>
      </c>
      <c r="G50" s="9">
        <v>269</v>
      </c>
      <c r="H50" s="9">
        <v>123</v>
      </c>
      <c r="I50" s="9">
        <v>180</v>
      </c>
      <c r="J50" s="9">
        <v>108</v>
      </c>
      <c r="K50" s="9">
        <v>349</v>
      </c>
      <c r="L50" s="9">
        <v>115</v>
      </c>
      <c r="M50" s="9">
        <v>365</v>
      </c>
      <c r="N50" s="9">
        <v>222</v>
      </c>
      <c r="O50" s="9">
        <v>297</v>
      </c>
      <c r="P50" s="9"/>
      <c r="Q50" s="9">
        <v>316</v>
      </c>
      <c r="R50" s="9">
        <v>527</v>
      </c>
      <c r="S50" s="9">
        <v>87</v>
      </c>
      <c r="T50" s="9">
        <v>465</v>
      </c>
      <c r="U50" s="9">
        <v>269</v>
      </c>
      <c r="V50" s="9">
        <v>331</v>
      </c>
      <c r="W50" s="9">
        <v>204</v>
      </c>
      <c r="X50" s="9">
        <v>331</v>
      </c>
      <c r="Y50" s="9">
        <v>110</v>
      </c>
      <c r="Z50" s="9">
        <v>266</v>
      </c>
      <c r="AA50" s="9">
        <v>202</v>
      </c>
      <c r="AB50" s="9">
        <v>195</v>
      </c>
      <c r="AC50" s="9">
        <v>428</v>
      </c>
      <c r="AD50" s="9">
        <v>331</v>
      </c>
      <c r="AE50" s="9">
        <v>59</v>
      </c>
      <c r="AF50" s="9">
        <v>248</v>
      </c>
      <c r="AG50" s="9">
        <f t="shared" si="5"/>
        <v>7285</v>
      </c>
    </row>
    <row r="51" spans="1:33">
      <c r="A51" s="83" t="s">
        <v>67</v>
      </c>
      <c r="B51" s="9"/>
      <c r="C51" s="9"/>
      <c r="D51" s="9">
        <v>61</v>
      </c>
      <c r="E51" s="9"/>
      <c r="F51" s="9"/>
      <c r="G51" s="9"/>
      <c r="H51" s="9"/>
      <c r="I51" s="9">
        <v>3581</v>
      </c>
      <c r="J51" s="9">
        <v>1990</v>
      </c>
      <c r="K51" s="9">
        <v>518</v>
      </c>
      <c r="L51" s="9"/>
      <c r="M51" s="9"/>
      <c r="N51" s="9"/>
      <c r="O51" s="9"/>
      <c r="P51" s="9">
        <v>238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>
        <f t="shared" si="5"/>
        <v>6388</v>
      </c>
    </row>
    <row r="52" spans="1:33">
      <c r="A52" s="83" t="s">
        <v>118</v>
      </c>
      <c r="B52" s="9"/>
      <c r="C52" s="9"/>
      <c r="D52" s="9"/>
      <c r="E52" s="9"/>
      <c r="F52" s="9">
        <v>96</v>
      </c>
      <c r="G52" s="9">
        <v>221</v>
      </c>
      <c r="H52" s="9">
        <v>178</v>
      </c>
      <c r="I52" s="9">
        <v>69</v>
      </c>
      <c r="J52" s="9"/>
      <c r="K52" s="9">
        <v>80</v>
      </c>
      <c r="L52" s="9">
        <v>193</v>
      </c>
      <c r="M52" s="9"/>
      <c r="N52" s="9">
        <v>127</v>
      </c>
      <c r="O52" s="9">
        <v>75</v>
      </c>
      <c r="P52" s="9"/>
      <c r="Q52" s="9">
        <v>119</v>
      </c>
      <c r="R52" s="9">
        <v>99</v>
      </c>
      <c r="S52" s="9">
        <v>169</v>
      </c>
      <c r="T52" s="9">
        <v>241</v>
      </c>
      <c r="U52" s="9">
        <v>76</v>
      </c>
      <c r="V52" s="9">
        <v>201</v>
      </c>
      <c r="W52" s="9">
        <v>253</v>
      </c>
      <c r="X52" s="9">
        <v>184</v>
      </c>
      <c r="Y52" s="9">
        <v>104</v>
      </c>
      <c r="Z52" s="9">
        <v>209</v>
      </c>
      <c r="AA52" s="9">
        <v>70</v>
      </c>
      <c r="AB52" s="9">
        <v>143</v>
      </c>
      <c r="AC52" s="9">
        <v>131</v>
      </c>
      <c r="AD52" s="9">
        <v>100</v>
      </c>
      <c r="AE52" s="9">
        <v>19</v>
      </c>
      <c r="AF52" s="9">
        <v>125</v>
      </c>
      <c r="AG52" s="9">
        <f t="shared" si="5"/>
        <v>3282</v>
      </c>
    </row>
    <row r="53" spans="1:33">
      <c r="A53" s="83" t="s">
        <v>121</v>
      </c>
      <c r="B53" s="9">
        <v>48</v>
      </c>
      <c r="C53" s="9">
        <v>70</v>
      </c>
      <c r="D53" s="9">
        <v>36</v>
      </c>
      <c r="E53" s="9">
        <v>91</v>
      </c>
      <c r="F53" s="9">
        <v>9</v>
      </c>
      <c r="G53" s="9">
        <v>37</v>
      </c>
      <c r="H53" s="9"/>
      <c r="I53" s="9"/>
      <c r="J53" s="9">
        <v>149</v>
      </c>
      <c r="K53" s="9"/>
      <c r="L53" s="9">
        <v>164</v>
      </c>
      <c r="M53" s="9"/>
      <c r="N53" s="9"/>
      <c r="O53" s="9">
        <v>148</v>
      </c>
      <c r="P53" s="9"/>
      <c r="Q53" s="9">
        <v>127</v>
      </c>
      <c r="R53" s="9">
        <v>241</v>
      </c>
      <c r="S53" s="9">
        <v>68</v>
      </c>
      <c r="T53" s="9">
        <v>77</v>
      </c>
      <c r="U53" s="9">
        <v>61</v>
      </c>
      <c r="V53" s="9"/>
      <c r="W53" s="9">
        <v>185</v>
      </c>
      <c r="X53" s="9">
        <v>218</v>
      </c>
      <c r="Y53" s="9">
        <v>94</v>
      </c>
      <c r="Z53" s="9">
        <v>211</v>
      </c>
      <c r="AA53" s="9">
        <v>125</v>
      </c>
      <c r="AB53" s="9">
        <v>88</v>
      </c>
      <c r="AC53" s="9">
        <v>126</v>
      </c>
      <c r="AD53" s="9">
        <v>83</v>
      </c>
      <c r="AE53" s="9">
        <v>23</v>
      </c>
      <c r="AF53" s="9">
        <v>142</v>
      </c>
      <c r="AG53" s="9">
        <f t="shared" si="5"/>
        <v>2621</v>
      </c>
    </row>
    <row r="54" spans="1:33">
      <c r="A54" s="83" t="s">
        <v>122</v>
      </c>
      <c r="B54" s="9">
        <v>75</v>
      </c>
      <c r="C54" s="9"/>
      <c r="D54" s="9">
        <v>106</v>
      </c>
      <c r="E54" s="9">
        <v>78</v>
      </c>
      <c r="F54" s="9"/>
      <c r="G54" s="9"/>
      <c r="H54" s="9"/>
      <c r="I54" s="9"/>
      <c r="J54" s="9"/>
      <c r="K54" s="9"/>
      <c r="L54" s="9"/>
      <c r="M54" s="9"/>
      <c r="N54" s="9"/>
      <c r="O54" s="9">
        <v>10</v>
      </c>
      <c r="P54" s="9"/>
      <c r="Q54" s="9"/>
      <c r="R54" s="9">
        <v>224</v>
      </c>
      <c r="S54" s="9">
        <v>65</v>
      </c>
      <c r="T54" s="9">
        <v>200</v>
      </c>
      <c r="U54" s="9">
        <v>143</v>
      </c>
      <c r="V54" s="9"/>
      <c r="W54" s="9">
        <v>115</v>
      </c>
      <c r="X54" s="9">
        <v>54</v>
      </c>
      <c r="Y54" s="9">
        <v>105</v>
      </c>
      <c r="Z54" s="9"/>
      <c r="AA54" s="9"/>
      <c r="AB54" s="9"/>
      <c r="AC54" s="9"/>
      <c r="AD54" s="9">
        <v>130</v>
      </c>
      <c r="AE54" s="9"/>
      <c r="AF54" s="9"/>
      <c r="AG54" s="9">
        <f t="shared" si="5"/>
        <v>1305</v>
      </c>
    </row>
    <row r="55" spans="1:33">
      <c r="A55" s="83" t="s">
        <v>4</v>
      </c>
      <c r="B55" s="9"/>
      <c r="C55" s="9"/>
      <c r="D55" s="9"/>
      <c r="E55" s="9"/>
      <c r="F55" s="9"/>
      <c r="G55" s="9"/>
      <c r="H55" s="9"/>
      <c r="I55" s="9"/>
      <c r="J55" s="9"/>
      <c r="K55" s="9">
        <v>606</v>
      </c>
      <c r="L55" s="9">
        <v>573</v>
      </c>
      <c r="M55" s="9"/>
      <c r="N55" s="9">
        <v>110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>
        <f t="shared" si="5"/>
        <v>1289</v>
      </c>
    </row>
    <row r="56" spans="1:33">
      <c r="A56" s="83" t="s">
        <v>115</v>
      </c>
      <c r="B56" s="9">
        <v>21</v>
      </c>
      <c r="C56" s="9"/>
      <c r="D56" s="9"/>
      <c r="E56" s="9"/>
      <c r="F56" s="9">
        <v>98</v>
      </c>
      <c r="G56" s="9"/>
      <c r="H56" s="9">
        <v>24</v>
      </c>
      <c r="I56" s="9">
        <v>32</v>
      </c>
      <c r="J56" s="9"/>
      <c r="K56" s="9"/>
      <c r="L56" s="9">
        <v>46</v>
      </c>
      <c r="M56" s="9"/>
      <c r="N56" s="9"/>
      <c r="O56" s="9">
        <v>23</v>
      </c>
      <c r="P56" s="9"/>
      <c r="Q56" s="9"/>
      <c r="R56" s="9">
        <v>148</v>
      </c>
      <c r="S56" s="9">
        <v>62</v>
      </c>
      <c r="T56" s="9">
        <v>60</v>
      </c>
      <c r="U56" s="9">
        <v>67</v>
      </c>
      <c r="V56" s="9">
        <v>97</v>
      </c>
      <c r="W56" s="9">
        <v>10</v>
      </c>
      <c r="X56" s="9">
        <v>100</v>
      </c>
      <c r="Y56" s="9"/>
      <c r="Z56" s="9">
        <v>135</v>
      </c>
      <c r="AA56" s="9">
        <v>29</v>
      </c>
      <c r="AB56" s="9">
        <v>61</v>
      </c>
      <c r="AC56" s="136">
        <v>64</v>
      </c>
      <c r="AD56" s="9">
        <v>55</v>
      </c>
      <c r="AE56" s="9"/>
      <c r="AF56" s="9">
        <v>65</v>
      </c>
      <c r="AG56" s="9">
        <f t="shared" si="5"/>
        <v>1197</v>
      </c>
    </row>
    <row r="57" spans="1:33">
      <c r="A57" s="83" t="s">
        <v>715</v>
      </c>
      <c r="B57" s="9"/>
      <c r="C57" s="9"/>
      <c r="D57" s="9"/>
      <c r="E57" s="9"/>
      <c r="F57" s="9">
        <v>111</v>
      </c>
      <c r="G57" s="9"/>
      <c r="H57" s="9"/>
      <c r="I57" s="9"/>
      <c r="J57" s="9"/>
      <c r="K57" s="9">
        <v>190</v>
      </c>
      <c r="L57" s="9"/>
      <c r="M57" s="9">
        <v>148</v>
      </c>
      <c r="N57" s="9">
        <v>139</v>
      </c>
      <c r="O57" s="9"/>
      <c r="P57" s="9"/>
      <c r="Q57" s="9"/>
      <c r="R57" s="9"/>
      <c r="S57" s="9"/>
      <c r="T57" s="9"/>
      <c r="U57" s="9"/>
      <c r="V57" s="9"/>
      <c r="W57" s="9"/>
      <c r="X57" s="9">
        <v>14</v>
      </c>
      <c r="Y57" s="9"/>
      <c r="Z57" s="9">
        <v>122</v>
      </c>
      <c r="AA57" s="9"/>
      <c r="AB57" s="9">
        <v>169</v>
      </c>
      <c r="AC57" s="9"/>
      <c r="AD57" s="9"/>
      <c r="AE57" s="9"/>
      <c r="AF57" s="9">
        <v>44</v>
      </c>
      <c r="AG57" s="9">
        <f t="shared" si="5"/>
        <v>937</v>
      </c>
    </row>
    <row r="58" spans="1:33">
      <c r="A58" s="83" t="s">
        <v>706</v>
      </c>
      <c r="B58" s="9">
        <v>8</v>
      </c>
      <c r="C58" s="9">
        <v>25</v>
      </c>
      <c r="D58" s="9"/>
      <c r="E58" s="9"/>
      <c r="F58" s="9">
        <v>179</v>
      </c>
      <c r="G58" s="9">
        <v>697</v>
      </c>
      <c r="H58" s="9">
        <v>19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>
        <f t="shared" si="5"/>
        <v>928</v>
      </c>
    </row>
    <row r="59" spans="1:33">
      <c r="A59" s="83" t="s">
        <v>716</v>
      </c>
      <c r="B59" s="9"/>
      <c r="C59" s="9">
        <v>11</v>
      </c>
      <c r="D59" s="9">
        <v>45</v>
      </c>
      <c r="E59" s="9"/>
      <c r="F59" s="9"/>
      <c r="G59" s="9"/>
      <c r="H59" s="9">
        <v>50</v>
      </c>
      <c r="I59" s="9">
        <v>16</v>
      </c>
      <c r="J59" s="9"/>
      <c r="K59" s="9">
        <v>32</v>
      </c>
      <c r="L59" s="9">
        <v>34</v>
      </c>
      <c r="M59" s="9"/>
      <c r="N59" s="9"/>
      <c r="O59" s="9"/>
      <c r="P59" s="9">
        <v>22</v>
      </c>
      <c r="Q59" s="9">
        <v>14</v>
      </c>
      <c r="R59" s="9">
        <v>10</v>
      </c>
      <c r="S59" s="9">
        <v>4</v>
      </c>
      <c r="T59" s="9"/>
      <c r="U59" s="9"/>
      <c r="V59" s="9"/>
      <c r="W59" s="9">
        <v>65</v>
      </c>
      <c r="X59" s="9">
        <v>3</v>
      </c>
      <c r="Y59" s="9">
        <v>22</v>
      </c>
      <c r="Z59" s="9">
        <v>42</v>
      </c>
      <c r="AA59" s="9">
        <v>4</v>
      </c>
      <c r="AB59" s="9"/>
      <c r="AC59" s="9">
        <v>76</v>
      </c>
      <c r="AD59" s="9">
        <v>53</v>
      </c>
      <c r="AE59" s="9"/>
      <c r="AF59" s="9">
        <v>50</v>
      </c>
      <c r="AG59" s="9">
        <f t="shared" si="5"/>
        <v>553</v>
      </c>
    </row>
    <row r="60" spans="1:33">
      <c r="A60" s="83" t="s">
        <v>510</v>
      </c>
      <c r="B60" s="9"/>
      <c r="C60" s="9"/>
      <c r="D60" s="9"/>
      <c r="E60" s="9"/>
      <c r="F60" s="9"/>
      <c r="G60" s="9"/>
      <c r="H60" s="9"/>
      <c r="I60" s="9"/>
      <c r="J60" s="9">
        <v>156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>
        <v>132</v>
      </c>
      <c r="V60" s="9"/>
      <c r="W60" s="9"/>
      <c r="X60" s="9">
        <v>12</v>
      </c>
      <c r="Y60" s="9"/>
      <c r="Z60" s="9"/>
      <c r="AA60" s="9"/>
      <c r="AB60" s="9"/>
      <c r="AC60" s="9"/>
      <c r="AD60" s="9"/>
      <c r="AE60" s="9"/>
      <c r="AF60" s="9"/>
      <c r="AG60" s="9">
        <f t="shared" si="5"/>
        <v>300</v>
      </c>
    </row>
    <row r="61" spans="1:33">
      <c r="A61" s="83" t="s">
        <v>107</v>
      </c>
      <c r="B61" s="9">
        <v>9</v>
      </c>
      <c r="C61" s="9"/>
      <c r="D61" s="9"/>
      <c r="E61" s="9"/>
      <c r="F61" s="9">
        <v>38</v>
      </c>
      <c r="G61" s="9"/>
      <c r="H61" s="9">
        <v>7</v>
      </c>
      <c r="I61" s="9">
        <v>41</v>
      </c>
      <c r="J61" s="9"/>
      <c r="K61" s="9"/>
      <c r="L61" s="9">
        <v>1</v>
      </c>
      <c r="M61" s="9"/>
      <c r="N61" s="9"/>
      <c r="O61" s="9"/>
      <c r="P61" s="9"/>
      <c r="Q61" s="9"/>
      <c r="R61" s="9">
        <v>44</v>
      </c>
      <c r="S61" s="9"/>
      <c r="T61" s="9">
        <v>46</v>
      </c>
      <c r="U61" s="9">
        <v>4</v>
      </c>
      <c r="V61" s="9">
        <v>14</v>
      </c>
      <c r="W61" s="9">
        <v>5</v>
      </c>
      <c r="X61" s="9"/>
      <c r="Y61" s="9"/>
      <c r="Z61" s="9">
        <v>18</v>
      </c>
      <c r="AA61" s="9">
        <v>17</v>
      </c>
      <c r="AB61" s="9">
        <v>18</v>
      </c>
      <c r="AC61" s="9">
        <v>15</v>
      </c>
      <c r="AD61" s="9">
        <v>10</v>
      </c>
      <c r="AE61" s="9"/>
      <c r="AF61" s="9">
        <v>1</v>
      </c>
      <c r="AG61" s="9">
        <f t="shared" si="5"/>
        <v>288</v>
      </c>
    </row>
    <row r="62" spans="1:33">
      <c r="A62" s="83" t="s">
        <v>452</v>
      </c>
      <c r="B62" s="9"/>
      <c r="C62" s="9"/>
      <c r="D62" s="9"/>
      <c r="E62" s="9"/>
      <c r="F62" s="9">
        <v>15</v>
      </c>
      <c r="G62" s="9">
        <v>20</v>
      </c>
      <c r="H62" s="9"/>
      <c r="I62" s="9"/>
      <c r="J62" s="9"/>
      <c r="K62" s="9">
        <v>59</v>
      </c>
      <c r="L62" s="9"/>
      <c r="M62" s="9">
        <v>73</v>
      </c>
      <c r="N62" s="9">
        <v>20</v>
      </c>
      <c r="O62" s="9"/>
      <c r="Q62" s="9"/>
      <c r="R62" s="9"/>
      <c r="S62" s="9"/>
      <c r="T62" s="9"/>
      <c r="U62" s="9"/>
      <c r="V62" s="9"/>
      <c r="W62" s="9"/>
      <c r="X62" s="9">
        <v>68</v>
      </c>
      <c r="Y62" s="9"/>
      <c r="Z62" s="9"/>
      <c r="AA62" s="9"/>
      <c r="AB62" s="9"/>
      <c r="AC62" s="9"/>
      <c r="AD62" s="9"/>
      <c r="AE62" s="9"/>
      <c r="AF62" s="9"/>
      <c r="AG62" s="9">
        <f t="shared" si="5"/>
        <v>255</v>
      </c>
    </row>
    <row r="63" spans="1:33">
      <c r="A63" s="83" t="s">
        <v>717</v>
      </c>
      <c r="B63" s="9">
        <v>79</v>
      </c>
      <c r="C63" s="9">
        <v>6</v>
      </c>
      <c r="D63" s="9">
        <v>88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>
        <v>22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>
        <f t="shared" si="5"/>
        <v>195</v>
      </c>
    </row>
    <row r="64" spans="1:33">
      <c r="A64" s="83" t="s">
        <v>718</v>
      </c>
      <c r="B64" s="9"/>
      <c r="C64" s="9">
        <v>1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>
        <v>10</v>
      </c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>
        <f t="shared" si="5"/>
        <v>11</v>
      </c>
    </row>
    <row r="65" spans="1:33">
      <c r="A65" s="83" t="s">
        <v>719</v>
      </c>
      <c r="B65" s="9"/>
      <c r="C65" s="9"/>
      <c r="D65" s="9"/>
      <c r="E65" s="9"/>
      <c r="F65" s="9"/>
      <c r="G65" s="9"/>
      <c r="H65" s="9"/>
      <c r="I65" s="9"/>
      <c r="J65" s="9">
        <v>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>
        <f t="shared" si="5"/>
        <v>9</v>
      </c>
    </row>
    <row r="66" spans="1:33">
      <c r="A66" s="83" t="s">
        <v>98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>
        <v>3</v>
      </c>
      <c r="Z66" s="9"/>
      <c r="AA66" s="9"/>
      <c r="AB66" s="9"/>
      <c r="AC66" s="9"/>
      <c r="AD66" s="9"/>
      <c r="AE66" s="9"/>
      <c r="AF66" s="9">
        <v>2</v>
      </c>
      <c r="AG66" s="9">
        <f t="shared" si="5"/>
        <v>5</v>
      </c>
    </row>
    <row r="67" spans="1:33">
      <c r="A67" s="83" t="s">
        <v>720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>
        <v>2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>
        <f t="shared" si="5"/>
        <v>2</v>
      </c>
    </row>
    <row r="68" spans="1:33">
      <c r="A68" s="83" t="s">
        <v>511</v>
      </c>
      <c r="B68" s="9"/>
      <c r="C68" s="9"/>
      <c r="D68" s="9"/>
      <c r="E68" s="9"/>
      <c r="F68" s="9"/>
      <c r="G68" s="9"/>
      <c r="H68" s="9"/>
      <c r="I68" s="9"/>
      <c r="J68" s="9">
        <v>2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>
        <f t="shared" si="5"/>
        <v>2</v>
      </c>
    </row>
    <row r="69" spans="1:33">
      <c r="A69" s="83" t="s">
        <v>644</v>
      </c>
      <c r="B69" s="9"/>
      <c r="C69" s="9"/>
      <c r="D69" s="9"/>
      <c r="E69" s="9"/>
      <c r="F69" s="9"/>
      <c r="G69" s="9"/>
      <c r="H69" s="9"/>
      <c r="I69" s="9"/>
      <c r="J69" s="9">
        <v>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>
        <f t="shared" si="5"/>
        <v>1</v>
      </c>
    </row>
    <row r="70" spans="1:33">
      <c r="A70" s="83" t="s">
        <v>645</v>
      </c>
      <c r="B70" s="9"/>
      <c r="C70" s="9"/>
      <c r="D70" s="9"/>
      <c r="E70" s="9"/>
      <c r="F70" s="9"/>
      <c r="G70" s="9"/>
      <c r="H70" s="9"/>
      <c r="I70" s="9"/>
      <c r="J70" s="9">
        <v>1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>
        <f t="shared" si="5"/>
        <v>1</v>
      </c>
    </row>
    <row r="71" spans="1:33">
      <c r="A71" s="84" t="s">
        <v>721</v>
      </c>
      <c r="B71" s="136"/>
      <c r="C71" s="136"/>
      <c r="D71" s="136"/>
      <c r="E71" s="136"/>
      <c r="F71" s="136"/>
      <c r="G71" s="136"/>
      <c r="H71" s="136"/>
      <c r="I71" s="136"/>
      <c r="J71" s="136">
        <v>1</v>
      </c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>
        <f t="shared" si="5"/>
        <v>1</v>
      </c>
    </row>
  </sheetData>
  <mergeCells count="1">
    <mergeCell ref="AE44:AF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M20"/>
  <sheetViews>
    <sheetView workbookViewId="0"/>
  </sheetViews>
  <sheetFormatPr defaultColWidth="12.6328125" defaultRowHeight="15.75" customHeight="1"/>
  <sheetData>
    <row r="2" spans="2:13">
      <c r="B2" s="16" t="s">
        <v>722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</row>
    <row r="3" spans="2:13">
      <c r="B3" s="16">
        <v>1</v>
      </c>
      <c r="C3" s="16" t="s">
        <v>723</v>
      </c>
      <c r="D3" s="16" t="s">
        <v>723</v>
      </c>
      <c r="E3" s="16" t="s">
        <v>723</v>
      </c>
      <c r="F3" s="16" t="s">
        <v>724</v>
      </c>
      <c r="G3" s="16" t="s">
        <v>725</v>
      </c>
      <c r="H3" s="16" t="s">
        <v>726</v>
      </c>
      <c r="I3" s="16" t="s">
        <v>727</v>
      </c>
      <c r="J3" s="16" t="s">
        <v>105</v>
      </c>
      <c r="K3" s="16"/>
    </row>
    <row r="4" spans="2:13">
      <c r="B4" s="16">
        <v>2</v>
      </c>
      <c r="C4" s="16">
        <v>3500</v>
      </c>
      <c r="D4" s="16"/>
      <c r="E4" s="16"/>
      <c r="F4" s="16">
        <v>2500</v>
      </c>
      <c r="G4" s="16">
        <v>1500</v>
      </c>
      <c r="H4" s="16">
        <v>2500</v>
      </c>
      <c r="I4" s="16">
        <v>2500</v>
      </c>
      <c r="J4" s="16">
        <v>300</v>
      </c>
      <c r="K4" s="16"/>
    </row>
    <row r="5" spans="2:13">
      <c r="B5" s="16">
        <v>3</v>
      </c>
      <c r="C5" s="16">
        <v>250</v>
      </c>
      <c r="D5" s="16"/>
      <c r="E5" s="16"/>
      <c r="F5" s="16">
        <v>180</v>
      </c>
      <c r="G5" s="16">
        <v>107</v>
      </c>
      <c r="H5" s="16">
        <v>179</v>
      </c>
      <c r="I5" s="16">
        <v>179</v>
      </c>
      <c r="J5" s="16">
        <v>21</v>
      </c>
      <c r="K5" s="16"/>
      <c r="L5" s="124">
        <f>37*5</f>
        <v>185</v>
      </c>
    </row>
    <row r="6" spans="2:13">
      <c r="B6" s="16">
        <v>4</v>
      </c>
      <c r="C6" s="16"/>
      <c r="D6" s="16"/>
      <c r="E6" s="16"/>
      <c r="F6" s="16"/>
      <c r="G6" s="16"/>
      <c r="H6" s="16"/>
      <c r="I6" s="16"/>
      <c r="J6" s="16"/>
      <c r="K6" s="16"/>
    </row>
    <row r="7" spans="2:13">
      <c r="B7" s="16">
        <v>5</v>
      </c>
      <c r="C7" s="16"/>
      <c r="D7" s="16"/>
      <c r="E7" s="16"/>
      <c r="F7" s="16"/>
      <c r="G7" s="16"/>
      <c r="H7" s="16"/>
      <c r="I7" s="16"/>
      <c r="J7" s="16"/>
      <c r="K7" s="16"/>
    </row>
    <row r="8" spans="2:13">
      <c r="B8" s="16">
        <v>6</v>
      </c>
      <c r="C8" s="16"/>
      <c r="D8" s="16"/>
      <c r="E8" s="16"/>
      <c r="F8" s="16"/>
      <c r="G8" s="16"/>
      <c r="H8" s="16"/>
      <c r="I8" s="16"/>
      <c r="J8" s="16"/>
      <c r="K8" s="16"/>
    </row>
    <row r="9" spans="2:13">
      <c r="B9" s="16">
        <v>7</v>
      </c>
      <c r="C9" s="16"/>
      <c r="D9" s="16"/>
      <c r="E9" s="16"/>
      <c r="F9" s="16"/>
      <c r="G9" s="64"/>
      <c r="H9" s="16"/>
      <c r="I9" s="16"/>
      <c r="J9" s="16"/>
      <c r="K9" s="16"/>
      <c r="L9" s="124" t="s">
        <v>728</v>
      </c>
      <c r="M9" s="124">
        <f>SUM(C5,F5,G5,H5,I5,J5,F17,I17,J17,H20)</f>
        <v>976</v>
      </c>
    </row>
    <row r="10" spans="2:13">
      <c r="B10" s="16">
        <v>8</v>
      </c>
      <c r="C10" s="16"/>
      <c r="D10" s="16"/>
      <c r="E10" s="16"/>
      <c r="F10" s="16"/>
      <c r="G10" s="16"/>
      <c r="H10" s="16"/>
      <c r="I10" s="16"/>
      <c r="J10" s="16"/>
      <c r="K10" s="16"/>
    </row>
    <row r="11" spans="2:13">
      <c r="B11" s="16">
        <v>9</v>
      </c>
      <c r="C11" s="16"/>
      <c r="D11" s="16"/>
      <c r="E11" s="16"/>
      <c r="F11" s="16"/>
      <c r="G11" s="16"/>
      <c r="H11" s="16"/>
      <c r="I11" s="16"/>
      <c r="J11" s="16"/>
      <c r="K11" s="16"/>
    </row>
    <row r="12" spans="2:13">
      <c r="B12" s="16">
        <v>10</v>
      </c>
      <c r="C12" s="16"/>
      <c r="D12" s="16"/>
      <c r="E12" s="16"/>
      <c r="F12" s="16"/>
      <c r="G12" s="16"/>
      <c r="H12" s="16"/>
      <c r="I12" s="16"/>
      <c r="J12" s="16"/>
      <c r="K12" s="16"/>
    </row>
    <row r="13" spans="2:13">
      <c r="B13" s="16">
        <v>11</v>
      </c>
      <c r="C13" s="16"/>
      <c r="D13" s="16"/>
      <c r="E13" s="16"/>
      <c r="F13" s="16"/>
      <c r="G13" s="16"/>
      <c r="H13" s="16"/>
      <c r="I13" s="16"/>
      <c r="J13" s="16"/>
      <c r="K13" s="16"/>
    </row>
    <row r="14" spans="2:13">
      <c r="B14" s="16">
        <v>12</v>
      </c>
      <c r="C14" s="16"/>
      <c r="D14" s="16"/>
      <c r="E14" s="16"/>
      <c r="F14" s="16"/>
      <c r="G14" s="16"/>
      <c r="H14" s="16"/>
      <c r="I14" s="16"/>
      <c r="J14" s="16"/>
      <c r="K14" s="16"/>
    </row>
    <row r="15" spans="2:13">
      <c r="B15" s="16">
        <v>13</v>
      </c>
      <c r="C15" s="16"/>
      <c r="D15" s="16"/>
      <c r="E15" s="16"/>
      <c r="F15" s="16" t="s">
        <v>729</v>
      </c>
      <c r="G15" s="64" t="s">
        <v>730</v>
      </c>
      <c r="H15" s="16" t="s">
        <v>731</v>
      </c>
      <c r="I15" s="16" t="s">
        <v>708</v>
      </c>
      <c r="J15" s="16" t="s">
        <v>732</v>
      </c>
      <c r="K15" s="16"/>
    </row>
    <row r="16" spans="2:13">
      <c r="B16" s="16">
        <v>14</v>
      </c>
      <c r="C16" s="16"/>
      <c r="D16" s="16"/>
      <c r="E16" s="16"/>
      <c r="F16" s="16">
        <v>150</v>
      </c>
      <c r="G16" s="64">
        <v>100</v>
      </c>
      <c r="H16" s="16" t="s">
        <v>733</v>
      </c>
      <c r="I16" s="16">
        <v>200</v>
      </c>
      <c r="J16" s="16">
        <v>200</v>
      </c>
      <c r="K16" s="16"/>
    </row>
    <row r="17" spans="2:11">
      <c r="B17" s="16">
        <v>15</v>
      </c>
      <c r="C17" s="16"/>
      <c r="D17" s="16"/>
      <c r="E17" s="16"/>
      <c r="F17" s="16">
        <v>11</v>
      </c>
      <c r="G17" s="171">
        <f>G16/14</f>
        <v>7.1428571428571432</v>
      </c>
      <c r="H17" s="16" t="s">
        <v>734</v>
      </c>
      <c r="I17" s="16">
        <v>14</v>
      </c>
      <c r="J17" s="16">
        <v>14</v>
      </c>
      <c r="K17" s="16"/>
    </row>
    <row r="18" spans="2:11">
      <c r="B18" s="16"/>
      <c r="C18" s="16"/>
      <c r="D18" s="16"/>
      <c r="E18" s="16"/>
      <c r="F18" s="16"/>
      <c r="G18" s="16"/>
      <c r="H18" s="16" t="s">
        <v>735</v>
      </c>
      <c r="I18" s="16"/>
      <c r="J18" s="16"/>
      <c r="K18" s="16"/>
    </row>
    <row r="19" spans="2:11">
      <c r="B19" s="88"/>
      <c r="C19" s="88"/>
      <c r="D19" s="88"/>
      <c r="E19" s="88"/>
      <c r="F19" s="88"/>
      <c r="G19" s="88"/>
      <c r="H19" s="172">
        <v>300</v>
      </c>
      <c r="I19" s="88"/>
      <c r="J19" s="88"/>
      <c r="K19" s="88"/>
    </row>
    <row r="20" spans="2:11">
      <c r="B20" s="88"/>
      <c r="C20" s="88"/>
      <c r="D20" s="88"/>
      <c r="E20" s="88"/>
      <c r="F20" s="88"/>
      <c r="G20" s="88"/>
      <c r="H20" s="172">
        <v>21</v>
      </c>
      <c r="I20" s="88"/>
      <c r="J20" s="88"/>
      <c r="K20" s="8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8.90625" customWidth="1"/>
    <col min="2" max="3" width="18" customWidth="1"/>
    <col min="4" max="4" width="15.26953125" customWidth="1"/>
    <col min="5" max="5" width="16.08984375" customWidth="1"/>
    <col min="6" max="8" width="18" customWidth="1"/>
    <col min="9" max="9" width="22.90625" customWidth="1"/>
    <col min="10" max="10" width="23.7265625" customWidth="1"/>
  </cols>
  <sheetData>
    <row r="1" spans="1:10">
      <c r="A1" s="173" t="s">
        <v>1</v>
      </c>
      <c r="B1" s="174" t="s">
        <v>736</v>
      </c>
      <c r="C1" s="175" t="s">
        <v>737</v>
      </c>
      <c r="D1" s="173" t="s">
        <v>738</v>
      </c>
      <c r="E1" s="173" t="s">
        <v>739</v>
      </c>
      <c r="F1" s="176" t="s">
        <v>740</v>
      </c>
      <c r="G1" s="173" t="s">
        <v>741</v>
      </c>
      <c r="H1" s="177" t="s">
        <v>742</v>
      </c>
      <c r="I1" s="176" t="s">
        <v>743</v>
      </c>
    </row>
    <row r="2" spans="1:10" ht="15.75" customHeight="1">
      <c r="A2" s="178">
        <v>46133</v>
      </c>
      <c r="B2" s="14">
        <f t="shared" ref="B2:B42" si="0">51*1000/15</f>
        <v>3400</v>
      </c>
      <c r="C2" s="14">
        <v>188096</v>
      </c>
      <c r="D2" s="14">
        <v>57263</v>
      </c>
      <c r="E2" s="14">
        <v>108264</v>
      </c>
      <c r="F2" s="9"/>
      <c r="G2" s="179">
        <f t="shared" ref="G2:G256" si="1">E2/D2</f>
        <v>1.8906449190576813</v>
      </c>
      <c r="H2" s="180">
        <v>0.57999999999999996</v>
      </c>
      <c r="I2" s="179">
        <f t="shared" ref="I2:I256" si="2">C2/D2</f>
        <v>3.2847737631629501</v>
      </c>
    </row>
    <row r="3" spans="1:10" ht="15.75" customHeight="1">
      <c r="A3" s="178">
        <v>46134</v>
      </c>
      <c r="B3" s="14">
        <f t="shared" si="0"/>
        <v>3400</v>
      </c>
      <c r="C3" s="14">
        <v>205715</v>
      </c>
      <c r="D3" s="14">
        <v>59556</v>
      </c>
      <c r="E3" s="14">
        <v>186509</v>
      </c>
      <c r="F3" s="9"/>
      <c r="G3" s="179">
        <f t="shared" si="1"/>
        <v>3.1316575995701523</v>
      </c>
      <c r="H3" s="180">
        <v>0.91</v>
      </c>
      <c r="I3" s="179">
        <f t="shared" si="2"/>
        <v>3.4541439989253813</v>
      </c>
    </row>
    <row r="4" spans="1:10" ht="15.75" customHeight="1">
      <c r="A4" s="178">
        <v>46135</v>
      </c>
      <c r="B4" s="14">
        <f t="shared" si="0"/>
        <v>3400</v>
      </c>
      <c r="C4" s="14">
        <v>200212</v>
      </c>
      <c r="D4" s="14">
        <v>63361</v>
      </c>
      <c r="E4" s="14">
        <v>83673</v>
      </c>
      <c r="F4" s="9"/>
      <c r="G4" s="179">
        <f t="shared" si="1"/>
        <v>1.3205757484888181</v>
      </c>
      <c r="H4" s="180">
        <v>0.42</v>
      </c>
      <c r="I4" s="179">
        <f t="shared" si="2"/>
        <v>3.1598617446063035</v>
      </c>
    </row>
    <row r="5" spans="1:10" ht="15.75" customHeight="1">
      <c r="A5" s="178">
        <v>46136</v>
      </c>
      <c r="B5" s="14">
        <f t="shared" si="0"/>
        <v>3400</v>
      </c>
      <c r="C5" s="9"/>
      <c r="D5" s="14">
        <v>53381</v>
      </c>
      <c r="E5" s="14">
        <v>128230</v>
      </c>
      <c r="F5" s="9"/>
      <c r="G5" s="179">
        <f t="shared" si="1"/>
        <v>2.4021655645267042</v>
      </c>
      <c r="H5" s="135" t="e">
        <f>E5/C5</f>
        <v>#DIV/0!</v>
      </c>
      <c r="I5" s="179">
        <f t="shared" si="2"/>
        <v>0</v>
      </c>
    </row>
    <row r="6" spans="1:10" ht="15.75" customHeight="1">
      <c r="A6" s="178">
        <v>46137</v>
      </c>
      <c r="B6" s="14">
        <f t="shared" si="0"/>
        <v>3400</v>
      </c>
      <c r="C6" s="14">
        <v>158023</v>
      </c>
      <c r="D6" s="14">
        <v>68492</v>
      </c>
      <c r="E6" s="14">
        <v>139893</v>
      </c>
      <c r="F6" s="9"/>
      <c r="G6" s="179">
        <f t="shared" si="1"/>
        <v>2.0424721135315074</v>
      </c>
      <c r="H6" s="180">
        <v>0.89</v>
      </c>
      <c r="I6" s="179">
        <f t="shared" si="2"/>
        <v>2.307174560532617</v>
      </c>
    </row>
    <row r="7" spans="1:10" ht="15.75" customHeight="1">
      <c r="A7" s="178">
        <v>46138</v>
      </c>
      <c r="B7" s="14">
        <f t="shared" si="0"/>
        <v>3400</v>
      </c>
      <c r="C7" s="14">
        <v>134442</v>
      </c>
      <c r="D7" s="14">
        <v>59330</v>
      </c>
      <c r="E7" s="14">
        <v>121116</v>
      </c>
      <c r="F7" s="9"/>
      <c r="G7" s="179">
        <f t="shared" si="1"/>
        <v>2.0413955840215743</v>
      </c>
      <c r="H7" s="180">
        <v>0.9</v>
      </c>
      <c r="I7" s="179">
        <f t="shared" si="2"/>
        <v>2.2660037080734874</v>
      </c>
    </row>
    <row r="8" spans="1:10" ht="15.75" customHeight="1">
      <c r="A8" s="178">
        <v>46139</v>
      </c>
      <c r="B8" s="14">
        <f t="shared" si="0"/>
        <v>3400</v>
      </c>
      <c r="C8" s="14">
        <v>88522</v>
      </c>
      <c r="D8" s="14">
        <v>58992</v>
      </c>
      <c r="E8" s="14">
        <v>75534</v>
      </c>
      <c r="F8" s="9"/>
      <c r="G8" s="179">
        <f t="shared" si="1"/>
        <v>1.2804109031733117</v>
      </c>
      <c r="H8" s="180">
        <v>0.85</v>
      </c>
      <c r="I8" s="179">
        <f t="shared" si="2"/>
        <v>1.5005763493355031</v>
      </c>
    </row>
    <row r="9" spans="1:10" ht="15.75" customHeight="1">
      <c r="A9" s="178">
        <v>46140</v>
      </c>
      <c r="B9" s="14">
        <f t="shared" si="0"/>
        <v>3400</v>
      </c>
      <c r="C9" s="14">
        <v>90803</v>
      </c>
      <c r="D9" s="14">
        <v>78945</v>
      </c>
      <c r="E9" s="14">
        <v>80226</v>
      </c>
      <c r="F9" s="9"/>
      <c r="G9" s="179">
        <f t="shared" si="1"/>
        <v>1.0162264867946038</v>
      </c>
      <c r="H9" s="180">
        <v>0.88</v>
      </c>
      <c r="I9" s="179">
        <f t="shared" si="2"/>
        <v>1.1502058395085186</v>
      </c>
    </row>
    <row r="10" spans="1:10" ht="15.75" customHeight="1">
      <c r="A10" s="178">
        <v>46141</v>
      </c>
      <c r="B10" s="14">
        <f t="shared" si="0"/>
        <v>3400</v>
      </c>
      <c r="C10" s="14">
        <v>127322</v>
      </c>
      <c r="D10" s="14">
        <v>63082</v>
      </c>
      <c r="E10" s="14">
        <v>111162</v>
      </c>
      <c r="F10" s="9"/>
      <c r="G10" s="179">
        <f t="shared" si="1"/>
        <v>1.7621825560381725</v>
      </c>
      <c r="H10" s="180">
        <v>0.87</v>
      </c>
      <c r="I10" s="179">
        <f t="shared" si="2"/>
        <v>2.0183570590659774</v>
      </c>
    </row>
    <row r="11" spans="1:10" ht="15.75" customHeight="1">
      <c r="A11" s="178">
        <v>46142</v>
      </c>
      <c r="B11" s="14">
        <f t="shared" si="0"/>
        <v>3400</v>
      </c>
      <c r="C11" s="14">
        <v>157776</v>
      </c>
      <c r="D11" s="14">
        <v>55419</v>
      </c>
      <c r="E11" s="14">
        <v>74310</v>
      </c>
      <c r="F11" s="9"/>
      <c r="G11" s="179">
        <f t="shared" si="1"/>
        <v>1.3408758728955774</v>
      </c>
      <c r="H11" s="180">
        <v>0.47</v>
      </c>
      <c r="I11" s="179">
        <f t="shared" si="2"/>
        <v>2.8469658420397335</v>
      </c>
    </row>
    <row r="12" spans="1:10" ht="15.75" customHeight="1">
      <c r="A12" s="181">
        <v>46143</v>
      </c>
      <c r="B12" s="14">
        <f t="shared" si="0"/>
        <v>3400</v>
      </c>
      <c r="C12" s="14">
        <v>79937</v>
      </c>
      <c r="D12" s="9">
        <v>28332</v>
      </c>
      <c r="E12" s="9">
        <v>61449</v>
      </c>
      <c r="F12" s="9">
        <v>2309</v>
      </c>
      <c r="G12" s="179">
        <f t="shared" si="1"/>
        <v>2.168890300720034</v>
      </c>
      <c r="H12" s="135">
        <v>0.76</v>
      </c>
      <c r="I12" s="179">
        <f t="shared" si="2"/>
        <v>2.8214386559367499</v>
      </c>
    </row>
    <row r="13" spans="1:10" ht="15.75" customHeight="1">
      <c r="A13" s="181">
        <v>46144</v>
      </c>
      <c r="B13" s="14">
        <f t="shared" si="0"/>
        <v>3400</v>
      </c>
      <c r="C13" s="9">
        <v>39265</v>
      </c>
      <c r="D13" s="9">
        <v>54304</v>
      </c>
      <c r="E13" s="9">
        <v>21896</v>
      </c>
      <c r="F13" s="9">
        <v>998</v>
      </c>
      <c r="G13" s="179">
        <f t="shared" si="1"/>
        <v>0.40321154979375368</v>
      </c>
      <c r="H13" s="135">
        <v>0.55000000000000004</v>
      </c>
      <c r="I13" s="179">
        <f t="shared" si="2"/>
        <v>0.72305907483794929</v>
      </c>
      <c r="J13" s="124" t="s">
        <v>744</v>
      </c>
    </row>
    <row r="14" spans="1:10" ht="15.75" customHeight="1">
      <c r="A14" s="181">
        <v>46145</v>
      </c>
      <c r="B14" s="14">
        <f t="shared" si="0"/>
        <v>3400</v>
      </c>
      <c r="C14" s="9">
        <v>119234</v>
      </c>
      <c r="D14" s="9">
        <v>54758</v>
      </c>
      <c r="E14" s="9">
        <v>47650</v>
      </c>
      <c r="F14" s="9">
        <v>1485</v>
      </c>
      <c r="G14" s="179">
        <f t="shared" si="1"/>
        <v>0.87019248329011289</v>
      </c>
      <c r="H14" s="135">
        <v>0.39</v>
      </c>
      <c r="I14" s="179">
        <f t="shared" si="2"/>
        <v>2.1774717849446654</v>
      </c>
      <c r="J14" s="124" t="s">
        <v>744</v>
      </c>
    </row>
    <row r="15" spans="1:10" ht="15.75" customHeight="1">
      <c r="A15" s="181">
        <v>46146</v>
      </c>
      <c r="B15" s="14">
        <f t="shared" si="0"/>
        <v>3400</v>
      </c>
      <c r="C15" s="9">
        <v>38616</v>
      </c>
      <c r="D15" s="9">
        <v>54622</v>
      </c>
      <c r="E15" s="9">
        <v>22055</v>
      </c>
      <c r="F15" s="9">
        <v>1484</v>
      </c>
      <c r="G15" s="179">
        <f t="shared" si="1"/>
        <v>0.40377503569990114</v>
      </c>
      <c r="H15" s="135">
        <v>0.56999999999999995</v>
      </c>
      <c r="I15" s="179">
        <f t="shared" si="2"/>
        <v>0.70696788839661673</v>
      </c>
      <c r="J15" s="124" t="s">
        <v>744</v>
      </c>
    </row>
    <row r="16" spans="1:10" ht="15.75" customHeight="1">
      <c r="A16" s="181">
        <v>46147</v>
      </c>
      <c r="B16" s="14">
        <f t="shared" si="0"/>
        <v>3400</v>
      </c>
      <c r="C16" s="9">
        <v>107790</v>
      </c>
      <c r="D16" s="9">
        <v>53771</v>
      </c>
      <c r="E16" s="9">
        <v>24888</v>
      </c>
      <c r="F16" s="9">
        <v>535</v>
      </c>
      <c r="G16" s="179">
        <f t="shared" si="1"/>
        <v>0.46285172304773947</v>
      </c>
      <c r="H16" s="135">
        <f t="shared" ref="H16:H270" si="3">E16/C16</f>
        <v>0.23089340384080156</v>
      </c>
      <c r="I16" s="179">
        <f t="shared" si="2"/>
        <v>2.0046121515314947</v>
      </c>
      <c r="J16" s="124" t="s">
        <v>744</v>
      </c>
    </row>
    <row r="17" spans="1:10" ht="15.75" customHeight="1">
      <c r="A17" s="181">
        <v>46148</v>
      </c>
      <c r="B17" s="14">
        <f t="shared" si="0"/>
        <v>3400</v>
      </c>
      <c r="C17" s="9">
        <v>30605</v>
      </c>
      <c r="D17" s="9">
        <v>45652</v>
      </c>
      <c r="E17" s="9">
        <v>35916</v>
      </c>
      <c r="F17" s="9">
        <v>817</v>
      </c>
      <c r="G17" s="179">
        <f t="shared" si="1"/>
        <v>0.78673442565495488</v>
      </c>
      <c r="H17" s="135">
        <f t="shared" si="3"/>
        <v>1.1735337363175951</v>
      </c>
      <c r="I17" s="179">
        <f t="shared" si="2"/>
        <v>0.67039779199158855</v>
      </c>
      <c r="J17" s="124" t="s">
        <v>744</v>
      </c>
    </row>
    <row r="18" spans="1:10" ht="15.75" customHeight="1">
      <c r="A18" s="181">
        <v>46149</v>
      </c>
      <c r="B18" s="14">
        <f t="shared" si="0"/>
        <v>3400</v>
      </c>
      <c r="C18" s="9">
        <v>9183</v>
      </c>
      <c r="D18" s="9">
        <v>46332</v>
      </c>
      <c r="E18" s="9">
        <v>57781</v>
      </c>
      <c r="F18" s="9">
        <v>1679</v>
      </c>
      <c r="G18" s="179">
        <f t="shared" si="1"/>
        <v>1.2471078304411638</v>
      </c>
      <c r="H18" s="135">
        <f t="shared" si="3"/>
        <v>6.2921703147119681</v>
      </c>
      <c r="I18" s="179">
        <f t="shared" si="2"/>
        <v>0.19819994819994821</v>
      </c>
    </row>
    <row r="19" spans="1:10" ht="15.75" customHeight="1">
      <c r="A19" s="181">
        <v>46150</v>
      </c>
      <c r="B19" s="14">
        <f t="shared" si="0"/>
        <v>3400</v>
      </c>
      <c r="C19" s="9">
        <v>45587</v>
      </c>
      <c r="D19" s="9">
        <v>21147</v>
      </c>
      <c r="E19" s="9">
        <v>40384</v>
      </c>
      <c r="F19" s="9">
        <v>1743</v>
      </c>
      <c r="G19" s="179">
        <f t="shared" si="1"/>
        <v>1.909679860027427</v>
      </c>
      <c r="H19" s="135">
        <f t="shared" si="3"/>
        <v>0.88586658477197444</v>
      </c>
      <c r="I19" s="179">
        <f t="shared" si="2"/>
        <v>2.1557194873977394</v>
      </c>
    </row>
    <row r="20" spans="1:10" ht="15.75" customHeight="1">
      <c r="A20" s="181">
        <v>46151</v>
      </c>
      <c r="B20" s="14">
        <f t="shared" si="0"/>
        <v>3400</v>
      </c>
      <c r="C20" s="9">
        <v>212934</v>
      </c>
      <c r="D20" s="9">
        <v>27766</v>
      </c>
      <c r="E20" s="9">
        <v>59561</v>
      </c>
      <c r="F20" s="9">
        <v>2772</v>
      </c>
      <c r="G20" s="179">
        <f t="shared" si="1"/>
        <v>2.1451055247424908</v>
      </c>
      <c r="H20" s="135">
        <f t="shared" si="3"/>
        <v>0.27971578047657958</v>
      </c>
      <c r="I20" s="179">
        <f t="shared" si="2"/>
        <v>7.6688756032557803</v>
      </c>
    </row>
    <row r="21" spans="1:10" ht="12.5">
      <c r="A21" s="181">
        <v>46152</v>
      </c>
      <c r="B21" s="14">
        <f t="shared" si="0"/>
        <v>3400</v>
      </c>
      <c r="C21" s="9">
        <v>115888</v>
      </c>
      <c r="D21" s="9">
        <v>46684</v>
      </c>
      <c r="E21" s="9">
        <v>63023</v>
      </c>
      <c r="F21" s="9">
        <v>1785</v>
      </c>
      <c r="G21" s="179">
        <f t="shared" si="1"/>
        <v>1.3499914317539199</v>
      </c>
      <c r="H21" s="135">
        <f t="shared" si="3"/>
        <v>0.54382679828800218</v>
      </c>
      <c r="I21" s="179">
        <f t="shared" si="2"/>
        <v>2.4823922543055437</v>
      </c>
    </row>
    <row r="22" spans="1:10" ht="12.5">
      <c r="A22" s="181">
        <v>46153</v>
      </c>
      <c r="B22" s="14">
        <f t="shared" si="0"/>
        <v>3400</v>
      </c>
      <c r="C22" s="9">
        <v>299156</v>
      </c>
      <c r="D22" s="9">
        <v>68882</v>
      </c>
      <c r="E22" s="9">
        <v>50861</v>
      </c>
      <c r="F22" s="9">
        <v>2244</v>
      </c>
      <c r="G22" s="179">
        <f t="shared" si="1"/>
        <v>0.73837867657733514</v>
      </c>
      <c r="H22" s="135">
        <f t="shared" si="3"/>
        <v>0.17001497546430624</v>
      </c>
      <c r="I22" s="179">
        <f t="shared" si="2"/>
        <v>4.3430213989140851</v>
      </c>
    </row>
    <row r="23" spans="1:10" ht="12.5">
      <c r="A23" s="181">
        <v>46154</v>
      </c>
      <c r="B23" s="14">
        <f t="shared" si="0"/>
        <v>3400</v>
      </c>
      <c r="C23" s="9">
        <v>349788</v>
      </c>
      <c r="D23" s="9">
        <v>68531</v>
      </c>
      <c r="E23" s="9">
        <v>67850</v>
      </c>
      <c r="F23" s="9">
        <v>2372</v>
      </c>
      <c r="G23" s="179">
        <f t="shared" si="1"/>
        <v>0.99006289124629732</v>
      </c>
      <c r="H23" s="135">
        <f t="shared" si="3"/>
        <v>0.19397463606527382</v>
      </c>
      <c r="I23" s="179">
        <f t="shared" si="2"/>
        <v>5.1040842830252</v>
      </c>
    </row>
    <row r="24" spans="1:10" ht="12.5">
      <c r="A24" s="181">
        <v>46155</v>
      </c>
      <c r="B24" s="14">
        <f t="shared" si="0"/>
        <v>3400</v>
      </c>
      <c r="C24" s="9">
        <v>319213</v>
      </c>
      <c r="D24" s="9">
        <v>78400</v>
      </c>
      <c r="E24" s="9">
        <v>80421</v>
      </c>
      <c r="F24" s="9">
        <v>3679</v>
      </c>
      <c r="G24" s="179">
        <f t="shared" si="1"/>
        <v>1.0257780612244898</v>
      </c>
      <c r="H24" s="135">
        <f t="shared" si="3"/>
        <v>0.25193522820185893</v>
      </c>
      <c r="I24" s="179">
        <f t="shared" si="2"/>
        <v>4.071594387755102</v>
      </c>
    </row>
    <row r="25" spans="1:10" ht="14.5">
      <c r="A25" s="181">
        <v>46156</v>
      </c>
      <c r="B25" s="14">
        <f t="shared" si="0"/>
        <v>3400</v>
      </c>
      <c r="C25" s="103">
        <v>352477</v>
      </c>
      <c r="D25" s="9">
        <v>67257</v>
      </c>
      <c r="E25" s="9">
        <v>71826</v>
      </c>
      <c r="F25" s="9">
        <v>2218</v>
      </c>
      <c r="G25" s="179">
        <f t="shared" si="1"/>
        <v>1.0679334493063919</v>
      </c>
      <c r="H25" s="135">
        <f t="shared" si="3"/>
        <v>0.20377499808498142</v>
      </c>
      <c r="I25" s="179">
        <f t="shared" si="2"/>
        <v>5.240748174911162</v>
      </c>
    </row>
    <row r="26" spans="1:10" ht="14.5">
      <c r="A26" s="181">
        <v>46157</v>
      </c>
      <c r="B26" s="14">
        <f t="shared" si="0"/>
        <v>3400</v>
      </c>
      <c r="C26" s="103">
        <v>369726</v>
      </c>
      <c r="D26" s="9">
        <v>47315</v>
      </c>
      <c r="E26" s="9">
        <v>92054</v>
      </c>
      <c r="F26" s="9">
        <v>2722</v>
      </c>
      <c r="G26" s="179">
        <f t="shared" si="1"/>
        <v>1.945556377470147</v>
      </c>
      <c r="H26" s="135">
        <f t="shared" si="3"/>
        <v>0.24897897361830112</v>
      </c>
      <c r="I26" s="179">
        <f t="shared" si="2"/>
        <v>7.8141392792983195</v>
      </c>
    </row>
    <row r="27" spans="1:10" ht="14.5">
      <c r="A27" s="181">
        <v>46158</v>
      </c>
      <c r="B27" s="14">
        <f t="shared" si="0"/>
        <v>3400</v>
      </c>
      <c r="C27" s="103">
        <v>236886</v>
      </c>
      <c r="D27" s="9">
        <v>78159</v>
      </c>
      <c r="E27" s="9">
        <v>286816</v>
      </c>
      <c r="F27" s="9">
        <v>9674</v>
      </c>
      <c r="G27" s="179">
        <f t="shared" si="1"/>
        <v>3.6696477692908047</v>
      </c>
      <c r="H27" s="135">
        <f t="shared" si="3"/>
        <v>1.2107764916457706</v>
      </c>
      <c r="I27" s="179">
        <f t="shared" si="2"/>
        <v>3.0308217863585769</v>
      </c>
    </row>
    <row r="28" spans="1:10" ht="12.5">
      <c r="A28" s="181">
        <v>46159</v>
      </c>
      <c r="B28" s="14">
        <f t="shared" si="0"/>
        <v>3400</v>
      </c>
      <c r="C28" s="9">
        <v>287753</v>
      </c>
      <c r="D28" s="9">
        <v>48078</v>
      </c>
      <c r="E28" s="9">
        <v>75204</v>
      </c>
      <c r="F28" s="9">
        <v>2300</v>
      </c>
      <c r="G28" s="179">
        <f t="shared" si="1"/>
        <v>1.564208161737177</v>
      </c>
      <c r="H28" s="135">
        <f t="shared" si="3"/>
        <v>0.2613491431887765</v>
      </c>
      <c r="I28" s="179">
        <f t="shared" si="2"/>
        <v>5.9851283331253384</v>
      </c>
    </row>
    <row r="29" spans="1:10" ht="12.5">
      <c r="A29" s="181">
        <v>46160</v>
      </c>
      <c r="B29" s="14">
        <f t="shared" si="0"/>
        <v>3400</v>
      </c>
      <c r="C29" s="9">
        <v>158885</v>
      </c>
      <c r="D29" s="9">
        <v>52720</v>
      </c>
      <c r="E29" s="9">
        <v>181480</v>
      </c>
      <c r="F29" s="9">
        <v>5897</v>
      </c>
      <c r="G29" s="179">
        <f t="shared" si="1"/>
        <v>3.4423368740515934</v>
      </c>
      <c r="H29" s="135">
        <f t="shared" si="3"/>
        <v>1.1422097743651067</v>
      </c>
      <c r="I29" s="179">
        <f t="shared" si="2"/>
        <v>3.0137518968133534</v>
      </c>
    </row>
    <row r="30" spans="1:10" ht="12.5">
      <c r="A30" s="181">
        <v>46161</v>
      </c>
      <c r="B30" s="14">
        <f t="shared" si="0"/>
        <v>3400</v>
      </c>
      <c r="C30" s="9">
        <v>190996</v>
      </c>
      <c r="D30" s="9">
        <v>50852</v>
      </c>
      <c r="E30" s="9">
        <v>82306</v>
      </c>
      <c r="F30" s="9">
        <v>2116</v>
      </c>
      <c r="G30" s="179">
        <f t="shared" si="1"/>
        <v>1.6185400770864469</v>
      </c>
      <c r="H30" s="135">
        <f t="shared" si="3"/>
        <v>0.4309304906909045</v>
      </c>
      <c r="I30" s="179">
        <f t="shared" si="2"/>
        <v>3.7559191378903485</v>
      </c>
    </row>
    <row r="31" spans="1:10" ht="12.5">
      <c r="A31" s="181">
        <v>46162</v>
      </c>
      <c r="B31" s="14">
        <f t="shared" si="0"/>
        <v>3400</v>
      </c>
      <c r="C31" s="9">
        <v>256751</v>
      </c>
      <c r="D31" s="9">
        <v>56284</v>
      </c>
      <c r="E31" s="9">
        <v>121897</v>
      </c>
      <c r="F31" s="9">
        <v>3061</v>
      </c>
      <c r="G31" s="179">
        <f t="shared" si="1"/>
        <v>2.1657487030061828</v>
      </c>
      <c r="H31" s="135">
        <f t="shared" si="3"/>
        <v>0.47476738162655646</v>
      </c>
      <c r="I31" s="179">
        <f t="shared" si="2"/>
        <v>4.561704925023097</v>
      </c>
    </row>
    <row r="32" spans="1:10" ht="12.5">
      <c r="A32" s="181">
        <v>46163</v>
      </c>
      <c r="B32" s="14">
        <f t="shared" si="0"/>
        <v>3400</v>
      </c>
      <c r="C32" s="9">
        <v>287486</v>
      </c>
      <c r="D32" s="9">
        <v>51168</v>
      </c>
      <c r="E32" s="9">
        <v>151948</v>
      </c>
      <c r="F32" s="9">
        <v>3344</v>
      </c>
      <c r="G32" s="179">
        <f t="shared" si="1"/>
        <v>2.9695903689806129</v>
      </c>
      <c r="H32" s="135">
        <f t="shared" si="3"/>
        <v>0.52854052023402875</v>
      </c>
      <c r="I32" s="179">
        <f t="shared" si="2"/>
        <v>5.6184724828017512</v>
      </c>
    </row>
    <row r="33" spans="1:10" ht="12.5">
      <c r="A33" s="181">
        <v>46164</v>
      </c>
      <c r="B33" s="14">
        <f t="shared" si="0"/>
        <v>3400</v>
      </c>
      <c r="C33" s="9">
        <v>302603</v>
      </c>
      <c r="D33" s="9">
        <v>61382</v>
      </c>
      <c r="E33" s="9">
        <v>96795</v>
      </c>
      <c r="F33" s="9">
        <v>2623</v>
      </c>
      <c r="G33" s="179">
        <f t="shared" si="1"/>
        <v>1.5769280896679809</v>
      </c>
      <c r="H33" s="135">
        <f t="shared" si="3"/>
        <v>0.31987455511016083</v>
      </c>
      <c r="I33" s="179">
        <f t="shared" si="2"/>
        <v>4.929832850021179</v>
      </c>
    </row>
    <row r="34" spans="1:10" ht="12.5">
      <c r="A34" s="181">
        <v>46165</v>
      </c>
      <c r="B34" s="14">
        <f t="shared" si="0"/>
        <v>3400</v>
      </c>
      <c r="C34" s="9">
        <v>296397</v>
      </c>
      <c r="D34" s="9">
        <v>60755</v>
      </c>
      <c r="E34" s="9">
        <v>78061</v>
      </c>
      <c r="F34" s="9">
        <v>3179</v>
      </c>
      <c r="G34" s="179">
        <f t="shared" si="1"/>
        <v>1.284848983622747</v>
      </c>
      <c r="H34" s="135">
        <f t="shared" si="3"/>
        <v>0.26336636335725394</v>
      </c>
      <c r="I34" s="179">
        <f t="shared" si="2"/>
        <v>4.8785614352728173</v>
      </c>
    </row>
    <row r="35" spans="1:10" ht="12.5">
      <c r="A35" s="181">
        <v>46166</v>
      </c>
      <c r="B35" s="14">
        <f t="shared" si="0"/>
        <v>3400</v>
      </c>
      <c r="C35" s="9">
        <v>370314</v>
      </c>
      <c r="D35" s="9">
        <v>62662</v>
      </c>
      <c r="E35" s="9">
        <v>78462</v>
      </c>
      <c r="F35" s="9">
        <v>2049</v>
      </c>
      <c r="G35" s="179">
        <f t="shared" si="1"/>
        <v>1.2521464364367558</v>
      </c>
      <c r="H35" s="135">
        <f t="shared" si="3"/>
        <v>0.21187964808243814</v>
      </c>
      <c r="I35" s="179">
        <f t="shared" si="2"/>
        <v>5.9097060419392937</v>
      </c>
    </row>
    <row r="36" spans="1:10" ht="12.5">
      <c r="A36" s="181">
        <v>46167</v>
      </c>
      <c r="B36" s="14">
        <f t="shared" si="0"/>
        <v>3400</v>
      </c>
      <c r="C36" s="9">
        <v>276480</v>
      </c>
      <c r="D36" s="9">
        <v>63956</v>
      </c>
      <c r="E36" s="9">
        <v>84394</v>
      </c>
      <c r="F36" s="9">
        <v>2717</v>
      </c>
      <c r="G36" s="179">
        <f t="shared" si="1"/>
        <v>1.3195634498717868</v>
      </c>
      <c r="H36" s="135">
        <f t="shared" si="3"/>
        <v>0.30524450231481481</v>
      </c>
      <c r="I36" s="179">
        <f t="shared" si="2"/>
        <v>4.3229720432797549</v>
      </c>
    </row>
    <row r="37" spans="1:10" ht="14.5">
      <c r="A37" s="181">
        <v>46168</v>
      </c>
      <c r="B37" s="14">
        <f t="shared" si="0"/>
        <v>3400</v>
      </c>
      <c r="C37" s="182">
        <v>350282</v>
      </c>
      <c r="D37" s="9">
        <v>64000</v>
      </c>
      <c r="E37" s="9">
        <v>89342</v>
      </c>
      <c r="F37" s="9">
        <v>2514</v>
      </c>
      <c r="G37" s="179">
        <f t="shared" si="1"/>
        <v>1.39596875</v>
      </c>
      <c r="H37" s="135">
        <f t="shared" si="3"/>
        <v>0.25505735378923267</v>
      </c>
      <c r="I37" s="179">
        <f t="shared" si="2"/>
        <v>5.4731562499999997</v>
      </c>
    </row>
    <row r="38" spans="1:10" ht="12.5">
      <c r="A38" s="181">
        <v>46169</v>
      </c>
      <c r="B38" s="14">
        <f t="shared" si="0"/>
        <v>3400</v>
      </c>
      <c r="C38" s="9">
        <v>191569</v>
      </c>
      <c r="D38" s="9">
        <v>52167</v>
      </c>
      <c r="E38" s="9">
        <v>85476</v>
      </c>
      <c r="F38" s="9">
        <v>3672</v>
      </c>
      <c r="G38" s="179">
        <f t="shared" si="1"/>
        <v>1.6385071021910402</v>
      </c>
      <c r="H38" s="135">
        <f t="shared" si="3"/>
        <v>0.4461891015769775</v>
      </c>
      <c r="I38" s="179">
        <f t="shared" si="2"/>
        <v>3.6722257365767632</v>
      </c>
    </row>
    <row r="39" spans="1:10" ht="12.5">
      <c r="A39" s="181">
        <v>46170</v>
      </c>
      <c r="B39" s="14">
        <f t="shared" si="0"/>
        <v>3400</v>
      </c>
      <c r="C39" s="9">
        <v>339746</v>
      </c>
      <c r="D39" s="9">
        <v>53243</v>
      </c>
      <c r="E39" s="9">
        <v>23706</v>
      </c>
      <c r="F39" s="9">
        <v>1023</v>
      </c>
      <c r="G39" s="179">
        <f t="shared" si="1"/>
        <v>0.44524162800743761</v>
      </c>
      <c r="H39" s="135">
        <f t="shared" si="3"/>
        <v>6.9775655931195654E-2</v>
      </c>
      <c r="I39" s="179">
        <f t="shared" si="2"/>
        <v>6.3810453956388633</v>
      </c>
    </row>
    <row r="40" spans="1:10" ht="12.5">
      <c r="A40" s="181">
        <v>46171</v>
      </c>
      <c r="B40" s="14">
        <f t="shared" si="0"/>
        <v>3400</v>
      </c>
      <c r="C40" s="9">
        <v>339746</v>
      </c>
      <c r="D40" s="9">
        <v>57388</v>
      </c>
      <c r="E40" s="9">
        <v>72729</v>
      </c>
      <c r="F40" s="9">
        <v>2770</v>
      </c>
      <c r="G40" s="179">
        <f t="shared" si="1"/>
        <v>1.2673206942217885</v>
      </c>
      <c r="H40" s="135">
        <f t="shared" si="3"/>
        <v>0.2140687454745604</v>
      </c>
      <c r="I40" s="179">
        <f t="shared" si="2"/>
        <v>5.9201575242210911</v>
      </c>
    </row>
    <row r="41" spans="1:10" ht="12.5">
      <c r="A41" s="181">
        <v>46172</v>
      </c>
      <c r="B41" s="14">
        <f t="shared" si="0"/>
        <v>3400</v>
      </c>
      <c r="C41" s="9">
        <v>487740</v>
      </c>
      <c r="D41" s="9">
        <v>45973</v>
      </c>
      <c r="E41" s="9">
        <v>63579</v>
      </c>
      <c r="F41" s="9">
        <v>2765</v>
      </c>
      <c r="G41" s="179">
        <f t="shared" si="1"/>
        <v>1.3829639136014618</v>
      </c>
      <c r="H41" s="135">
        <f t="shared" si="3"/>
        <v>0.13035428712018698</v>
      </c>
      <c r="I41" s="179">
        <f t="shared" si="2"/>
        <v>10.609270658864986</v>
      </c>
    </row>
    <row r="42" spans="1:10" ht="12.5">
      <c r="A42" s="181">
        <v>46173</v>
      </c>
      <c r="B42" s="14">
        <f t="shared" si="0"/>
        <v>3400</v>
      </c>
      <c r="C42" s="9">
        <v>1317</v>
      </c>
      <c r="D42" s="9">
        <v>57418</v>
      </c>
      <c r="E42" s="9">
        <v>82239</v>
      </c>
      <c r="F42" s="9">
        <v>2608</v>
      </c>
      <c r="G42" s="179">
        <f t="shared" si="1"/>
        <v>1.4322860427043784</v>
      </c>
      <c r="H42" s="135">
        <f t="shared" si="3"/>
        <v>62.444191343963553</v>
      </c>
      <c r="I42" s="179">
        <f t="shared" si="2"/>
        <v>2.2937058065415027E-2</v>
      </c>
    </row>
    <row r="43" spans="1:10" ht="12.5">
      <c r="A43" s="181">
        <v>46174</v>
      </c>
      <c r="B43" s="183">
        <f t="shared" ref="B43:B58" si="4">44*1000/15</f>
        <v>2933.3333333333335</v>
      </c>
      <c r="C43" s="9">
        <v>396045</v>
      </c>
      <c r="D43" s="9">
        <v>52591</v>
      </c>
      <c r="E43" s="9">
        <v>69951</v>
      </c>
      <c r="F43" s="9">
        <v>2099</v>
      </c>
      <c r="G43" s="179">
        <f t="shared" si="1"/>
        <v>1.3300945028617064</v>
      </c>
      <c r="H43" s="135">
        <f t="shared" si="3"/>
        <v>0.1766238684997917</v>
      </c>
      <c r="I43" s="179">
        <f t="shared" si="2"/>
        <v>7.5306611397387382</v>
      </c>
    </row>
    <row r="44" spans="1:10" ht="12.5">
      <c r="A44" s="181">
        <v>46175</v>
      </c>
      <c r="B44" s="183">
        <f t="shared" si="4"/>
        <v>2933.3333333333335</v>
      </c>
      <c r="C44" s="9">
        <v>471934</v>
      </c>
      <c r="D44" s="9">
        <v>47509</v>
      </c>
      <c r="E44" s="9">
        <v>61665</v>
      </c>
      <c r="F44" s="9">
        <v>2321</v>
      </c>
      <c r="G44" s="179">
        <f t="shared" si="1"/>
        <v>1.2979645961817761</v>
      </c>
      <c r="H44" s="135">
        <f t="shared" si="3"/>
        <v>0.13066445731818432</v>
      </c>
      <c r="I44" s="179">
        <f t="shared" si="2"/>
        <v>9.9335704813824748</v>
      </c>
    </row>
    <row r="45" spans="1:10" ht="12.5">
      <c r="A45" s="181">
        <v>46176</v>
      </c>
      <c r="B45" s="183">
        <f t="shared" si="4"/>
        <v>2933.3333333333335</v>
      </c>
      <c r="C45" s="9">
        <v>450021</v>
      </c>
      <c r="D45" s="9">
        <v>108918</v>
      </c>
      <c r="E45" s="9">
        <v>93994</v>
      </c>
      <c r="F45" s="9">
        <v>2901</v>
      </c>
      <c r="G45" s="179">
        <f t="shared" si="1"/>
        <v>0.86297948915698053</v>
      </c>
      <c r="H45" s="135">
        <f t="shared" si="3"/>
        <v>0.20886580848449296</v>
      </c>
      <c r="I45" s="179">
        <f t="shared" si="2"/>
        <v>4.1317413099763121</v>
      </c>
    </row>
    <row r="46" spans="1:10" ht="12.5">
      <c r="A46" s="181">
        <v>46177</v>
      </c>
      <c r="B46" s="183">
        <f t="shared" si="4"/>
        <v>2933.3333333333335</v>
      </c>
      <c r="C46" s="9">
        <v>408035</v>
      </c>
      <c r="D46" s="9">
        <v>168298</v>
      </c>
      <c r="E46" s="9">
        <v>37168</v>
      </c>
      <c r="F46" s="9">
        <v>930</v>
      </c>
      <c r="G46" s="179">
        <f t="shared" si="1"/>
        <v>0.22084635586875662</v>
      </c>
      <c r="H46" s="135">
        <f t="shared" si="3"/>
        <v>9.1090225103238692E-2</v>
      </c>
      <c r="I46" s="179">
        <f t="shared" si="2"/>
        <v>2.4244791976137567</v>
      </c>
      <c r="J46" s="124" t="s">
        <v>745</v>
      </c>
    </row>
    <row r="47" spans="1:10" ht="12.5">
      <c r="A47" s="181">
        <v>46178</v>
      </c>
      <c r="B47" s="183">
        <f t="shared" si="4"/>
        <v>2933.3333333333335</v>
      </c>
      <c r="C47" s="9">
        <v>356322</v>
      </c>
      <c r="D47" s="9">
        <v>146476</v>
      </c>
      <c r="E47" s="9">
        <v>49988</v>
      </c>
      <c r="F47" s="9">
        <v>1404</v>
      </c>
      <c r="G47" s="179">
        <f t="shared" si="1"/>
        <v>0.34127092492968131</v>
      </c>
      <c r="H47" s="135">
        <f t="shared" si="3"/>
        <v>0.14028883986955618</v>
      </c>
      <c r="I47" s="179">
        <f t="shared" si="2"/>
        <v>2.4326306016002621</v>
      </c>
      <c r="J47" s="124" t="s">
        <v>745</v>
      </c>
    </row>
    <row r="48" spans="1:10" ht="12.5">
      <c r="A48" s="181">
        <v>46179</v>
      </c>
      <c r="B48" s="183">
        <f t="shared" si="4"/>
        <v>2933.3333333333335</v>
      </c>
      <c r="C48" s="9">
        <v>315595</v>
      </c>
      <c r="D48" s="9">
        <v>105968</v>
      </c>
      <c r="E48" s="9">
        <v>37680</v>
      </c>
      <c r="F48" s="9">
        <v>2069</v>
      </c>
      <c r="G48" s="179">
        <f t="shared" si="1"/>
        <v>0.35557904272988072</v>
      </c>
      <c r="H48" s="135">
        <f t="shared" si="3"/>
        <v>0.11939352651341117</v>
      </c>
      <c r="I48" s="179">
        <f t="shared" si="2"/>
        <v>2.9782104031405709</v>
      </c>
    </row>
    <row r="49" spans="1:10" ht="12.5">
      <c r="A49" s="181">
        <v>46180</v>
      </c>
      <c r="B49" s="183">
        <f t="shared" si="4"/>
        <v>2933.3333333333335</v>
      </c>
      <c r="C49" s="9">
        <v>362799</v>
      </c>
      <c r="D49" s="9">
        <v>106926</v>
      </c>
      <c r="E49" s="9">
        <v>80928</v>
      </c>
      <c r="F49" s="9">
        <v>2297</v>
      </c>
      <c r="G49" s="179">
        <f t="shared" si="1"/>
        <v>0.7568598844060378</v>
      </c>
      <c r="H49" s="135">
        <f t="shared" si="3"/>
        <v>0.22306566445883258</v>
      </c>
      <c r="I49" s="179">
        <f t="shared" si="2"/>
        <v>3.3929914146231974</v>
      </c>
      <c r="J49" s="124" t="s">
        <v>746</v>
      </c>
    </row>
    <row r="50" spans="1:10" ht="12.5">
      <c r="A50" s="181">
        <v>46181</v>
      </c>
      <c r="B50" s="183">
        <f t="shared" si="4"/>
        <v>2933.3333333333335</v>
      </c>
      <c r="C50" s="184">
        <v>299872</v>
      </c>
      <c r="D50" s="9">
        <v>130785</v>
      </c>
      <c r="E50" s="9">
        <v>123582</v>
      </c>
      <c r="F50" s="9">
        <v>3335</v>
      </c>
      <c r="G50" s="179">
        <f t="shared" si="1"/>
        <v>0.9449248767060443</v>
      </c>
      <c r="H50" s="135">
        <f t="shared" si="3"/>
        <v>0.41211583609006508</v>
      </c>
      <c r="I50" s="179">
        <f t="shared" si="2"/>
        <v>2.292862331307107</v>
      </c>
    </row>
    <row r="51" spans="1:10" ht="12.5">
      <c r="A51" s="181">
        <v>46182</v>
      </c>
      <c r="B51" s="183">
        <f t="shared" si="4"/>
        <v>2933.3333333333335</v>
      </c>
      <c r="C51" s="9">
        <v>399701</v>
      </c>
      <c r="D51" s="9">
        <v>144670</v>
      </c>
      <c r="E51" s="9">
        <v>42473</v>
      </c>
      <c r="F51" s="9">
        <v>1281</v>
      </c>
      <c r="G51" s="179">
        <f t="shared" si="1"/>
        <v>0.29358540125803551</v>
      </c>
      <c r="H51" s="135">
        <f t="shared" si="3"/>
        <v>0.10626193079326797</v>
      </c>
      <c r="I51" s="179">
        <f t="shared" si="2"/>
        <v>2.7628464781917468</v>
      </c>
    </row>
    <row r="52" spans="1:10" ht="12.5">
      <c r="A52" s="181">
        <v>46183</v>
      </c>
      <c r="B52" s="183">
        <f t="shared" si="4"/>
        <v>2933.3333333333335</v>
      </c>
      <c r="C52" s="9">
        <v>455351</v>
      </c>
      <c r="D52" s="9">
        <v>144628</v>
      </c>
      <c r="E52" s="9">
        <v>82222</v>
      </c>
      <c r="F52" s="9">
        <v>2104</v>
      </c>
      <c r="G52" s="179">
        <f t="shared" si="1"/>
        <v>0.56850678983322733</v>
      </c>
      <c r="H52" s="135">
        <f t="shared" si="3"/>
        <v>0.18056839668739061</v>
      </c>
      <c r="I52" s="179">
        <f t="shared" si="2"/>
        <v>3.1484290732085074</v>
      </c>
    </row>
    <row r="53" spans="1:10" ht="12.5">
      <c r="A53" s="181">
        <v>46184</v>
      </c>
      <c r="B53" s="183">
        <f t="shared" si="4"/>
        <v>2933.3333333333335</v>
      </c>
      <c r="C53" s="184">
        <v>516316</v>
      </c>
      <c r="D53" s="9">
        <v>118446</v>
      </c>
      <c r="E53" s="9">
        <v>119727</v>
      </c>
      <c r="F53" s="9">
        <v>2803</v>
      </c>
      <c r="G53" s="179">
        <f t="shared" si="1"/>
        <v>1.0108150549617547</v>
      </c>
      <c r="H53" s="135">
        <f t="shared" si="3"/>
        <v>0.23188706141200349</v>
      </c>
      <c r="I53" s="179">
        <f t="shared" si="2"/>
        <v>4.3590834641946543</v>
      </c>
    </row>
    <row r="54" spans="1:10" ht="12.5">
      <c r="A54" s="181">
        <v>46185</v>
      </c>
      <c r="B54" s="183">
        <f t="shared" si="4"/>
        <v>2933.3333333333335</v>
      </c>
      <c r="C54" s="9">
        <v>499419</v>
      </c>
      <c r="D54" s="9">
        <v>121818</v>
      </c>
      <c r="E54" s="9">
        <v>40811</v>
      </c>
      <c r="F54" s="9">
        <v>1131</v>
      </c>
      <c r="G54" s="179">
        <f t="shared" si="1"/>
        <v>0.33501617166592784</v>
      </c>
      <c r="H54" s="135">
        <f t="shared" si="3"/>
        <v>8.1716955101828331E-2</v>
      </c>
      <c r="I54" s="179">
        <f t="shared" si="2"/>
        <v>4.0997143279318324</v>
      </c>
      <c r="J54" s="124" t="s">
        <v>746</v>
      </c>
    </row>
    <row r="55" spans="1:10" ht="12.5">
      <c r="A55" s="181">
        <v>46186</v>
      </c>
      <c r="B55" s="183">
        <f t="shared" si="4"/>
        <v>2933.3333333333335</v>
      </c>
      <c r="C55" s="9">
        <v>471379</v>
      </c>
      <c r="D55" s="9">
        <v>111278</v>
      </c>
      <c r="E55" s="9">
        <v>52626</v>
      </c>
      <c r="F55" s="9">
        <v>1784</v>
      </c>
      <c r="G55" s="179">
        <f t="shared" si="1"/>
        <v>0.47292366864968816</v>
      </c>
      <c r="H55" s="135">
        <f t="shared" si="3"/>
        <v>0.11164264848455277</v>
      </c>
      <c r="I55" s="179">
        <f t="shared" si="2"/>
        <v>4.2360484552202591</v>
      </c>
      <c r="J55" s="124" t="s">
        <v>746</v>
      </c>
    </row>
    <row r="56" spans="1:10" ht="12.5">
      <c r="A56" s="181">
        <v>46187</v>
      </c>
      <c r="B56" s="183">
        <f t="shared" si="4"/>
        <v>2933.3333333333335</v>
      </c>
      <c r="C56" s="9">
        <v>528320</v>
      </c>
      <c r="D56" s="9">
        <v>130860</v>
      </c>
      <c r="E56" s="9">
        <v>57712</v>
      </c>
      <c r="F56" s="9">
        <v>1871</v>
      </c>
      <c r="G56" s="179">
        <f t="shared" si="1"/>
        <v>0.44102093840745837</v>
      </c>
      <c r="H56" s="135">
        <f t="shared" si="3"/>
        <v>0.10923682616596002</v>
      </c>
      <c r="I56" s="179">
        <f t="shared" si="2"/>
        <v>4.0372917621885982</v>
      </c>
      <c r="J56" s="124" t="s">
        <v>746</v>
      </c>
    </row>
    <row r="57" spans="1:10" ht="12.5">
      <c r="A57" s="181">
        <v>46188</v>
      </c>
      <c r="B57" s="183">
        <f t="shared" si="4"/>
        <v>2933.3333333333335</v>
      </c>
      <c r="C57" s="9"/>
      <c r="D57" s="9"/>
      <c r="E57" s="9"/>
      <c r="F57" s="9"/>
      <c r="G57" s="179" t="e">
        <f t="shared" si="1"/>
        <v>#DIV/0!</v>
      </c>
      <c r="H57" s="135" t="e">
        <f t="shared" si="3"/>
        <v>#DIV/0!</v>
      </c>
      <c r="I57" s="179" t="e">
        <f t="shared" si="2"/>
        <v>#DIV/0!</v>
      </c>
    </row>
    <row r="58" spans="1:10" ht="12.5">
      <c r="A58" s="181">
        <v>46189</v>
      </c>
      <c r="B58" s="183">
        <f t="shared" si="4"/>
        <v>2933.3333333333335</v>
      </c>
      <c r="C58" s="9"/>
      <c r="D58" s="9"/>
      <c r="E58" s="9"/>
      <c r="F58" s="9"/>
      <c r="G58" s="179" t="e">
        <f t="shared" si="1"/>
        <v>#DIV/0!</v>
      </c>
      <c r="H58" s="135" t="e">
        <f t="shared" si="3"/>
        <v>#DIV/0!</v>
      </c>
      <c r="I58" s="179" t="e">
        <f t="shared" si="2"/>
        <v>#DIV/0!</v>
      </c>
    </row>
    <row r="59" spans="1:10" ht="12.5">
      <c r="A59" s="9"/>
      <c r="B59" s="9"/>
      <c r="C59" s="9"/>
      <c r="D59" s="9"/>
      <c r="E59" s="9"/>
      <c r="F59" s="9"/>
      <c r="G59" s="179" t="e">
        <f t="shared" si="1"/>
        <v>#DIV/0!</v>
      </c>
      <c r="H59" s="135" t="e">
        <f t="shared" si="3"/>
        <v>#DIV/0!</v>
      </c>
      <c r="I59" s="179" t="e">
        <f t="shared" si="2"/>
        <v>#DIV/0!</v>
      </c>
    </row>
    <row r="60" spans="1:10" ht="12.5">
      <c r="A60" s="9"/>
      <c r="B60" s="9"/>
      <c r="C60" s="9"/>
      <c r="D60" s="9"/>
      <c r="E60" s="9"/>
      <c r="F60" s="9"/>
      <c r="G60" s="179" t="e">
        <f t="shared" si="1"/>
        <v>#DIV/0!</v>
      </c>
      <c r="H60" s="135" t="e">
        <f t="shared" si="3"/>
        <v>#DIV/0!</v>
      </c>
      <c r="I60" s="179" t="e">
        <f t="shared" si="2"/>
        <v>#DIV/0!</v>
      </c>
    </row>
    <row r="61" spans="1:10" ht="12.5">
      <c r="A61" s="9"/>
      <c r="B61" s="9"/>
      <c r="C61" s="9"/>
      <c r="D61" s="9"/>
      <c r="E61" s="9"/>
      <c r="F61" s="9"/>
      <c r="G61" s="179" t="e">
        <f t="shared" si="1"/>
        <v>#DIV/0!</v>
      </c>
      <c r="H61" s="135" t="e">
        <f t="shared" si="3"/>
        <v>#DIV/0!</v>
      </c>
      <c r="I61" s="179" t="e">
        <f t="shared" si="2"/>
        <v>#DIV/0!</v>
      </c>
    </row>
    <row r="62" spans="1:10" ht="12.5">
      <c r="A62" s="9"/>
      <c r="B62" s="9"/>
      <c r="C62" s="9"/>
      <c r="D62" s="9"/>
      <c r="E62" s="9"/>
      <c r="F62" s="9"/>
      <c r="G62" s="179" t="e">
        <f t="shared" si="1"/>
        <v>#DIV/0!</v>
      </c>
      <c r="H62" s="135" t="e">
        <f t="shared" si="3"/>
        <v>#DIV/0!</v>
      </c>
      <c r="I62" s="179" t="e">
        <f t="shared" si="2"/>
        <v>#DIV/0!</v>
      </c>
    </row>
    <row r="63" spans="1:10" ht="12.5">
      <c r="A63" s="9"/>
      <c r="B63" s="9"/>
      <c r="C63" s="9"/>
      <c r="D63" s="9"/>
      <c r="E63" s="135"/>
      <c r="F63" s="9"/>
      <c r="G63" s="179" t="e">
        <f t="shared" si="1"/>
        <v>#DIV/0!</v>
      </c>
      <c r="H63" s="135" t="e">
        <f t="shared" si="3"/>
        <v>#DIV/0!</v>
      </c>
      <c r="I63" s="179" t="e">
        <f t="shared" si="2"/>
        <v>#DIV/0!</v>
      </c>
    </row>
    <row r="64" spans="1:10" ht="12.5">
      <c r="A64" s="9"/>
      <c r="B64" s="9"/>
      <c r="C64" s="9"/>
      <c r="D64" s="9"/>
      <c r="E64" s="9"/>
      <c r="F64" s="9"/>
      <c r="G64" s="179" t="e">
        <f t="shared" si="1"/>
        <v>#DIV/0!</v>
      </c>
      <c r="H64" s="135" t="e">
        <f t="shared" si="3"/>
        <v>#DIV/0!</v>
      </c>
      <c r="I64" s="179" t="e">
        <f t="shared" si="2"/>
        <v>#DIV/0!</v>
      </c>
    </row>
    <row r="65" spans="1:9" ht="12.5">
      <c r="A65" s="9"/>
      <c r="B65" s="9"/>
      <c r="C65" s="9"/>
      <c r="D65" s="9"/>
      <c r="E65" s="9"/>
      <c r="F65" s="9"/>
      <c r="G65" s="179" t="e">
        <f t="shared" si="1"/>
        <v>#DIV/0!</v>
      </c>
      <c r="H65" s="135" t="e">
        <f t="shared" si="3"/>
        <v>#DIV/0!</v>
      </c>
      <c r="I65" s="179" t="e">
        <f t="shared" si="2"/>
        <v>#DIV/0!</v>
      </c>
    </row>
    <row r="66" spans="1:9" ht="12.5">
      <c r="A66" s="9"/>
      <c r="B66" s="9"/>
      <c r="C66" s="9"/>
      <c r="D66" s="9"/>
      <c r="E66" s="9"/>
      <c r="F66" s="9"/>
      <c r="G66" s="179" t="e">
        <f t="shared" si="1"/>
        <v>#DIV/0!</v>
      </c>
      <c r="H66" s="135" t="e">
        <f t="shared" si="3"/>
        <v>#DIV/0!</v>
      </c>
      <c r="I66" s="179" t="e">
        <f t="shared" si="2"/>
        <v>#DIV/0!</v>
      </c>
    </row>
    <row r="67" spans="1:9" ht="12.5">
      <c r="A67" s="9"/>
      <c r="B67" s="9"/>
      <c r="C67" s="9"/>
      <c r="D67" s="9"/>
      <c r="E67" s="9"/>
      <c r="F67" s="9"/>
      <c r="G67" s="179" t="e">
        <f t="shared" si="1"/>
        <v>#DIV/0!</v>
      </c>
      <c r="H67" s="135" t="e">
        <f t="shared" si="3"/>
        <v>#DIV/0!</v>
      </c>
      <c r="I67" s="179" t="e">
        <f t="shared" si="2"/>
        <v>#DIV/0!</v>
      </c>
    </row>
    <row r="68" spans="1:9" ht="12.5">
      <c r="A68" s="9"/>
      <c r="B68" s="9"/>
      <c r="C68" s="9"/>
      <c r="D68" s="9"/>
      <c r="E68" s="9"/>
      <c r="F68" s="9"/>
      <c r="G68" s="179" t="e">
        <f t="shared" si="1"/>
        <v>#DIV/0!</v>
      </c>
      <c r="H68" s="135" t="e">
        <f t="shared" si="3"/>
        <v>#DIV/0!</v>
      </c>
      <c r="I68" s="179" t="e">
        <f t="shared" si="2"/>
        <v>#DIV/0!</v>
      </c>
    </row>
    <row r="69" spans="1:9" ht="12.5">
      <c r="A69" s="9"/>
      <c r="B69" s="9"/>
      <c r="C69" s="9"/>
      <c r="D69" s="9"/>
      <c r="E69" s="9"/>
      <c r="F69" s="9"/>
      <c r="G69" s="179" t="e">
        <f t="shared" si="1"/>
        <v>#DIV/0!</v>
      </c>
      <c r="H69" s="135" t="e">
        <f t="shared" si="3"/>
        <v>#DIV/0!</v>
      </c>
      <c r="I69" s="179" t="e">
        <f t="shared" si="2"/>
        <v>#DIV/0!</v>
      </c>
    </row>
    <row r="70" spans="1:9" ht="12.5">
      <c r="A70" s="9"/>
      <c r="B70" s="9"/>
      <c r="C70" s="9"/>
      <c r="D70" s="9"/>
      <c r="E70" s="9"/>
      <c r="F70" s="9"/>
      <c r="G70" s="179" t="e">
        <f t="shared" si="1"/>
        <v>#DIV/0!</v>
      </c>
      <c r="H70" s="135" t="e">
        <f t="shared" si="3"/>
        <v>#DIV/0!</v>
      </c>
      <c r="I70" s="179" t="e">
        <f t="shared" si="2"/>
        <v>#DIV/0!</v>
      </c>
    </row>
    <row r="71" spans="1:9" ht="12.5">
      <c r="A71" s="9"/>
      <c r="B71" s="9"/>
      <c r="C71" s="9"/>
      <c r="D71" s="9"/>
      <c r="E71" s="9"/>
      <c r="F71" s="9"/>
      <c r="G71" s="179" t="e">
        <f t="shared" si="1"/>
        <v>#DIV/0!</v>
      </c>
      <c r="H71" s="135" t="e">
        <f t="shared" si="3"/>
        <v>#DIV/0!</v>
      </c>
      <c r="I71" s="179" t="e">
        <f t="shared" si="2"/>
        <v>#DIV/0!</v>
      </c>
    </row>
    <row r="72" spans="1:9" ht="12.5">
      <c r="A72" s="9"/>
      <c r="B72" s="9"/>
      <c r="C72" s="9"/>
      <c r="D72" s="9"/>
      <c r="E72" s="9"/>
      <c r="F72" s="9"/>
      <c r="G72" s="179" t="e">
        <f t="shared" si="1"/>
        <v>#DIV/0!</v>
      </c>
      <c r="H72" s="135" t="e">
        <f t="shared" si="3"/>
        <v>#DIV/0!</v>
      </c>
      <c r="I72" s="179" t="e">
        <f t="shared" si="2"/>
        <v>#DIV/0!</v>
      </c>
    </row>
    <row r="73" spans="1:9" ht="12.5">
      <c r="A73" s="9"/>
      <c r="B73" s="9"/>
      <c r="C73" s="9"/>
      <c r="D73" s="9"/>
      <c r="E73" s="9"/>
      <c r="F73" s="9"/>
      <c r="G73" s="179" t="e">
        <f t="shared" si="1"/>
        <v>#DIV/0!</v>
      </c>
      <c r="H73" s="135" t="e">
        <f t="shared" si="3"/>
        <v>#DIV/0!</v>
      </c>
      <c r="I73" s="179" t="e">
        <f t="shared" si="2"/>
        <v>#DIV/0!</v>
      </c>
    </row>
    <row r="74" spans="1:9" ht="12.5">
      <c r="A74" s="9"/>
      <c r="B74" s="9"/>
      <c r="C74" s="9"/>
      <c r="D74" s="9"/>
      <c r="E74" s="9"/>
      <c r="F74" s="9"/>
      <c r="G74" s="179" t="e">
        <f t="shared" si="1"/>
        <v>#DIV/0!</v>
      </c>
      <c r="H74" s="135" t="e">
        <f t="shared" si="3"/>
        <v>#DIV/0!</v>
      </c>
      <c r="I74" s="179" t="e">
        <f t="shared" si="2"/>
        <v>#DIV/0!</v>
      </c>
    </row>
    <row r="75" spans="1:9" ht="12.5">
      <c r="A75" s="9"/>
      <c r="B75" s="9"/>
      <c r="C75" s="9"/>
      <c r="D75" s="9"/>
      <c r="E75" s="9"/>
      <c r="F75" s="9"/>
      <c r="G75" s="179" t="e">
        <f t="shared" si="1"/>
        <v>#DIV/0!</v>
      </c>
      <c r="H75" s="135" t="e">
        <f t="shared" si="3"/>
        <v>#DIV/0!</v>
      </c>
      <c r="I75" s="179" t="e">
        <f t="shared" si="2"/>
        <v>#DIV/0!</v>
      </c>
    </row>
    <row r="76" spans="1:9" ht="12.5">
      <c r="A76" s="9"/>
      <c r="B76" s="9"/>
      <c r="C76" s="9"/>
      <c r="D76" s="9"/>
      <c r="E76" s="9"/>
      <c r="F76" s="9"/>
      <c r="G76" s="179" t="e">
        <f t="shared" si="1"/>
        <v>#DIV/0!</v>
      </c>
      <c r="H76" s="135" t="e">
        <f t="shared" si="3"/>
        <v>#DIV/0!</v>
      </c>
      <c r="I76" s="179" t="e">
        <f t="shared" si="2"/>
        <v>#DIV/0!</v>
      </c>
    </row>
    <row r="77" spans="1:9" ht="12.5">
      <c r="A77" s="9"/>
      <c r="B77" s="9"/>
      <c r="C77" s="9"/>
      <c r="D77" s="9"/>
      <c r="E77" s="9"/>
      <c r="F77" s="9"/>
      <c r="G77" s="179" t="e">
        <f t="shared" si="1"/>
        <v>#DIV/0!</v>
      </c>
      <c r="H77" s="135" t="e">
        <f t="shared" si="3"/>
        <v>#DIV/0!</v>
      </c>
      <c r="I77" s="179" t="e">
        <f t="shared" si="2"/>
        <v>#DIV/0!</v>
      </c>
    </row>
    <row r="78" spans="1:9" ht="12.5">
      <c r="A78" s="9"/>
      <c r="B78" s="9"/>
      <c r="C78" s="9"/>
      <c r="D78" s="9"/>
      <c r="E78" s="9"/>
      <c r="F78" s="9"/>
      <c r="G78" s="179" t="e">
        <f t="shared" si="1"/>
        <v>#DIV/0!</v>
      </c>
      <c r="H78" s="135" t="e">
        <f t="shared" si="3"/>
        <v>#DIV/0!</v>
      </c>
      <c r="I78" s="179" t="e">
        <f t="shared" si="2"/>
        <v>#DIV/0!</v>
      </c>
    </row>
    <row r="79" spans="1:9" ht="12.5">
      <c r="A79" s="9"/>
      <c r="B79" s="9"/>
      <c r="C79" s="9"/>
      <c r="D79" s="9"/>
      <c r="E79" s="9"/>
      <c r="F79" s="9"/>
      <c r="G79" s="179" t="e">
        <f t="shared" si="1"/>
        <v>#DIV/0!</v>
      </c>
      <c r="H79" s="135" t="e">
        <f t="shared" si="3"/>
        <v>#DIV/0!</v>
      </c>
      <c r="I79" s="179" t="e">
        <f t="shared" si="2"/>
        <v>#DIV/0!</v>
      </c>
    </row>
    <row r="80" spans="1:9" ht="12.5">
      <c r="A80" s="9"/>
      <c r="B80" s="9"/>
      <c r="C80" s="9"/>
      <c r="D80" s="9"/>
      <c r="E80" s="9"/>
      <c r="F80" s="9"/>
      <c r="G80" s="179" t="e">
        <f t="shared" si="1"/>
        <v>#DIV/0!</v>
      </c>
      <c r="H80" s="135" t="e">
        <f t="shared" si="3"/>
        <v>#DIV/0!</v>
      </c>
      <c r="I80" s="179" t="e">
        <f t="shared" si="2"/>
        <v>#DIV/0!</v>
      </c>
    </row>
    <row r="81" spans="1:9" ht="12.5">
      <c r="A81" s="9"/>
      <c r="B81" s="9"/>
      <c r="C81" s="9"/>
      <c r="D81" s="9"/>
      <c r="E81" s="9"/>
      <c r="F81" s="9"/>
      <c r="G81" s="179" t="e">
        <f t="shared" si="1"/>
        <v>#DIV/0!</v>
      </c>
      <c r="H81" s="135" t="e">
        <f t="shared" si="3"/>
        <v>#DIV/0!</v>
      </c>
      <c r="I81" s="179" t="e">
        <f t="shared" si="2"/>
        <v>#DIV/0!</v>
      </c>
    </row>
    <row r="82" spans="1:9" ht="12.5">
      <c r="A82" s="9"/>
      <c r="B82" s="9"/>
      <c r="C82" s="9"/>
      <c r="D82" s="9"/>
      <c r="E82" s="9"/>
      <c r="F82" s="9"/>
      <c r="G82" s="179" t="e">
        <f t="shared" si="1"/>
        <v>#DIV/0!</v>
      </c>
      <c r="H82" s="135" t="e">
        <f t="shared" si="3"/>
        <v>#DIV/0!</v>
      </c>
      <c r="I82" s="179" t="e">
        <f t="shared" si="2"/>
        <v>#DIV/0!</v>
      </c>
    </row>
    <row r="83" spans="1:9" ht="12.5">
      <c r="A83" s="9"/>
      <c r="B83" s="9"/>
      <c r="C83" s="9"/>
      <c r="D83" s="9"/>
      <c r="E83" s="9"/>
      <c r="F83" s="9"/>
      <c r="G83" s="179" t="e">
        <f t="shared" si="1"/>
        <v>#DIV/0!</v>
      </c>
      <c r="H83" s="135" t="e">
        <f t="shared" si="3"/>
        <v>#DIV/0!</v>
      </c>
      <c r="I83" s="179" t="e">
        <f t="shared" si="2"/>
        <v>#DIV/0!</v>
      </c>
    </row>
    <row r="84" spans="1:9" ht="12.5">
      <c r="A84" s="9"/>
      <c r="B84" s="9"/>
      <c r="C84" s="9"/>
      <c r="D84" s="9"/>
      <c r="E84" s="9"/>
      <c r="F84" s="9"/>
      <c r="G84" s="179" t="e">
        <f t="shared" si="1"/>
        <v>#DIV/0!</v>
      </c>
      <c r="H84" s="135" t="e">
        <f t="shared" si="3"/>
        <v>#DIV/0!</v>
      </c>
      <c r="I84" s="179" t="e">
        <f t="shared" si="2"/>
        <v>#DIV/0!</v>
      </c>
    </row>
    <row r="85" spans="1:9" ht="12.5">
      <c r="A85" s="9"/>
      <c r="B85" s="9"/>
      <c r="C85" s="9"/>
      <c r="D85" s="9"/>
      <c r="E85" s="9"/>
      <c r="F85" s="9"/>
      <c r="G85" s="179" t="e">
        <f t="shared" si="1"/>
        <v>#DIV/0!</v>
      </c>
      <c r="H85" s="135" t="e">
        <f t="shared" si="3"/>
        <v>#DIV/0!</v>
      </c>
      <c r="I85" s="179" t="e">
        <f t="shared" si="2"/>
        <v>#DIV/0!</v>
      </c>
    </row>
    <row r="86" spans="1:9" ht="12.5">
      <c r="A86" s="9"/>
      <c r="B86" s="9"/>
      <c r="C86" s="9"/>
      <c r="D86" s="9"/>
      <c r="E86" s="9"/>
      <c r="F86" s="9"/>
      <c r="G86" s="179" t="e">
        <f t="shared" si="1"/>
        <v>#DIV/0!</v>
      </c>
      <c r="H86" s="135" t="e">
        <f t="shared" si="3"/>
        <v>#DIV/0!</v>
      </c>
      <c r="I86" s="179" t="e">
        <f t="shared" si="2"/>
        <v>#DIV/0!</v>
      </c>
    </row>
    <row r="87" spans="1:9" ht="12.5">
      <c r="A87" s="9"/>
      <c r="B87" s="9"/>
      <c r="C87" s="9"/>
      <c r="D87" s="9"/>
      <c r="E87" s="9"/>
      <c r="F87" s="9"/>
      <c r="G87" s="179" t="e">
        <f t="shared" si="1"/>
        <v>#DIV/0!</v>
      </c>
      <c r="H87" s="135" t="e">
        <f t="shared" si="3"/>
        <v>#DIV/0!</v>
      </c>
      <c r="I87" s="179" t="e">
        <f t="shared" si="2"/>
        <v>#DIV/0!</v>
      </c>
    </row>
    <row r="88" spans="1:9" ht="12.5">
      <c r="A88" s="9"/>
      <c r="B88" s="9"/>
      <c r="C88" s="9"/>
      <c r="D88" s="9"/>
      <c r="E88" s="9"/>
      <c r="F88" s="9"/>
      <c r="G88" s="179" t="e">
        <f t="shared" si="1"/>
        <v>#DIV/0!</v>
      </c>
      <c r="H88" s="135" t="e">
        <f t="shared" si="3"/>
        <v>#DIV/0!</v>
      </c>
      <c r="I88" s="179" t="e">
        <f t="shared" si="2"/>
        <v>#DIV/0!</v>
      </c>
    </row>
    <row r="89" spans="1:9" ht="12.5">
      <c r="A89" s="9"/>
      <c r="B89" s="9"/>
      <c r="C89" s="9"/>
      <c r="D89" s="9"/>
      <c r="E89" s="9"/>
      <c r="F89" s="9"/>
      <c r="G89" s="179" t="e">
        <f t="shared" si="1"/>
        <v>#DIV/0!</v>
      </c>
      <c r="H89" s="135" t="e">
        <f t="shared" si="3"/>
        <v>#DIV/0!</v>
      </c>
      <c r="I89" s="179" t="e">
        <f t="shared" si="2"/>
        <v>#DIV/0!</v>
      </c>
    </row>
    <row r="90" spans="1:9" ht="12.5">
      <c r="A90" s="9"/>
      <c r="B90" s="9"/>
      <c r="C90" s="9"/>
      <c r="D90" s="9"/>
      <c r="E90" s="9"/>
      <c r="F90" s="9"/>
      <c r="G90" s="179" t="e">
        <f t="shared" si="1"/>
        <v>#DIV/0!</v>
      </c>
      <c r="H90" s="135" t="e">
        <f t="shared" si="3"/>
        <v>#DIV/0!</v>
      </c>
      <c r="I90" s="179" t="e">
        <f t="shared" si="2"/>
        <v>#DIV/0!</v>
      </c>
    </row>
    <row r="91" spans="1:9" ht="12.5">
      <c r="A91" s="9"/>
      <c r="B91" s="9"/>
      <c r="C91" s="9"/>
      <c r="D91" s="9"/>
      <c r="E91" s="9"/>
      <c r="F91" s="9"/>
      <c r="G91" s="179" t="e">
        <f t="shared" si="1"/>
        <v>#DIV/0!</v>
      </c>
      <c r="H91" s="135" t="e">
        <f t="shared" si="3"/>
        <v>#DIV/0!</v>
      </c>
      <c r="I91" s="179" t="e">
        <f t="shared" si="2"/>
        <v>#DIV/0!</v>
      </c>
    </row>
    <row r="92" spans="1:9" ht="12.5">
      <c r="A92" s="9"/>
      <c r="B92" s="9"/>
      <c r="C92" s="9"/>
      <c r="D92" s="9"/>
      <c r="E92" s="9"/>
      <c r="F92" s="9"/>
      <c r="G92" s="179" t="e">
        <f t="shared" si="1"/>
        <v>#DIV/0!</v>
      </c>
      <c r="H92" s="135" t="e">
        <f t="shared" si="3"/>
        <v>#DIV/0!</v>
      </c>
      <c r="I92" s="179" t="e">
        <f t="shared" si="2"/>
        <v>#DIV/0!</v>
      </c>
    </row>
    <row r="93" spans="1:9" ht="12.5">
      <c r="A93" s="9"/>
      <c r="B93" s="9"/>
      <c r="C93" s="9"/>
      <c r="D93" s="9"/>
      <c r="E93" s="9"/>
      <c r="F93" s="9"/>
      <c r="G93" s="179" t="e">
        <f t="shared" si="1"/>
        <v>#DIV/0!</v>
      </c>
      <c r="H93" s="135" t="e">
        <f t="shared" si="3"/>
        <v>#DIV/0!</v>
      </c>
      <c r="I93" s="179" t="e">
        <f t="shared" si="2"/>
        <v>#DIV/0!</v>
      </c>
    </row>
    <row r="94" spans="1:9" ht="12.5">
      <c r="A94" s="9"/>
      <c r="B94" s="9"/>
      <c r="C94" s="9"/>
      <c r="D94" s="9"/>
      <c r="E94" s="9"/>
      <c r="F94" s="9"/>
      <c r="G94" s="179" t="e">
        <f t="shared" si="1"/>
        <v>#DIV/0!</v>
      </c>
      <c r="H94" s="135" t="e">
        <f t="shared" si="3"/>
        <v>#DIV/0!</v>
      </c>
      <c r="I94" s="179" t="e">
        <f t="shared" si="2"/>
        <v>#DIV/0!</v>
      </c>
    </row>
    <row r="95" spans="1:9" ht="12.5">
      <c r="A95" s="9"/>
      <c r="B95" s="9"/>
      <c r="C95" s="9"/>
      <c r="D95" s="9"/>
      <c r="E95" s="9"/>
      <c r="F95" s="9"/>
      <c r="G95" s="179" t="e">
        <f t="shared" si="1"/>
        <v>#DIV/0!</v>
      </c>
      <c r="H95" s="135" t="e">
        <f t="shared" si="3"/>
        <v>#DIV/0!</v>
      </c>
      <c r="I95" s="179" t="e">
        <f t="shared" si="2"/>
        <v>#DIV/0!</v>
      </c>
    </row>
    <row r="96" spans="1:9" ht="12.5">
      <c r="A96" s="9"/>
      <c r="B96" s="9"/>
      <c r="C96" s="9"/>
      <c r="D96" s="9"/>
      <c r="E96" s="9"/>
      <c r="F96" s="9"/>
      <c r="G96" s="179" t="e">
        <f t="shared" si="1"/>
        <v>#DIV/0!</v>
      </c>
      <c r="H96" s="135" t="e">
        <f t="shared" si="3"/>
        <v>#DIV/0!</v>
      </c>
      <c r="I96" s="179" t="e">
        <f t="shared" si="2"/>
        <v>#DIV/0!</v>
      </c>
    </row>
    <row r="97" spans="1:9" ht="12.5">
      <c r="A97" s="9"/>
      <c r="B97" s="9"/>
      <c r="C97" s="9"/>
      <c r="D97" s="9"/>
      <c r="E97" s="9"/>
      <c r="F97" s="9"/>
      <c r="G97" s="179" t="e">
        <f t="shared" si="1"/>
        <v>#DIV/0!</v>
      </c>
      <c r="H97" s="135" t="e">
        <f t="shared" si="3"/>
        <v>#DIV/0!</v>
      </c>
      <c r="I97" s="179" t="e">
        <f t="shared" si="2"/>
        <v>#DIV/0!</v>
      </c>
    </row>
    <row r="98" spans="1:9" ht="12.5">
      <c r="A98" s="9"/>
      <c r="B98" s="9"/>
      <c r="C98" s="9"/>
      <c r="D98" s="9"/>
      <c r="E98" s="9"/>
      <c r="F98" s="9"/>
      <c r="G98" s="179" t="e">
        <f t="shared" si="1"/>
        <v>#DIV/0!</v>
      </c>
      <c r="H98" s="135" t="e">
        <f t="shared" si="3"/>
        <v>#DIV/0!</v>
      </c>
      <c r="I98" s="179" t="e">
        <f t="shared" si="2"/>
        <v>#DIV/0!</v>
      </c>
    </row>
    <row r="99" spans="1:9" ht="12.5">
      <c r="A99" s="9"/>
      <c r="B99" s="9"/>
      <c r="C99" s="9"/>
      <c r="D99" s="9"/>
      <c r="E99" s="9"/>
      <c r="F99" s="9"/>
      <c r="G99" s="179" t="e">
        <f t="shared" si="1"/>
        <v>#DIV/0!</v>
      </c>
      <c r="H99" s="135" t="e">
        <f t="shared" si="3"/>
        <v>#DIV/0!</v>
      </c>
      <c r="I99" s="179" t="e">
        <f t="shared" si="2"/>
        <v>#DIV/0!</v>
      </c>
    </row>
    <row r="100" spans="1:9" ht="12.5">
      <c r="A100" s="9"/>
      <c r="B100" s="9"/>
      <c r="C100" s="9"/>
      <c r="D100" s="9"/>
      <c r="E100" s="9"/>
      <c r="F100" s="9"/>
      <c r="G100" s="179" t="e">
        <f t="shared" si="1"/>
        <v>#DIV/0!</v>
      </c>
      <c r="H100" s="135" t="e">
        <f t="shared" si="3"/>
        <v>#DIV/0!</v>
      </c>
      <c r="I100" s="179" t="e">
        <f t="shared" si="2"/>
        <v>#DIV/0!</v>
      </c>
    </row>
    <row r="101" spans="1:9" ht="12.5">
      <c r="A101" s="9"/>
      <c r="B101" s="9"/>
      <c r="C101" s="9"/>
      <c r="D101" s="9"/>
      <c r="E101" s="9"/>
      <c r="F101" s="9"/>
      <c r="G101" s="179" t="e">
        <f t="shared" si="1"/>
        <v>#DIV/0!</v>
      </c>
      <c r="H101" s="135" t="e">
        <f t="shared" si="3"/>
        <v>#DIV/0!</v>
      </c>
      <c r="I101" s="179" t="e">
        <f t="shared" si="2"/>
        <v>#DIV/0!</v>
      </c>
    </row>
    <row r="102" spans="1:9" ht="12.5">
      <c r="A102" s="9"/>
      <c r="B102" s="9"/>
      <c r="C102" s="9"/>
      <c r="D102" s="9"/>
      <c r="E102" s="9"/>
      <c r="F102" s="9"/>
      <c r="G102" s="179" t="e">
        <f t="shared" si="1"/>
        <v>#DIV/0!</v>
      </c>
      <c r="H102" s="135" t="e">
        <f t="shared" si="3"/>
        <v>#DIV/0!</v>
      </c>
      <c r="I102" s="179" t="e">
        <f t="shared" si="2"/>
        <v>#DIV/0!</v>
      </c>
    </row>
    <row r="103" spans="1:9" ht="12.5">
      <c r="A103" s="9"/>
      <c r="B103" s="9"/>
      <c r="C103" s="9"/>
      <c r="D103" s="9"/>
      <c r="E103" s="9"/>
      <c r="F103" s="9"/>
      <c r="G103" s="179" t="e">
        <f t="shared" si="1"/>
        <v>#DIV/0!</v>
      </c>
      <c r="H103" s="135" t="e">
        <f t="shared" si="3"/>
        <v>#DIV/0!</v>
      </c>
      <c r="I103" s="179" t="e">
        <f t="shared" si="2"/>
        <v>#DIV/0!</v>
      </c>
    </row>
    <row r="104" spans="1:9" ht="12.5">
      <c r="A104" s="9"/>
      <c r="B104" s="9"/>
      <c r="C104" s="9"/>
      <c r="D104" s="9"/>
      <c r="E104" s="9"/>
      <c r="F104" s="9"/>
      <c r="G104" s="179" t="e">
        <f t="shared" si="1"/>
        <v>#DIV/0!</v>
      </c>
      <c r="H104" s="135" t="e">
        <f t="shared" si="3"/>
        <v>#DIV/0!</v>
      </c>
      <c r="I104" s="179" t="e">
        <f t="shared" si="2"/>
        <v>#DIV/0!</v>
      </c>
    </row>
    <row r="105" spans="1:9" ht="12.5">
      <c r="A105" s="9"/>
      <c r="B105" s="9"/>
      <c r="C105" s="9"/>
      <c r="D105" s="9"/>
      <c r="E105" s="9"/>
      <c r="F105" s="9"/>
      <c r="G105" s="179" t="e">
        <f t="shared" si="1"/>
        <v>#DIV/0!</v>
      </c>
      <c r="H105" s="135" t="e">
        <f t="shared" si="3"/>
        <v>#DIV/0!</v>
      </c>
      <c r="I105" s="179" t="e">
        <f t="shared" si="2"/>
        <v>#DIV/0!</v>
      </c>
    </row>
    <row r="106" spans="1:9" ht="12.5">
      <c r="A106" s="9"/>
      <c r="B106" s="9"/>
      <c r="C106" s="9"/>
      <c r="D106" s="9"/>
      <c r="E106" s="9"/>
      <c r="F106" s="9"/>
      <c r="G106" s="179" t="e">
        <f t="shared" si="1"/>
        <v>#DIV/0!</v>
      </c>
      <c r="H106" s="135" t="e">
        <f t="shared" si="3"/>
        <v>#DIV/0!</v>
      </c>
      <c r="I106" s="179" t="e">
        <f t="shared" si="2"/>
        <v>#DIV/0!</v>
      </c>
    </row>
    <row r="107" spans="1:9" ht="12.5">
      <c r="A107" s="9"/>
      <c r="B107" s="9"/>
      <c r="C107" s="9"/>
      <c r="D107" s="9"/>
      <c r="E107" s="9"/>
      <c r="F107" s="9"/>
      <c r="G107" s="179" t="e">
        <f t="shared" si="1"/>
        <v>#DIV/0!</v>
      </c>
      <c r="H107" s="135" t="e">
        <f t="shared" si="3"/>
        <v>#DIV/0!</v>
      </c>
      <c r="I107" s="179" t="e">
        <f t="shared" si="2"/>
        <v>#DIV/0!</v>
      </c>
    </row>
    <row r="108" spans="1:9" ht="12.5">
      <c r="A108" s="9"/>
      <c r="B108" s="9"/>
      <c r="C108" s="9"/>
      <c r="D108" s="9"/>
      <c r="E108" s="9"/>
      <c r="F108" s="9"/>
      <c r="G108" s="179" t="e">
        <f t="shared" si="1"/>
        <v>#DIV/0!</v>
      </c>
      <c r="H108" s="135" t="e">
        <f t="shared" si="3"/>
        <v>#DIV/0!</v>
      </c>
      <c r="I108" s="179" t="e">
        <f t="shared" si="2"/>
        <v>#DIV/0!</v>
      </c>
    </row>
    <row r="109" spans="1:9" ht="12.5">
      <c r="A109" s="9"/>
      <c r="B109" s="9"/>
      <c r="C109" s="9"/>
      <c r="D109" s="9"/>
      <c r="E109" s="9"/>
      <c r="F109" s="9"/>
      <c r="G109" s="179" t="e">
        <f t="shared" si="1"/>
        <v>#DIV/0!</v>
      </c>
      <c r="H109" s="135" t="e">
        <f t="shared" si="3"/>
        <v>#DIV/0!</v>
      </c>
      <c r="I109" s="179" t="e">
        <f t="shared" si="2"/>
        <v>#DIV/0!</v>
      </c>
    </row>
    <row r="110" spans="1:9" ht="12.5">
      <c r="A110" s="9"/>
      <c r="B110" s="9"/>
      <c r="C110" s="9"/>
      <c r="D110" s="9"/>
      <c r="E110" s="9"/>
      <c r="F110" s="9"/>
      <c r="G110" s="179" t="e">
        <f t="shared" si="1"/>
        <v>#DIV/0!</v>
      </c>
      <c r="H110" s="135" t="e">
        <f t="shared" si="3"/>
        <v>#DIV/0!</v>
      </c>
      <c r="I110" s="179" t="e">
        <f t="shared" si="2"/>
        <v>#DIV/0!</v>
      </c>
    </row>
    <row r="111" spans="1:9" ht="12.5">
      <c r="A111" s="9"/>
      <c r="B111" s="9"/>
      <c r="C111" s="9"/>
      <c r="D111" s="9"/>
      <c r="E111" s="9"/>
      <c r="F111" s="9"/>
      <c r="G111" s="179" t="e">
        <f t="shared" si="1"/>
        <v>#DIV/0!</v>
      </c>
      <c r="H111" s="135" t="e">
        <f t="shared" si="3"/>
        <v>#DIV/0!</v>
      </c>
      <c r="I111" s="179" t="e">
        <f t="shared" si="2"/>
        <v>#DIV/0!</v>
      </c>
    </row>
    <row r="112" spans="1:9" ht="12.5">
      <c r="A112" s="9"/>
      <c r="B112" s="9"/>
      <c r="C112" s="9"/>
      <c r="D112" s="9"/>
      <c r="E112" s="9"/>
      <c r="F112" s="9"/>
      <c r="G112" s="179" t="e">
        <f t="shared" si="1"/>
        <v>#DIV/0!</v>
      </c>
      <c r="H112" s="135" t="e">
        <f t="shared" si="3"/>
        <v>#DIV/0!</v>
      </c>
      <c r="I112" s="179" t="e">
        <f t="shared" si="2"/>
        <v>#DIV/0!</v>
      </c>
    </row>
    <row r="113" spans="1:9" ht="12.5">
      <c r="A113" s="9"/>
      <c r="B113" s="9"/>
      <c r="C113" s="9"/>
      <c r="D113" s="9"/>
      <c r="E113" s="9"/>
      <c r="F113" s="9"/>
      <c r="G113" s="179" t="e">
        <f t="shared" si="1"/>
        <v>#DIV/0!</v>
      </c>
      <c r="H113" s="135" t="e">
        <f t="shared" si="3"/>
        <v>#DIV/0!</v>
      </c>
      <c r="I113" s="179" t="e">
        <f t="shared" si="2"/>
        <v>#DIV/0!</v>
      </c>
    </row>
    <row r="114" spans="1:9" ht="12.5">
      <c r="A114" s="9"/>
      <c r="B114" s="9"/>
      <c r="C114" s="9"/>
      <c r="D114" s="9"/>
      <c r="E114" s="9"/>
      <c r="F114" s="9"/>
      <c r="G114" s="179" t="e">
        <f t="shared" si="1"/>
        <v>#DIV/0!</v>
      </c>
      <c r="H114" s="135" t="e">
        <f t="shared" si="3"/>
        <v>#DIV/0!</v>
      </c>
      <c r="I114" s="179" t="e">
        <f t="shared" si="2"/>
        <v>#DIV/0!</v>
      </c>
    </row>
    <row r="115" spans="1:9" ht="12.5">
      <c r="A115" s="9"/>
      <c r="B115" s="9"/>
      <c r="C115" s="9"/>
      <c r="D115" s="9"/>
      <c r="E115" s="9"/>
      <c r="F115" s="9"/>
      <c r="G115" s="179" t="e">
        <f t="shared" si="1"/>
        <v>#DIV/0!</v>
      </c>
      <c r="H115" s="135" t="e">
        <f t="shared" si="3"/>
        <v>#DIV/0!</v>
      </c>
      <c r="I115" s="179" t="e">
        <f t="shared" si="2"/>
        <v>#DIV/0!</v>
      </c>
    </row>
    <row r="116" spans="1:9" ht="12.5">
      <c r="A116" s="9"/>
      <c r="B116" s="9"/>
      <c r="C116" s="9"/>
      <c r="D116" s="9"/>
      <c r="E116" s="9"/>
      <c r="F116" s="9"/>
      <c r="G116" s="179" t="e">
        <f t="shared" si="1"/>
        <v>#DIV/0!</v>
      </c>
      <c r="H116" s="135" t="e">
        <f t="shared" si="3"/>
        <v>#DIV/0!</v>
      </c>
      <c r="I116" s="179" t="e">
        <f t="shared" si="2"/>
        <v>#DIV/0!</v>
      </c>
    </row>
    <row r="117" spans="1:9" ht="12.5">
      <c r="A117" s="9"/>
      <c r="B117" s="9"/>
      <c r="C117" s="9"/>
      <c r="D117" s="9"/>
      <c r="E117" s="9"/>
      <c r="F117" s="9"/>
      <c r="G117" s="179" t="e">
        <f t="shared" si="1"/>
        <v>#DIV/0!</v>
      </c>
      <c r="H117" s="135" t="e">
        <f t="shared" si="3"/>
        <v>#DIV/0!</v>
      </c>
      <c r="I117" s="179" t="e">
        <f t="shared" si="2"/>
        <v>#DIV/0!</v>
      </c>
    </row>
    <row r="118" spans="1:9" ht="12.5">
      <c r="A118" s="9"/>
      <c r="B118" s="9"/>
      <c r="C118" s="9"/>
      <c r="D118" s="9"/>
      <c r="E118" s="9"/>
      <c r="F118" s="9"/>
      <c r="G118" s="179" t="e">
        <f t="shared" si="1"/>
        <v>#DIV/0!</v>
      </c>
      <c r="H118" s="135" t="e">
        <f t="shared" si="3"/>
        <v>#DIV/0!</v>
      </c>
      <c r="I118" s="179" t="e">
        <f t="shared" si="2"/>
        <v>#DIV/0!</v>
      </c>
    </row>
    <row r="119" spans="1:9" ht="12.5">
      <c r="A119" s="9"/>
      <c r="B119" s="9"/>
      <c r="C119" s="9"/>
      <c r="D119" s="9"/>
      <c r="E119" s="9"/>
      <c r="F119" s="9"/>
      <c r="G119" s="179" t="e">
        <f t="shared" si="1"/>
        <v>#DIV/0!</v>
      </c>
      <c r="H119" s="135" t="e">
        <f t="shared" si="3"/>
        <v>#DIV/0!</v>
      </c>
      <c r="I119" s="179" t="e">
        <f t="shared" si="2"/>
        <v>#DIV/0!</v>
      </c>
    </row>
    <row r="120" spans="1:9" ht="12.5">
      <c r="A120" s="9"/>
      <c r="B120" s="9"/>
      <c r="C120" s="9"/>
      <c r="D120" s="9"/>
      <c r="E120" s="9"/>
      <c r="F120" s="9"/>
      <c r="G120" s="179" t="e">
        <f t="shared" si="1"/>
        <v>#DIV/0!</v>
      </c>
      <c r="H120" s="135" t="e">
        <f t="shared" si="3"/>
        <v>#DIV/0!</v>
      </c>
      <c r="I120" s="179" t="e">
        <f t="shared" si="2"/>
        <v>#DIV/0!</v>
      </c>
    </row>
    <row r="121" spans="1:9" ht="12.5">
      <c r="A121" s="9"/>
      <c r="B121" s="9"/>
      <c r="C121" s="9"/>
      <c r="D121" s="9"/>
      <c r="E121" s="9"/>
      <c r="F121" s="9"/>
      <c r="G121" s="179" t="e">
        <f t="shared" si="1"/>
        <v>#DIV/0!</v>
      </c>
      <c r="H121" s="135" t="e">
        <f t="shared" si="3"/>
        <v>#DIV/0!</v>
      </c>
      <c r="I121" s="179" t="e">
        <f t="shared" si="2"/>
        <v>#DIV/0!</v>
      </c>
    </row>
    <row r="122" spans="1:9" ht="12.5">
      <c r="A122" s="9"/>
      <c r="B122" s="9"/>
      <c r="C122" s="9"/>
      <c r="D122" s="9"/>
      <c r="E122" s="9"/>
      <c r="F122" s="9"/>
      <c r="G122" s="179" t="e">
        <f t="shared" si="1"/>
        <v>#DIV/0!</v>
      </c>
      <c r="H122" s="135" t="e">
        <f t="shared" si="3"/>
        <v>#DIV/0!</v>
      </c>
      <c r="I122" s="179" t="e">
        <f t="shared" si="2"/>
        <v>#DIV/0!</v>
      </c>
    </row>
    <row r="123" spans="1:9" ht="12.5">
      <c r="A123" s="9"/>
      <c r="B123" s="9"/>
      <c r="C123" s="9"/>
      <c r="D123" s="9"/>
      <c r="E123" s="9"/>
      <c r="F123" s="9"/>
      <c r="G123" s="179" t="e">
        <f t="shared" si="1"/>
        <v>#DIV/0!</v>
      </c>
      <c r="H123" s="135" t="e">
        <f t="shared" si="3"/>
        <v>#DIV/0!</v>
      </c>
      <c r="I123" s="179" t="e">
        <f t="shared" si="2"/>
        <v>#DIV/0!</v>
      </c>
    </row>
    <row r="124" spans="1:9" ht="12.5">
      <c r="A124" s="9"/>
      <c r="B124" s="9"/>
      <c r="C124" s="9"/>
      <c r="D124" s="9"/>
      <c r="E124" s="9"/>
      <c r="F124" s="9"/>
      <c r="G124" s="179" t="e">
        <f t="shared" si="1"/>
        <v>#DIV/0!</v>
      </c>
      <c r="H124" s="135" t="e">
        <f t="shared" si="3"/>
        <v>#DIV/0!</v>
      </c>
      <c r="I124" s="179" t="e">
        <f t="shared" si="2"/>
        <v>#DIV/0!</v>
      </c>
    </row>
    <row r="125" spans="1:9" ht="12.5">
      <c r="A125" s="9"/>
      <c r="B125" s="9"/>
      <c r="C125" s="9"/>
      <c r="D125" s="9"/>
      <c r="E125" s="9"/>
      <c r="F125" s="9"/>
      <c r="G125" s="179" t="e">
        <f t="shared" si="1"/>
        <v>#DIV/0!</v>
      </c>
      <c r="H125" s="135" t="e">
        <f t="shared" si="3"/>
        <v>#DIV/0!</v>
      </c>
      <c r="I125" s="179" t="e">
        <f t="shared" si="2"/>
        <v>#DIV/0!</v>
      </c>
    </row>
    <row r="126" spans="1:9" ht="12.5">
      <c r="A126" s="9"/>
      <c r="B126" s="9"/>
      <c r="C126" s="9"/>
      <c r="D126" s="9"/>
      <c r="E126" s="9"/>
      <c r="F126" s="9"/>
      <c r="G126" s="179" t="e">
        <f t="shared" si="1"/>
        <v>#DIV/0!</v>
      </c>
      <c r="H126" s="135" t="e">
        <f t="shared" si="3"/>
        <v>#DIV/0!</v>
      </c>
      <c r="I126" s="179" t="e">
        <f t="shared" si="2"/>
        <v>#DIV/0!</v>
      </c>
    </row>
    <row r="127" spans="1:9" ht="12.5">
      <c r="A127" s="9"/>
      <c r="B127" s="9"/>
      <c r="C127" s="9"/>
      <c r="D127" s="9"/>
      <c r="E127" s="9"/>
      <c r="F127" s="9"/>
      <c r="G127" s="179" t="e">
        <f t="shared" si="1"/>
        <v>#DIV/0!</v>
      </c>
      <c r="H127" s="135" t="e">
        <f t="shared" si="3"/>
        <v>#DIV/0!</v>
      </c>
      <c r="I127" s="179" t="e">
        <f t="shared" si="2"/>
        <v>#DIV/0!</v>
      </c>
    </row>
    <row r="128" spans="1:9" ht="12.5">
      <c r="A128" s="9"/>
      <c r="B128" s="9"/>
      <c r="C128" s="9"/>
      <c r="D128" s="9"/>
      <c r="E128" s="9"/>
      <c r="F128" s="9"/>
      <c r="G128" s="179" t="e">
        <f t="shared" si="1"/>
        <v>#DIV/0!</v>
      </c>
      <c r="H128" s="135" t="e">
        <f t="shared" si="3"/>
        <v>#DIV/0!</v>
      </c>
      <c r="I128" s="179" t="e">
        <f t="shared" si="2"/>
        <v>#DIV/0!</v>
      </c>
    </row>
    <row r="129" spans="1:9" ht="12.5">
      <c r="A129" s="9"/>
      <c r="B129" s="9"/>
      <c r="C129" s="9"/>
      <c r="D129" s="9"/>
      <c r="E129" s="9"/>
      <c r="F129" s="9"/>
      <c r="G129" s="179" t="e">
        <f t="shared" si="1"/>
        <v>#DIV/0!</v>
      </c>
      <c r="H129" s="135" t="e">
        <f t="shared" si="3"/>
        <v>#DIV/0!</v>
      </c>
      <c r="I129" s="179" t="e">
        <f t="shared" si="2"/>
        <v>#DIV/0!</v>
      </c>
    </row>
    <row r="130" spans="1:9" ht="12.5">
      <c r="A130" s="9"/>
      <c r="B130" s="9"/>
      <c r="C130" s="9"/>
      <c r="D130" s="9"/>
      <c r="E130" s="9"/>
      <c r="F130" s="9"/>
      <c r="G130" s="179" t="e">
        <f t="shared" si="1"/>
        <v>#DIV/0!</v>
      </c>
      <c r="H130" s="135" t="e">
        <f t="shared" si="3"/>
        <v>#DIV/0!</v>
      </c>
      <c r="I130" s="179" t="e">
        <f t="shared" si="2"/>
        <v>#DIV/0!</v>
      </c>
    </row>
    <row r="131" spans="1:9" ht="12.5">
      <c r="A131" s="9"/>
      <c r="B131" s="9"/>
      <c r="C131" s="9"/>
      <c r="D131" s="9"/>
      <c r="E131" s="9"/>
      <c r="F131" s="9"/>
      <c r="G131" s="179" t="e">
        <f t="shared" si="1"/>
        <v>#DIV/0!</v>
      </c>
      <c r="H131" s="135" t="e">
        <f t="shared" si="3"/>
        <v>#DIV/0!</v>
      </c>
      <c r="I131" s="179" t="e">
        <f t="shared" si="2"/>
        <v>#DIV/0!</v>
      </c>
    </row>
    <row r="132" spans="1:9" ht="12.5">
      <c r="A132" s="9"/>
      <c r="B132" s="9"/>
      <c r="C132" s="9"/>
      <c r="D132" s="9"/>
      <c r="E132" s="9"/>
      <c r="F132" s="9"/>
      <c r="G132" s="179" t="e">
        <f t="shared" si="1"/>
        <v>#DIV/0!</v>
      </c>
      <c r="H132" s="135" t="e">
        <f t="shared" si="3"/>
        <v>#DIV/0!</v>
      </c>
      <c r="I132" s="179" t="e">
        <f t="shared" si="2"/>
        <v>#DIV/0!</v>
      </c>
    </row>
    <row r="133" spans="1:9" ht="12.5">
      <c r="A133" s="9"/>
      <c r="B133" s="9"/>
      <c r="C133" s="9"/>
      <c r="D133" s="9"/>
      <c r="E133" s="9"/>
      <c r="F133" s="9"/>
      <c r="G133" s="179" t="e">
        <f t="shared" si="1"/>
        <v>#DIV/0!</v>
      </c>
      <c r="H133" s="135" t="e">
        <f t="shared" si="3"/>
        <v>#DIV/0!</v>
      </c>
      <c r="I133" s="179" t="e">
        <f t="shared" si="2"/>
        <v>#DIV/0!</v>
      </c>
    </row>
    <row r="134" spans="1:9" ht="12.5">
      <c r="A134" s="9"/>
      <c r="B134" s="9"/>
      <c r="C134" s="9"/>
      <c r="D134" s="9"/>
      <c r="E134" s="9"/>
      <c r="F134" s="9"/>
      <c r="G134" s="179" t="e">
        <f t="shared" si="1"/>
        <v>#DIV/0!</v>
      </c>
      <c r="H134" s="135" t="e">
        <f t="shared" si="3"/>
        <v>#DIV/0!</v>
      </c>
      <c r="I134" s="179" t="e">
        <f t="shared" si="2"/>
        <v>#DIV/0!</v>
      </c>
    </row>
    <row r="135" spans="1:9" ht="12.5">
      <c r="A135" s="9"/>
      <c r="B135" s="9"/>
      <c r="C135" s="9"/>
      <c r="D135" s="9"/>
      <c r="E135" s="9"/>
      <c r="F135" s="9"/>
      <c r="G135" s="179" t="e">
        <f t="shared" si="1"/>
        <v>#DIV/0!</v>
      </c>
      <c r="H135" s="135" t="e">
        <f t="shared" si="3"/>
        <v>#DIV/0!</v>
      </c>
      <c r="I135" s="179" t="e">
        <f t="shared" si="2"/>
        <v>#DIV/0!</v>
      </c>
    </row>
    <row r="136" spans="1:9" ht="12.5">
      <c r="A136" s="9"/>
      <c r="B136" s="9"/>
      <c r="C136" s="9"/>
      <c r="D136" s="9"/>
      <c r="E136" s="9"/>
      <c r="F136" s="9"/>
      <c r="G136" s="179" t="e">
        <f t="shared" si="1"/>
        <v>#DIV/0!</v>
      </c>
      <c r="H136" s="135" t="e">
        <f t="shared" si="3"/>
        <v>#DIV/0!</v>
      </c>
      <c r="I136" s="179" t="e">
        <f t="shared" si="2"/>
        <v>#DIV/0!</v>
      </c>
    </row>
    <row r="137" spans="1:9" ht="12.5">
      <c r="A137" s="9"/>
      <c r="B137" s="9"/>
      <c r="C137" s="9"/>
      <c r="D137" s="9"/>
      <c r="E137" s="9"/>
      <c r="F137" s="9"/>
      <c r="G137" s="179" t="e">
        <f t="shared" si="1"/>
        <v>#DIV/0!</v>
      </c>
      <c r="H137" s="135" t="e">
        <f t="shared" si="3"/>
        <v>#DIV/0!</v>
      </c>
      <c r="I137" s="179" t="e">
        <f t="shared" si="2"/>
        <v>#DIV/0!</v>
      </c>
    </row>
    <row r="138" spans="1:9" ht="12.5">
      <c r="A138" s="9"/>
      <c r="B138" s="9"/>
      <c r="C138" s="9"/>
      <c r="D138" s="9"/>
      <c r="E138" s="9"/>
      <c r="F138" s="9"/>
      <c r="G138" s="179" t="e">
        <f t="shared" si="1"/>
        <v>#DIV/0!</v>
      </c>
      <c r="H138" s="135" t="e">
        <f t="shared" si="3"/>
        <v>#DIV/0!</v>
      </c>
      <c r="I138" s="179" t="e">
        <f t="shared" si="2"/>
        <v>#DIV/0!</v>
      </c>
    </row>
    <row r="139" spans="1:9" ht="12.5">
      <c r="A139" s="9"/>
      <c r="B139" s="9"/>
      <c r="C139" s="9"/>
      <c r="D139" s="9"/>
      <c r="E139" s="9"/>
      <c r="F139" s="9"/>
      <c r="G139" s="179" t="e">
        <f t="shared" si="1"/>
        <v>#DIV/0!</v>
      </c>
      <c r="H139" s="135" t="e">
        <f t="shared" si="3"/>
        <v>#DIV/0!</v>
      </c>
      <c r="I139" s="179" t="e">
        <f t="shared" si="2"/>
        <v>#DIV/0!</v>
      </c>
    </row>
    <row r="140" spans="1:9" ht="12.5">
      <c r="A140" s="9"/>
      <c r="B140" s="9"/>
      <c r="C140" s="9"/>
      <c r="D140" s="9"/>
      <c r="E140" s="9"/>
      <c r="F140" s="9"/>
      <c r="G140" s="179" t="e">
        <f t="shared" si="1"/>
        <v>#DIV/0!</v>
      </c>
      <c r="H140" s="135" t="e">
        <f t="shared" si="3"/>
        <v>#DIV/0!</v>
      </c>
      <c r="I140" s="179" t="e">
        <f t="shared" si="2"/>
        <v>#DIV/0!</v>
      </c>
    </row>
    <row r="141" spans="1:9" ht="12.5">
      <c r="A141" s="9"/>
      <c r="B141" s="9"/>
      <c r="C141" s="9"/>
      <c r="D141" s="9"/>
      <c r="E141" s="9"/>
      <c r="F141" s="9"/>
      <c r="G141" s="179" t="e">
        <f t="shared" si="1"/>
        <v>#DIV/0!</v>
      </c>
      <c r="H141" s="135" t="e">
        <f t="shared" si="3"/>
        <v>#DIV/0!</v>
      </c>
      <c r="I141" s="179" t="e">
        <f t="shared" si="2"/>
        <v>#DIV/0!</v>
      </c>
    </row>
    <row r="142" spans="1:9" ht="12.5">
      <c r="A142" s="9"/>
      <c r="B142" s="9"/>
      <c r="C142" s="9"/>
      <c r="D142" s="9"/>
      <c r="E142" s="9"/>
      <c r="F142" s="9"/>
      <c r="G142" s="179" t="e">
        <f t="shared" si="1"/>
        <v>#DIV/0!</v>
      </c>
      <c r="H142" s="135" t="e">
        <f t="shared" si="3"/>
        <v>#DIV/0!</v>
      </c>
      <c r="I142" s="179" t="e">
        <f t="shared" si="2"/>
        <v>#DIV/0!</v>
      </c>
    </row>
    <row r="143" spans="1:9" ht="12.5">
      <c r="A143" s="9"/>
      <c r="B143" s="9"/>
      <c r="C143" s="9"/>
      <c r="D143" s="9"/>
      <c r="E143" s="9"/>
      <c r="F143" s="9"/>
      <c r="G143" s="179" t="e">
        <f t="shared" si="1"/>
        <v>#DIV/0!</v>
      </c>
      <c r="H143" s="135" t="e">
        <f t="shared" si="3"/>
        <v>#DIV/0!</v>
      </c>
      <c r="I143" s="179" t="e">
        <f t="shared" si="2"/>
        <v>#DIV/0!</v>
      </c>
    </row>
    <row r="144" spans="1:9" ht="12.5">
      <c r="A144" s="9"/>
      <c r="B144" s="9"/>
      <c r="C144" s="9"/>
      <c r="D144" s="9"/>
      <c r="E144" s="9"/>
      <c r="F144" s="9"/>
      <c r="G144" s="179" t="e">
        <f t="shared" si="1"/>
        <v>#DIV/0!</v>
      </c>
      <c r="H144" s="135" t="e">
        <f t="shared" si="3"/>
        <v>#DIV/0!</v>
      </c>
      <c r="I144" s="179" t="e">
        <f t="shared" si="2"/>
        <v>#DIV/0!</v>
      </c>
    </row>
    <row r="145" spans="1:9" ht="12.5">
      <c r="A145" s="9"/>
      <c r="B145" s="9"/>
      <c r="C145" s="9"/>
      <c r="D145" s="9"/>
      <c r="E145" s="9"/>
      <c r="F145" s="9"/>
      <c r="G145" s="179" t="e">
        <f t="shared" si="1"/>
        <v>#DIV/0!</v>
      </c>
      <c r="H145" s="135" t="e">
        <f t="shared" si="3"/>
        <v>#DIV/0!</v>
      </c>
      <c r="I145" s="179" t="e">
        <f t="shared" si="2"/>
        <v>#DIV/0!</v>
      </c>
    </row>
    <row r="146" spans="1:9" ht="12.5">
      <c r="A146" s="9"/>
      <c r="B146" s="9"/>
      <c r="C146" s="9"/>
      <c r="D146" s="9"/>
      <c r="E146" s="9"/>
      <c r="F146" s="9"/>
      <c r="G146" s="179" t="e">
        <f t="shared" si="1"/>
        <v>#DIV/0!</v>
      </c>
      <c r="H146" s="135" t="e">
        <f t="shared" si="3"/>
        <v>#DIV/0!</v>
      </c>
      <c r="I146" s="179" t="e">
        <f t="shared" si="2"/>
        <v>#DIV/0!</v>
      </c>
    </row>
    <row r="147" spans="1:9" ht="12.5">
      <c r="A147" s="9"/>
      <c r="B147" s="9"/>
      <c r="C147" s="9"/>
      <c r="D147" s="9"/>
      <c r="E147" s="9"/>
      <c r="F147" s="9"/>
      <c r="G147" s="179" t="e">
        <f t="shared" si="1"/>
        <v>#DIV/0!</v>
      </c>
      <c r="H147" s="135" t="e">
        <f t="shared" si="3"/>
        <v>#DIV/0!</v>
      </c>
      <c r="I147" s="179" t="e">
        <f t="shared" si="2"/>
        <v>#DIV/0!</v>
      </c>
    </row>
    <row r="148" spans="1:9" ht="12.5">
      <c r="A148" s="9"/>
      <c r="B148" s="9"/>
      <c r="C148" s="9"/>
      <c r="D148" s="9"/>
      <c r="E148" s="9"/>
      <c r="F148" s="9"/>
      <c r="G148" s="179" t="e">
        <f t="shared" si="1"/>
        <v>#DIV/0!</v>
      </c>
      <c r="H148" s="135" t="e">
        <f t="shared" si="3"/>
        <v>#DIV/0!</v>
      </c>
      <c r="I148" s="179" t="e">
        <f t="shared" si="2"/>
        <v>#DIV/0!</v>
      </c>
    </row>
    <row r="149" spans="1:9" ht="12.5">
      <c r="A149" s="9"/>
      <c r="B149" s="9"/>
      <c r="C149" s="9"/>
      <c r="D149" s="9"/>
      <c r="E149" s="9"/>
      <c r="F149" s="9"/>
      <c r="G149" s="179" t="e">
        <f t="shared" si="1"/>
        <v>#DIV/0!</v>
      </c>
      <c r="H149" s="135" t="e">
        <f t="shared" si="3"/>
        <v>#DIV/0!</v>
      </c>
      <c r="I149" s="179" t="e">
        <f t="shared" si="2"/>
        <v>#DIV/0!</v>
      </c>
    </row>
    <row r="150" spans="1:9" ht="12.5">
      <c r="A150" s="9"/>
      <c r="B150" s="9"/>
      <c r="C150" s="9"/>
      <c r="D150" s="9"/>
      <c r="E150" s="9"/>
      <c r="F150" s="9"/>
      <c r="G150" s="179" t="e">
        <f t="shared" si="1"/>
        <v>#DIV/0!</v>
      </c>
      <c r="H150" s="135" t="e">
        <f t="shared" si="3"/>
        <v>#DIV/0!</v>
      </c>
      <c r="I150" s="179" t="e">
        <f t="shared" si="2"/>
        <v>#DIV/0!</v>
      </c>
    </row>
    <row r="151" spans="1:9" ht="12.5">
      <c r="A151" s="9"/>
      <c r="B151" s="9"/>
      <c r="C151" s="9"/>
      <c r="D151" s="9"/>
      <c r="E151" s="9"/>
      <c r="F151" s="9"/>
      <c r="G151" s="179" t="e">
        <f t="shared" si="1"/>
        <v>#DIV/0!</v>
      </c>
      <c r="H151" s="135" t="e">
        <f t="shared" si="3"/>
        <v>#DIV/0!</v>
      </c>
      <c r="I151" s="179" t="e">
        <f t="shared" si="2"/>
        <v>#DIV/0!</v>
      </c>
    </row>
    <row r="152" spans="1:9" ht="12.5">
      <c r="A152" s="9"/>
      <c r="B152" s="9"/>
      <c r="C152" s="9"/>
      <c r="D152" s="9"/>
      <c r="E152" s="9"/>
      <c r="F152" s="9"/>
      <c r="G152" s="179" t="e">
        <f t="shared" si="1"/>
        <v>#DIV/0!</v>
      </c>
      <c r="H152" s="135" t="e">
        <f t="shared" si="3"/>
        <v>#DIV/0!</v>
      </c>
      <c r="I152" s="179" t="e">
        <f t="shared" si="2"/>
        <v>#DIV/0!</v>
      </c>
    </row>
    <row r="153" spans="1:9" ht="12.5">
      <c r="A153" s="9"/>
      <c r="B153" s="9"/>
      <c r="C153" s="9"/>
      <c r="D153" s="9"/>
      <c r="E153" s="9"/>
      <c r="F153" s="9"/>
      <c r="G153" s="179" t="e">
        <f t="shared" si="1"/>
        <v>#DIV/0!</v>
      </c>
      <c r="H153" s="135" t="e">
        <f t="shared" si="3"/>
        <v>#DIV/0!</v>
      </c>
      <c r="I153" s="179" t="e">
        <f t="shared" si="2"/>
        <v>#DIV/0!</v>
      </c>
    </row>
    <row r="154" spans="1:9" ht="12.5">
      <c r="A154" s="9"/>
      <c r="B154" s="9"/>
      <c r="C154" s="9"/>
      <c r="D154" s="9"/>
      <c r="E154" s="9"/>
      <c r="F154" s="9"/>
      <c r="G154" s="179" t="e">
        <f t="shared" si="1"/>
        <v>#DIV/0!</v>
      </c>
      <c r="H154" s="135" t="e">
        <f t="shared" si="3"/>
        <v>#DIV/0!</v>
      </c>
      <c r="I154" s="179" t="e">
        <f t="shared" si="2"/>
        <v>#DIV/0!</v>
      </c>
    </row>
    <row r="155" spans="1:9" ht="12.5">
      <c r="A155" s="9"/>
      <c r="B155" s="9"/>
      <c r="C155" s="9"/>
      <c r="D155" s="9"/>
      <c r="E155" s="9"/>
      <c r="F155" s="9"/>
      <c r="G155" s="179" t="e">
        <f t="shared" si="1"/>
        <v>#DIV/0!</v>
      </c>
      <c r="H155" s="135" t="e">
        <f t="shared" si="3"/>
        <v>#DIV/0!</v>
      </c>
      <c r="I155" s="179" t="e">
        <f t="shared" si="2"/>
        <v>#DIV/0!</v>
      </c>
    </row>
    <row r="156" spans="1:9" ht="12.5">
      <c r="A156" s="9"/>
      <c r="B156" s="9"/>
      <c r="C156" s="9"/>
      <c r="D156" s="9"/>
      <c r="E156" s="9"/>
      <c r="F156" s="9"/>
      <c r="G156" s="179" t="e">
        <f t="shared" si="1"/>
        <v>#DIV/0!</v>
      </c>
      <c r="H156" s="135" t="e">
        <f t="shared" si="3"/>
        <v>#DIV/0!</v>
      </c>
      <c r="I156" s="179" t="e">
        <f t="shared" si="2"/>
        <v>#DIV/0!</v>
      </c>
    </row>
    <row r="157" spans="1:9" ht="12.5">
      <c r="A157" s="9"/>
      <c r="B157" s="9"/>
      <c r="C157" s="9"/>
      <c r="D157" s="9"/>
      <c r="E157" s="9"/>
      <c r="F157" s="9"/>
      <c r="G157" s="179" t="e">
        <f t="shared" si="1"/>
        <v>#DIV/0!</v>
      </c>
      <c r="H157" s="135" t="e">
        <f t="shared" si="3"/>
        <v>#DIV/0!</v>
      </c>
      <c r="I157" s="179" t="e">
        <f t="shared" si="2"/>
        <v>#DIV/0!</v>
      </c>
    </row>
    <row r="158" spans="1:9" ht="12.5">
      <c r="A158" s="9"/>
      <c r="B158" s="9"/>
      <c r="C158" s="9"/>
      <c r="D158" s="9"/>
      <c r="E158" s="9"/>
      <c r="F158" s="9"/>
      <c r="G158" s="179" t="e">
        <f t="shared" si="1"/>
        <v>#DIV/0!</v>
      </c>
      <c r="H158" s="135" t="e">
        <f t="shared" si="3"/>
        <v>#DIV/0!</v>
      </c>
      <c r="I158" s="179" t="e">
        <f t="shared" si="2"/>
        <v>#DIV/0!</v>
      </c>
    </row>
    <row r="159" spans="1:9" ht="12.5">
      <c r="A159" s="9"/>
      <c r="B159" s="9"/>
      <c r="C159" s="9"/>
      <c r="D159" s="9"/>
      <c r="E159" s="9"/>
      <c r="F159" s="9"/>
      <c r="G159" s="179" t="e">
        <f t="shared" si="1"/>
        <v>#DIV/0!</v>
      </c>
      <c r="H159" s="135" t="e">
        <f t="shared" si="3"/>
        <v>#DIV/0!</v>
      </c>
      <c r="I159" s="179" t="e">
        <f t="shared" si="2"/>
        <v>#DIV/0!</v>
      </c>
    </row>
    <row r="160" spans="1:9" ht="12.5">
      <c r="A160" s="9"/>
      <c r="B160" s="9"/>
      <c r="C160" s="9"/>
      <c r="D160" s="9"/>
      <c r="E160" s="9"/>
      <c r="F160" s="9"/>
      <c r="G160" s="179" t="e">
        <f t="shared" si="1"/>
        <v>#DIV/0!</v>
      </c>
      <c r="H160" s="135" t="e">
        <f t="shared" si="3"/>
        <v>#DIV/0!</v>
      </c>
      <c r="I160" s="179" t="e">
        <f t="shared" si="2"/>
        <v>#DIV/0!</v>
      </c>
    </row>
    <row r="161" spans="1:9" ht="12.5">
      <c r="A161" s="9"/>
      <c r="B161" s="9"/>
      <c r="C161" s="9"/>
      <c r="D161" s="9"/>
      <c r="E161" s="9"/>
      <c r="F161" s="9"/>
      <c r="G161" s="179" t="e">
        <f t="shared" si="1"/>
        <v>#DIV/0!</v>
      </c>
      <c r="H161" s="135" t="e">
        <f t="shared" si="3"/>
        <v>#DIV/0!</v>
      </c>
      <c r="I161" s="179" t="e">
        <f t="shared" si="2"/>
        <v>#DIV/0!</v>
      </c>
    </row>
    <row r="162" spans="1:9" ht="12.5">
      <c r="A162" s="9"/>
      <c r="B162" s="9"/>
      <c r="C162" s="9"/>
      <c r="D162" s="9"/>
      <c r="E162" s="9"/>
      <c r="F162" s="9"/>
      <c r="G162" s="179" t="e">
        <f t="shared" si="1"/>
        <v>#DIV/0!</v>
      </c>
      <c r="H162" s="135" t="e">
        <f t="shared" si="3"/>
        <v>#DIV/0!</v>
      </c>
      <c r="I162" s="179" t="e">
        <f t="shared" si="2"/>
        <v>#DIV/0!</v>
      </c>
    </row>
    <row r="163" spans="1:9" ht="12.5">
      <c r="A163" s="9"/>
      <c r="B163" s="9"/>
      <c r="C163" s="9"/>
      <c r="D163" s="9"/>
      <c r="E163" s="9"/>
      <c r="F163" s="9"/>
      <c r="G163" s="179" t="e">
        <f t="shared" si="1"/>
        <v>#DIV/0!</v>
      </c>
      <c r="H163" s="135" t="e">
        <f t="shared" si="3"/>
        <v>#DIV/0!</v>
      </c>
      <c r="I163" s="179" t="e">
        <f t="shared" si="2"/>
        <v>#DIV/0!</v>
      </c>
    </row>
    <row r="164" spans="1:9" ht="12.5">
      <c r="A164" s="9"/>
      <c r="B164" s="9"/>
      <c r="C164" s="9"/>
      <c r="D164" s="9"/>
      <c r="E164" s="9"/>
      <c r="F164" s="9"/>
      <c r="G164" s="179" t="e">
        <f t="shared" si="1"/>
        <v>#DIV/0!</v>
      </c>
      <c r="H164" s="135" t="e">
        <f t="shared" si="3"/>
        <v>#DIV/0!</v>
      </c>
      <c r="I164" s="179" t="e">
        <f t="shared" si="2"/>
        <v>#DIV/0!</v>
      </c>
    </row>
    <row r="165" spans="1:9" ht="12.5">
      <c r="A165" s="9"/>
      <c r="B165" s="9"/>
      <c r="C165" s="9"/>
      <c r="D165" s="9"/>
      <c r="E165" s="9"/>
      <c r="F165" s="9"/>
      <c r="G165" s="179" t="e">
        <f t="shared" si="1"/>
        <v>#DIV/0!</v>
      </c>
      <c r="H165" s="135" t="e">
        <f t="shared" si="3"/>
        <v>#DIV/0!</v>
      </c>
      <c r="I165" s="179" t="e">
        <f t="shared" si="2"/>
        <v>#DIV/0!</v>
      </c>
    </row>
    <row r="166" spans="1:9" ht="12.5">
      <c r="A166" s="9"/>
      <c r="B166" s="9"/>
      <c r="C166" s="9"/>
      <c r="D166" s="9"/>
      <c r="E166" s="9"/>
      <c r="F166" s="9"/>
      <c r="G166" s="179" t="e">
        <f t="shared" si="1"/>
        <v>#DIV/0!</v>
      </c>
      <c r="H166" s="135" t="e">
        <f t="shared" si="3"/>
        <v>#DIV/0!</v>
      </c>
      <c r="I166" s="179" t="e">
        <f t="shared" si="2"/>
        <v>#DIV/0!</v>
      </c>
    </row>
    <row r="167" spans="1:9" ht="12.5">
      <c r="A167" s="9"/>
      <c r="B167" s="9"/>
      <c r="C167" s="9"/>
      <c r="D167" s="9"/>
      <c r="E167" s="9"/>
      <c r="F167" s="9"/>
      <c r="G167" s="179" t="e">
        <f t="shared" si="1"/>
        <v>#DIV/0!</v>
      </c>
      <c r="H167" s="135" t="e">
        <f t="shared" si="3"/>
        <v>#DIV/0!</v>
      </c>
      <c r="I167" s="179" t="e">
        <f t="shared" si="2"/>
        <v>#DIV/0!</v>
      </c>
    </row>
    <row r="168" spans="1:9" ht="12.5">
      <c r="A168" s="9"/>
      <c r="B168" s="9"/>
      <c r="C168" s="9"/>
      <c r="D168" s="9"/>
      <c r="E168" s="9"/>
      <c r="F168" s="9"/>
      <c r="G168" s="179" t="e">
        <f t="shared" si="1"/>
        <v>#DIV/0!</v>
      </c>
      <c r="H168" s="135" t="e">
        <f t="shared" si="3"/>
        <v>#DIV/0!</v>
      </c>
      <c r="I168" s="179" t="e">
        <f t="shared" si="2"/>
        <v>#DIV/0!</v>
      </c>
    </row>
    <row r="169" spans="1:9" ht="12.5">
      <c r="A169" s="9"/>
      <c r="B169" s="9"/>
      <c r="C169" s="9"/>
      <c r="D169" s="9"/>
      <c r="E169" s="9"/>
      <c r="F169" s="9"/>
      <c r="G169" s="179" t="e">
        <f t="shared" si="1"/>
        <v>#DIV/0!</v>
      </c>
      <c r="H169" s="135" t="e">
        <f t="shared" si="3"/>
        <v>#DIV/0!</v>
      </c>
      <c r="I169" s="179" t="e">
        <f t="shared" si="2"/>
        <v>#DIV/0!</v>
      </c>
    </row>
    <row r="170" spans="1:9" ht="12.5">
      <c r="A170" s="9"/>
      <c r="B170" s="9"/>
      <c r="C170" s="9"/>
      <c r="D170" s="9"/>
      <c r="E170" s="9"/>
      <c r="F170" s="9"/>
      <c r="G170" s="179" t="e">
        <f t="shared" si="1"/>
        <v>#DIV/0!</v>
      </c>
      <c r="H170" s="135" t="e">
        <f t="shared" si="3"/>
        <v>#DIV/0!</v>
      </c>
      <c r="I170" s="179" t="e">
        <f t="shared" si="2"/>
        <v>#DIV/0!</v>
      </c>
    </row>
    <row r="171" spans="1:9" ht="12.5">
      <c r="A171" s="9"/>
      <c r="B171" s="9"/>
      <c r="C171" s="9"/>
      <c r="D171" s="9"/>
      <c r="E171" s="9"/>
      <c r="F171" s="9"/>
      <c r="G171" s="179" t="e">
        <f t="shared" si="1"/>
        <v>#DIV/0!</v>
      </c>
      <c r="H171" s="135" t="e">
        <f t="shared" si="3"/>
        <v>#DIV/0!</v>
      </c>
      <c r="I171" s="179" t="e">
        <f t="shared" si="2"/>
        <v>#DIV/0!</v>
      </c>
    </row>
    <row r="172" spans="1:9" ht="12.5">
      <c r="A172" s="9"/>
      <c r="B172" s="9"/>
      <c r="C172" s="9"/>
      <c r="D172" s="9"/>
      <c r="E172" s="9"/>
      <c r="F172" s="9"/>
      <c r="G172" s="179" t="e">
        <f t="shared" si="1"/>
        <v>#DIV/0!</v>
      </c>
      <c r="H172" s="135" t="e">
        <f t="shared" si="3"/>
        <v>#DIV/0!</v>
      </c>
      <c r="I172" s="179" t="e">
        <f t="shared" si="2"/>
        <v>#DIV/0!</v>
      </c>
    </row>
    <row r="173" spans="1:9" ht="12.5">
      <c r="A173" s="9"/>
      <c r="B173" s="9"/>
      <c r="C173" s="9"/>
      <c r="D173" s="9"/>
      <c r="E173" s="9"/>
      <c r="F173" s="9"/>
      <c r="G173" s="179" t="e">
        <f t="shared" si="1"/>
        <v>#DIV/0!</v>
      </c>
      <c r="H173" s="135" t="e">
        <f t="shared" si="3"/>
        <v>#DIV/0!</v>
      </c>
      <c r="I173" s="179" t="e">
        <f t="shared" si="2"/>
        <v>#DIV/0!</v>
      </c>
    </row>
    <row r="174" spans="1:9" ht="12.5">
      <c r="A174" s="9"/>
      <c r="B174" s="9"/>
      <c r="C174" s="9"/>
      <c r="D174" s="9"/>
      <c r="E174" s="9"/>
      <c r="F174" s="9"/>
      <c r="G174" s="179" t="e">
        <f t="shared" si="1"/>
        <v>#DIV/0!</v>
      </c>
      <c r="H174" s="135" t="e">
        <f t="shared" si="3"/>
        <v>#DIV/0!</v>
      </c>
      <c r="I174" s="179" t="e">
        <f t="shared" si="2"/>
        <v>#DIV/0!</v>
      </c>
    </row>
    <row r="175" spans="1:9" ht="12.5">
      <c r="A175" s="9"/>
      <c r="B175" s="9"/>
      <c r="C175" s="9"/>
      <c r="D175" s="9"/>
      <c r="E175" s="9"/>
      <c r="F175" s="9"/>
      <c r="G175" s="179" t="e">
        <f t="shared" si="1"/>
        <v>#DIV/0!</v>
      </c>
      <c r="H175" s="135" t="e">
        <f t="shared" si="3"/>
        <v>#DIV/0!</v>
      </c>
      <c r="I175" s="179" t="e">
        <f t="shared" si="2"/>
        <v>#DIV/0!</v>
      </c>
    </row>
    <row r="176" spans="1:9" ht="12.5">
      <c r="A176" s="9"/>
      <c r="B176" s="9"/>
      <c r="C176" s="9"/>
      <c r="D176" s="9"/>
      <c r="E176" s="9"/>
      <c r="F176" s="9"/>
      <c r="G176" s="179" t="e">
        <f t="shared" si="1"/>
        <v>#DIV/0!</v>
      </c>
      <c r="H176" s="135" t="e">
        <f t="shared" si="3"/>
        <v>#DIV/0!</v>
      </c>
      <c r="I176" s="179" t="e">
        <f t="shared" si="2"/>
        <v>#DIV/0!</v>
      </c>
    </row>
    <row r="177" spans="1:9" ht="12.5">
      <c r="A177" s="9"/>
      <c r="B177" s="9"/>
      <c r="C177" s="9"/>
      <c r="D177" s="9"/>
      <c r="E177" s="9"/>
      <c r="F177" s="9"/>
      <c r="G177" s="179" t="e">
        <f t="shared" si="1"/>
        <v>#DIV/0!</v>
      </c>
      <c r="H177" s="135" t="e">
        <f t="shared" si="3"/>
        <v>#DIV/0!</v>
      </c>
      <c r="I177" s="179" t="e">
        <f t="shared" si="2"/>
        <v>#DIV/0!</v>
      </c>
    </row>
    <row r="178" spans="1:9" ht="12.5">
      <c r="A178" s="9"/>
      <c r="B178" s="9"/>
      <c r="C178" s="9"/>
      <c r="D178" s="9"/>
      <c r="E178" s="9"/>
      <c r="F178" s="9"/>
      <c r="G178" s="179" t="e">
        <f t="shared" si="1"/>
        <v>#DIV/0!</v>
      </c>
      <c r="H178" s="135" t="e">
        <f t="shared" si="3"/>
        <v>#DIV/0!</v>
      </c>
      <c r="I178" s="179" t="e">
        <f t="shared" si="2"/>
        <v>#DIV/0!</v>
      </c>
    </row>
    <row r="179" spans="1:9" ht="12.5">
      <c r="A179" s="9"/>
      <c r="B179" s="9"/>
      <c r="C179" s="9"/>
      <c r="D179" s="9"/>
      <c r="E179" s="9"/>
      <c r="F179" s="9"/>
      <c r="G179" s="179" t="e">
        <f t="shared" si="1"/>
        <v>#DIV/0!</v>
      </c>
      <c r="H179" s="135" t="e">
        <f t="shared" si="3"/>
        <v>#DIV/0!</v>
      </c>
      <c r="I179" s="179" t="e">
        <f t="shared" si="2"/>
        <v>#DIV/0!</v>
      </c>
    </row>
    <row r="180" spans="1:9" ht="12.5">
      <c r="A180" s="9"/>
      <c r="B180" s="9"/>
      <c r="C180" s="9"/>
      <c r="D180" s="9"/>
      <c r="E180" s="9"/>
      <c r="F180" s="9"/>
      <c r="G180" s="179" t="e">
        <f t="shared" si="1"/>
        <v>#DIV/0!</v>
      </c>
      <c r="H180" s="135" t="e">
        <f t="shared" si="3"/>
        <v>#DIV/0!</v>
      </c>
      <c r="I180" s="179" t="e">
        <f t="shared" si="2"/>
        <v>#DIV/0!</v>
      </c>
    </row>
    <row r="181" spans="1:9" ht="12.5">
      <c r="A181" s="9"/>
      <c r="B181" s="9"/>
      <c r="C181" s="9"/>
      <c r="D181" s="9"/>
      <c r="E181" s="9"/>
      <c r="F181" s="9"/>
      <c r="G181" s="179" t="e">
        <f t="shared" si="1"/>
        <v>#DIV/0!</v>
      </c>
      <c r="H181" s="135" t="e">
        <f t="shared" si="3"/>
        <v>#DIV/0!</v>
      </c>
      <c r="I181" s="179" t="e">
        <f t="shared" si="2"/>
        <v>#DIV/0!</v>
      </c>
    </row>
    <row r="182" spans="1:9" ht="12.5">
      <c r="A182" s="9"/>
      <c r="B182" s="9"/>
      <c r="C182" s="9"/>
      <c r="D182" s="9"/>
      <c r="E182" s="9"/>
      <c r="F182" s="9"/>
      <c r="G182" s="179" t="e">
        <f t="shared" si="1"/>
        <v>#DIV/0!</v>
      </c>
      <c r="H182" s="135" t="e">
        <f t="shared" si="3"/>
        <v>#DIV/0!</v>
      </c>
      <c r="I182" s="179" t="e">
        <f t="shared" si="2"/>
        <v>#DIV/0!</v>
      </c>
    </row>
    <row r="183" spans="1:9" ht="12.5">
      <c r="A183" s="9"/>
      <c r="B183" s="9"/>
      <c r="C183" s="9"/>
      <c r="D183" s="9"/>
      <c r="E183" s="9"/>
      <c r="F183" s="9"/>
      <c r="G183" s="179" t="e">
        <f t="shared" si="1"/>
        <v>#DIV/0!</v>
      </c>
      <c r="H183" s="135" t="e">
        <f t="shared" si="3"/>
        <v>#DIV/0!</v>
      </c>
      <c r="I183" s="179" t="e">
        <f t="shared" si="2"/>
        <v>#DIV/0!</v>
      </c>
    </row>
    <row r="184" spans="1:9" ht="12.5">
      <c r="A184" s="9"/>
      <c r="B184" s="9"/>
      <c r="C184" s="9"/>
      <c r="D184" s="9"/>
      <c r="E184" s="9"/>
      <c r="F184" s="9"/>
      <c r="G184" s="179" t="e">
        <f t="shared" si="1"/>
        <v>#DIV/0!</v>
      </c>
      <c r="H184" s="135" t="e">
        <f t="shared" si="3"/>
        <v>#DIV/0!</v>
      </c>
      <c r="I184" s="179" t="e">
        <f t="shared" si="2"/>
        <v>#DIV/0!</v>
      </c>
    </row>
    <row r="185" spans="1:9" ht="12.5">
      <c r="A185" s="9"/>
      <c r="B185" s="9"/>
      <c r="C185" s="9"/>
      <c r="D185" s="9"/>
      <c r="E185" s="9"/>
      <c r="F185" s="9"/>
      <c r="G185" s="179" t="e">
        <f t="shared" si="1"/>
        <v>#DIV/0!</v>
      </c>
      <c r="H185" s="135" t="e">
        <f t="shared" si="3"/>
        <v>#DIV/0!</v>
      </c>
      <c r="I185" s="179" t="e">
        <f t="shared" si="2"/>
        <v>#DIV/0!</v>
      </c>
    </row>
    <row r="186" spans="1:9" ht="12.5">
      <c r="A186" s="9"/>
      <c r="B186" s="9"/>
      <c r="C186" s="9"/>
      <c r="D186" s="9"/>
      <c r="E186" s="9"/>
      <c r="F186" s="9"/>
      <c r="G186" s="179" t="e">
        <f t="shared" si="1"/>
        <v>#DIV/0!</v>
      </c>
      <c r="H186" s="135" t="e">
        <f t="shared" si="3"/>
        <v>#DIV/0!</v>
      </c>
      <c r="I186" s="179" t="e">
        <f t="shared" si="2"/>
        <v>#DIV/0!</v>
      </c>
    </row>
    <row r="187" spans="1:9" ht="12.5">
      <c r="A187" s="9"/>
      <c r="B187" s="9"/>
      <c r="C187" s="9"/>
      <c r="D187" s="9"/>
      <c r="E187" s="9"/>
      <c r="F187" s="9"/>
      <c r="G187" s="179" t="e">
        <f t="shared" si="1"/>
        <v>#DIV/0!</v>
      </c>
      <c r="H187" s="135" t="e">
        <f t="shared" si="3"/>
        <v>#DIV/0!</v>
      </c>
      <c r="I187" s="179" t="e">
        <f t="shared" si="2"/>
        <v>#DIV/0!</v>
      </c>
    </row>
    <row r="188" spans="1:9" ht="12.5">
      <c r="A188" s="9"/>
      <c r="B188" s="9"/>
      <c r="C188" s="9"/>
      <c r="D188" s="9"/>
      <c r="E188" s="9"/>
      <c r="F188" s="9"/>
      <c r="G188" s="179" t="e">
        <f t="shared" si="1"/>
        <v>#DIV/0!</v>
      </c>
      <c r="H188" s="135" t="e">
        <f t="shared" si="3"/>
        <v>#DIV/0!</v>
      </c>
      <c r="I188" s="179" t="e">
        <f t="shared" si="2"/>
        <v>#DIV/0!</v>
      </c>
    </row>
    <row r="189" spans="1:9" ht="12.5">
      <c r="A189" s="9"/>
      <c r="B189" s="9"/>
      <c r="C189" s="9"/>
      <c r="D189" s="9"/>
      <c r="E189" s="9"/>
      <c r="F189" s="9"/>
      <c r="G189" s="179" t="e">
        <f t="shared" si="1"/>
        <v>#DIV/0!</v>
      </c>
      <c r="H189" s="135" t="e">
        <f t="shared" si="3"/>
        <v>#DIV/0!</v>
      </c>
      <c r="I189" s="179" t="e">
        <f t="shared" si="2"/>
        <v>#DIV/0!</v>
      </c>
    </row>
    <row r="190" spans="1:9" ht="12.5">
      <c r="A190" s="9"/>
      <c r="B190" s="9"/>
      <c r="C190" s="9"/>
      <c r="D190" s="9"/>
      <c r="E190" s="9"/>
      <c r="F190" s="9"/>
      <c r="G190" s="179" t="e">
        <f t="shared" si="1"/>
        <v>#DIV/0!</v>
      </c>
      <c r="H190" s="135" t="e">
        <f t="shared" si="3"/>
        <v>#DIV/0!</v>
      </c>
      <c r="I190" s="179" t="e">
        <f t="shared" si="2"/>
        <v>#DIV/0!</v>
      </c>
    </row>
    <row r="191" spans="1:9" ht="12.5">
      <c r="A191" s="9"/>
      <c r="B191" s="9"/>
      <c r="C191" s="9"/>
      <c r="D191" s="9"/>
      <c r="E191" s="9"/>
      <c r="F191" s="9"/>
      <c r="G191" s="179" t="e">
        <f t="shared" si="1"/>
        <v>#DIV/0!</v>
      </c>
      <c r="H191" s="135" t="e">
        <f t="shared" si="3"/>
        <v>#DIV/0!</v>
      </c>
      <c r="I191" s="179" t="e">
        <f t="shared" si="2"/>
        <v>#DIV/0!</v>
      </c>
    </row>
    <row r="192" spans="1:9" ht="12.5">
      <c r="A192" s="9"/>
      <c r="B192" s="9"/>
      <c r="C192" s="9"/>
      <c r="D192" s="9"/>
      <c r="E192" s="9"/>
      <c r="F192" s="9"/>
      <c r="G192" s="179" t="e">
        <f t="shared" si="1"/>
        <v>#DIV/0!</v>
      </c>
      <c r="H192" s="135" t="e">
        <f t="shared" si="3"/>
        <v>#DIV/0!</v>
      </c>
      <c r="I192" s="179" t="e">
        <f t="shared" si="2"/>
        <v>#DIV/0!</v>
      </c>
    </row>
    <row r="193" spans="1:9" ht="12.5">
      <c r="A193" s="9"/>
      <c r="B193" s="9"/>
      <c r="C193" s="9"/>
      <c r="D193" s="9"/>
      <c r="E193" s="9"/>
      <c r="F193" s="9"/>
      <c r="G193" s="179" t="e">
        <f t="shared" si="1"/>
        <v>#DIV/0!</v>
      </c>
      <c r="H193" s="135" t="e">
        <f t="shared" si="3"/>
        <v>#DIV/0!</v>
      </c>
      <c r="I193" s="179" t="e">
        <f t="shared" si="2"/>
        <v>#DIV/0!</v>
      </c>
    </row>
    <row r="194" spans="1:9" ht="12.5">
      <c r="A194" s="9"/>
      <c r="B194" s="9"/>
      <c r="C194" s="9"/>
      <c r="D194" s="9"/>
      <c r="E194" s="9"/>
      <c r="F194" s="9"/>
      <c r="G194" s="179" t="e">
        <f t="shared" si="1"/>
        <v>#DIV/0!</v>
      </c>
      <c r="H194" s="135" t="e">
        <f t="shared" si="3"/>
        <v>#DIV/0!</v>
      </c>
      <c r="I194" s="179" t="e">
        <f t="shared" si="2"/>
        <v>#DIV/0!</v>
      </c>
    </row>
    <row r="195" spans="1:9" ht="12.5">
      <c r="A195" s="9"/>
      <c r="B195" s="9"/>
      <c r="C195" s="9"/>
      <c r="D195" s="9"/>
      <c r="E195" s="9"/>
      <c r="F195" s="9"/>
      <c r="G195" s="179" t="e">
        <f t="shared" si="1"/>
        <v>#DIV/0!</v>
      </c>
      <c r="H195" s="135" t="e">
        <f t="shared" si="3"/>
        <v>#DIV/0!</v>
      </c>
      <c r="I195" s="179" t="e">
        <f t="shared" si="2"/>
        <v>#DIV/0!</v>
      </c>
    </row>
    <row r="196" spans="1:9" ht="12.5">
      <c r="A196" s="9"/>
      <c r="B196" s="9"/>
      <c r="C196" s="9"/>
      <c r="D196" s="9"/>
      <c r="E196" s="9"/>
      <c r="F196" s="9"/>
      <c r="G196" s="179" t="e">
        <f t="shared" si="1"/>
        <v>#DIV/0!</v>
      </c>
      <c r="H196" s="135" t="e">
        <f t="shared" si="3"/>
        <v>#DIV/0!</v>
      </c>
      <c r="I196" s="179" t="e">
        <f t="shared" si="2"/>
        <v>#DIV/0!</v>
      </c>
    </row>
    <row r="197" spans="1:9" ht="12.5">
      <c r="A197" s="9"/>
      <c r="B197" s="9"/>
      <c r="C197" s="9"/>
      <c r="D197" s="9"/>
      <c r="E197" s="9"/>
      <c r="F197" s="9"/>
      <c r="G197" s="179" t="e">
        <f t="shared" si="1"/>
        <v>#DIV/0!</v>
      </c>
      <c r="H197" s="135" t="e">
        <f t="shared" si="3"/>
        <v>#DIV/0!</v>
      </c>
      <c r="I197" s="179" t="e">
        <f t="shared" si="2"/>
        <v>#DIV/0!</v>
      </c>
    </row>
    <row r="198" spans="1:9" ht="12.5">
      <c r="A198" s="9"/>
      <c r="B198" s="9"/>
      <c r="C198" s="9"/>
      <c r="D198" s="9"/>
      <c r="E198" s="9"/>
      <c r="F198" s="9"/>
      <c r="G198" s="179" t="e">
        <f t="shared" si="1"/>
        <v>#DIV/0!</v>
      </c>
      <c r="H198" s="135" t="e">
        <f t="shared" si="3"/>
        <v>#DIV/0!</v>
      </c>
      <c r="I198" s="179" t="e">
        <f t="shared" si="2"/>
        <v>#DIV/0!</v>
      </c>
    </row>
    <row r="199" spans="1:9" ht="12.5">
      <c r="A199" s="9"/>
      <c r="B199" s="9"/>
      <c r="C199" s="9"/>
      <c r="D199" s="9"/>
      <c r="E199" s="9"/>
      <c r="F199" s="9"/>
      <c r="G199" s="179" t="e">
        <f t="shared" si="1"/>
        <v>#DIV/0!</v>
      </c>
      <c r="H199" s="135" t="e">
        <f t="shared" si="3"/>
        <v>#DIV/0!</v>
      </c>
      <c r="I199" s="179" t="e">
        <f t="shared" si="2"/>
        <v>#DIV/0!</v>
      </c>
    </row>
    <row r="200" spans="1:9" ht="12.5">
      <c r="A200" s="9"/>
      <c r="B200" s="9"/>
      <c r="C200" s="9"/>
      <c r="D200" s="9"/>
      <c r="E200" s="9"/>
      <c r="F200" s="9"/>
      <c r="G200" s="179" t="e">
        <f t="shared" si="1"/>
        <v>#DIV/0!</v>
      </c>
      <c r="H200" s="135" t="e">
        <f t="shared" si="3"/>
        <v>#DIV/0!</v>
      </c>
      <c r="I200" s="179" t="e">
        <f t="shared" si="2"/>
        <v>#DIV/0!</v>
      </c>
    </row>
    <row r="201" spans="1:9" ht="12.5">
      <c r="A201" s="9"/>
      <c r="B201" s="9"/>
      <c r="C201" s="9"/>
      <c r="D201" s="9"/>
      <c r="E201" s="9"/>
      <c r="F201" s="9"/>
      <c r="G201" s="179" t="e">
        <f t="shared" si="1"/>
        <v>#DIV/0!</v>
      </c>
      <c r="H201" s="135" t="e">
        <f t="shared" si="3"/>
        <v>#DIV/0!</v>
      </c>
      <c r="I201" s="179" t="e">
        <f t="shared" si="2"/>
        <v>#DIV/0!</v>
      </c>
    </row>
    <row r="202" spans="1:9" ht="12.5">
      <c r="A202" s="9"/>
      <c r="B202" s="9"/>
      <c r="C202" s="9"/>
      <c r="D202" s="9"/>
      <c r="E202" s="9"/>
      <c r="F202" s="9"/>
      <c r="G202" s="179" t="e">
        <f t="shared" si="1"/>
        <v>#DIV/0!</v>
      </c>
      <c r="H202" s="135" t="e">
        <f t="shared" si="3"/>
        <v>#DIV/0!</v>
      </c>
      <c r="I202" s="179" t="e">
        <f t="shared" si="2"/>
        <v>#DIV/0!</v>
      </c>
    </row>
    <row r="203" spans="1:9" ht="12.5">
      <c r="A203" s="9"/>
      <c r="B203" s="9"/>
      <c r="C203" s="9"/>
      <c r="D203" s="9"/>
      <c r="E203" s="9"/>
      <c r="F203" s="9"/>
      <c r="G203" s="179" t="e">
        <f t="shared" si="1"/>
        <v>#DIV/0!</v>
      </c>
      <c r="H203" s="135" t="e">
        <f t="shared" si="3"/>
        <v>#DIV/0!</v>
      </c>
      <c r="I203" s="179" t="e">
        <f t="shared" si="2"/>
        <v>#DIV/0!</v>
      </c>
    </row>
    <row r="204" spans="1:9" ht="12.5">
      <c r="A204" s="9"/>
      <c r="B204" s="9"/>
      <c r="C204" s="9"/>
      <c r="D204" s="9"/>
      <c r="E204" s="9"/>
      <c r="F204" s="9"/>
      <c r="G204" s="179" t="e">
        <f t="shared" si="1"/>
        <v>#DIV/0!</v>
      </c>
      <c r="H204" s="135" t="e">
        <f t="shared" si="3"/>
        <v>#DIV/0!</v>
      </c>
      <c r="I204" s="179" t="e">
        <f t="shared" si="2"/>
        <v>#DIV/0!</v>
      </c>
    </row>
    <row r="205" spans="1:9" ht="12.5">
      <c r="A205" s="9"/>
      <c r="B205" s="9"/>
      <c r="C205" s="9"/>
      <c r="D205" s="9"/>
      <c r="E205" s="9"/>
      <c r="F205" s="9"/>
      <c r="G205" s="179" t="e">
        <f t="shared" si="1"/>
        <v>#DIV/0!</v>
      </c>
      <c r="H205" s="135" t="e">
        <f t="shared" si="3"/>
        <v>#DIV/0!</v>
      </c>
      <c r="I205" s="179" t="e">
        <f t="shared" si="2"/>
        <v>#DIV/0!</v>
      </c>
    </row>
    <row r="206" spans="1:9" ht="12.5">
      <c r="A206" s="9"/>
      <c r="B206" s="9"/>
      <c r="C206" s="9"/>
      <c r="D206" s="9"/>
      <c r="E206" s="9"/>
      <c r="F206" s="9"/>
      <c r="G206" s="179" t="e">
        <f t="shared" si="1"/>
        <v>#DIV/0!</v>
      </c>
      <c r="H206" s="135" t="e">
        <f t="shared" si="3"/>
        <v>#DIV/0!</v>
      </c>
      <c r="I206" s="179" t="e">
        <f t="shared" si="2"/>
        <v>#DIV/0!</v>
      </c>
    </row>
    <row r="207" spans="1:9" ht="12.5">
      <c r="A207" s="9"/>
      <c r="B207" s="9"/>
      <c r="C207" s="9"/>
      <c r="D207" s="9"/>
      <c r="E207" s="9"/>
      <c r="F207" s="9"/>
      <c r="G207" s="179" t="e">
        <f t="shared" si="1"/>
        <v>#DIV/0!</v>
      </c>
      <c r="H207" s="135" t="e">
        <f t="shared" si="3"/>
        <v>#DIV/0!</v>
      </c>
      <c r="I207" s="179" t="e">
        <f t="shared" si="2"/>
        <v>#DIV/0!</v>
      </c>
    </row>
    <row r="208" spans="1:9" ht="12.5">
      <c r="A208" s="9"/>
      <c r="B208" s="9"/>
      <c r="C208" s="9"/>
      <c r="D208" s="9"/>
      <c r="E208" s="9"/>
      <c r="F208" s="9"/>
      <c r="G208" s="179" t="e">
        <f t="shared" si="1"/>
        <v>#DIV/0!</v>
      </c>
      <c r="H208" s="135" t="e">
        <f t="shared" si="3"/>
        <v>#DIV/0!</v>
      </c>
      <c r="I208" s="179" t="e">
        <f t="shared" si="2"/>
        <v>#DIV/0!</v>
      </c>
    </row>
    <row r="209" spans="1:9" ht="12.5">
      <c r="A209" s="9"/>
      <c r="B209" s="9"/>
      <c r="C209" s="9"/>
      <c r="D209" s="9"/>
      <c r="E209" s="9"/>
      <c r="F209" s="9"/>
      <c r="G209" s="179" t="e">
        <f t="shared" si="1"/>
        <v>#DIV/0!</v>
      </c>
      <c r="H209" s="135" t="e">
        <f t="shared" si="3"/>
        <v>#DIV/0!</v>
      </c>
      <c r="I209" s="179" t="e">
        <f t="shared" si="2"/>
        <v>#DIV/0!</v>
      </c>
    </row>
    <row r="210" spans="1:9" ht="12.5">
      <c r="A210" s="9"/>
      <c r="B210" s="9"/>
      <c r="C210" s="9"/>
      <c r="D210" s="9"/>
      <c r="E210" s="9"/>
      <c r="F210" s="9"/>
      <c r="G210" s="179" t="e">
        <f t="shared" si="1"/>
        <v>#DIV/0!</v>
      </c>
      <c r="H210" s="135" t="e">
        <f t="shared" si="3"/>
        <v>#DIV/0!</v>
      </c>
      <c r="I210" s="179" t="e">
        <f t="shared" si="2"/>
        <v>#DIV/0!</v>
      </c>
    </row>
    <row r="211" spans="1:9" ht="12.5">
      <c r="A211" s="9"/>
      <c r="B211" s="9"/>
      <c r="C211" s="9"/>
      <c r="D211" s="9"/>
      <c r="E211" s="9"/>
      <c r="F211" s="9"/>
      <c r="G211" s="179" t="e">
        <f t="shared" si="1"/>
        <v>#DIV/0!</v>
      </c>
      <c r="H211" s="135" t="e">
        <f t="shared" si="3"/>
        <v>#DIV/0!</v>
      </c>
      <c r="I211" s="179" t="e">
        <f t="shared" si="2"/>
        <v>#DIV/0!</v>
      </c>
    </row>
    <row r="212" spans="1:9" ht="12.5">
      <c r="A212" s="9"/>
      <c r="B212" s="9"/>
      <c r="C212" s="9"/>
      <c r="D212" s="9"/>
      <c r="E212" s="9"/>
      <c r="F212" s="9"/>
      <c r="G212" s="179" t="e">
        <f t="shared" si="1"/>
        <v>#DIV/0!</v>
      </c>
      <c r="H212" s="135" t="e">
        <f t="shared" si="3"/>
        <v>#DIV/0!</v>
      </c>
      <c r="I212" s="179" t="e">
        <f t="shared" si="2"/>
        <v>#DIV/0!</v>
      </c>
    </row>
    <row r="213" spans="1:9" ht="12.5">
      <c r="A213" s="9"/>
      <c r="B213" s="9"/>
      <c r="C213" s="9"/>
      <c r="D213" s="9"/>
      <c r="E213" s="9"/>
      <c r="F213" s="9"/>
      <c r="G213" s="179" t="e">
        <f t="shared" si="1"/>
        <v>#DIV/0!</v>
      </c>
      <c r="H213" s="135" t="e">
        <f t="shared" si="3"/>
        <v>#DIV/0!</v>
      </c>
      <c r="I213" s="179" t="e">
        <f t="shared" si="2"/>
        <v>#DIV/0!</v>
      </c>
    </row>
    <row r="214" spans="1:9" ht="12.5">
      <c r="A214" s="9"/>
      <c r="B214" s="9"/>
      <c r="C214" s="9"/>
      <c r="D214" s="9"/>
      <c r="E214" s="9"/>
      <c r="F214" s="9"/>
      <c r="G214" s="179" t="e">
        <f t="shared" si="1"/>
        <v>#DIV/0!</v>
      </c>
      <c r="H214" s="135" t="e">
        <f t="shared" si="3"/>
        <v>#DIV/0!</v>
      </c>
      <c r="I214" s="179" t="e">
        <f t="shared" si="2"/>
        <v>#DIV/0!</v>
      </c>
    </row>
    <row r="215" spans="1:9" ht="12.5">
      <c r="A215" s="9"/>
      <c r="B215" s="9"/>
      <c r="C215" s="9"/>
      <c r="D215" s="9"/>
      <c r="E215" s="9"/>
      <c r="F215" s="9"/>
      <c r="G215" s="179" t="e">
        <f t="shared" si="1"/>
        <v>#DIV/0!</v>
      </c>
      <c r="H215" s="135" t="e">
        <f t="shared" si="3"/>
        <v>#DIV/0!</v>
      </c>
      <c r="I215" s="179" t="e">
        <f t="shared" si="2"/>
        <v>#DIV/0!</v>
      </c>
    </row>
    <row r="216" spans="1:9" ht="12.5">
      <c r="A216" s="9"/>
      <c r="B216" s="9"/>
      <c r="C216" s="9"/>
      <c r="D216" s="9"/>
      <c r="E216" s="9"/>
      <c r="F216" s="9"/>
      <c r="G216" s="179" t="e">
        <f t="shared" si="1"/>
        <v>#DIV/0!</v>
      </c>
      <c r="H216" s="135" t="e">
        <f t="shared" si="3"/>
        <v>#DIV/0!</v>
      </c>
      <c r="I216" s="179" t="e">
        <f t="shared" si="2"/>
        <v>#DIV/0!</v>
      </c>
    </row>
    <row r="217" spans="1:9" ht="12.5">
      <c r="A217" s="9"/>
      <c r="B217" s="9"/>
      <c r="C217" s="9"/>
      <c r="D217" s="9"/>
      <c r="E217" s="9"/>
      <c r="F217" s="9"/>
      <c r="G217" s="179" t="e">
        <f t="shared" si="1"/>
        <v>#DIV/0!</v>
      </c>
      <c r="H217" s="135" t="e">
        <f t="shared" si="3"/>
        <v>#DIV/0!</v>
      </c>
      <c r="I217" s="179" t="e">
        <f t="shared" si="2"/>
        <v>#DIV/0!</v>
      </c>
    </row>
    <row r="218" spans="1:9" ht="12.5">
      <c r="A218" s="9"/>
      <c r="B218" s="9"/>
      <c r="C218" s="9"/>
      <c r="D218" s="9"/>
      <c r="E218" s="9"/>
      <c r="F218" s="9"/>
      <c r="G218" s="179" t="e">
        <f t="shared" si="1"/>
        <v>#DIV/0!</v>
      </c>
      <c r="H218" s="135" t="e">
        <f t="shared" si="3"/>
        <v>#DIV/0!</v>
      </c>
      <c r="I218" s="179" t="e">
        <f t="shared" si="2"/>
        <v>#DIV/0!</v>
      </c>
    </row>
    <row r="219" spans="1:9" ht="12.5">
      <c r="A219" s="9"/>
      <c r="B219" s="9"/>
      <c r="C219" s="9"/>
      <c r="D219" s="9"/>
      <c r="E219" s="9"/>
      <c r="F219" s="9"/>
      <c r="G219" s="179" t="e">
        <f t="shared" si="1"/>
        <v>#DIV/0!</v>
      </c>
      <c r="H219" s="135" t="e">
        <f t="shared" si="3"/>
        <v>#DIV/0!</v>
      </c>
      <c r="I219" s="179" t="e">
        <f t="shared" si="2"/>
        <v>#DIV/0!</v>
      </c>
    </row>
    <row r="220" spans="1:9" ht="12.5">
      <c r="A220" s="9"/>
      <c r="B220" s="9"/>
      <c r="C220" s="9"/>
      <c r="D220" s="9"/>
      <c r="E220" s="9"/>
      <c r="F220" s="9"/>
      <c r="G220" s="179" t="e">
        <f t="shared" si="1"/>
        <v>#DIV/0!</v>
      </c>
      <c r="H220" s="135" t="e">
        <f t="shared" si="3"/>
        <v>#DIV/0!</v>
      </c>
      <c r="I220" s="179" t="e">
        <f t="shared" si="2"/>
        <v>#DIV/0!</v>
      </c>
    </row>
    <row r="221" spans="1:9" ht="12.5">
      <c r="A221" s="9"/>
      <c r="B221" s="9"/>
      <c r="C221" s="9"/>
      <c r="D221" s="9"/>
      <c r="E221" s="9"/>
      <c r="F221" s="9"/>
      <c r="G221" s="179" t="e">
        <f t="shared" si="1"/>
        <v>#DIV/0!</v>
      </c>
      <c r="H221" s="135" t="e">
        <f t="shared" si="3"/>
        <v>#DIV/0!</v>
      </c>
      <c r="I221" s="179" t="e">
        <f t="shared" si="2"/>
        <v>#DIV/0!</v>
      </c>
    </row>
    <row r="222" spans="1:9" ht="12.5">
      <c r="A222" s="9"/>
      <c r="B222" s="9"/>
      <c r="C222" s="9"/>
      <c r="D222" s="9"/>
      <c r="E222" s="9"/>
      <c r="F222" s="9"/>
      <c r="G222" s="179" t="e">
        <f t="shared" si="1"/>
        <v>#DIV/0!</v>
      </c>
      <c r="H222" s="135" t="e">
        <f t="shared" si="3"/>
        <v>#DIV/0!</v>
      </c>
      <c r="I222" s="179" t="e">
        <f t="shared" si="2"/>
        <v>#DIV/0!</v>
      </c>
    </row>
    <row r="223" spans="1:9" ht="12.5">
      <c r="A223" s="9"/>
      <c r="B223" s="9"/>
      <c r="C223" s="9"/>
      <c r="D223" s="9"/>
      <c r="E223" s="9"/>
      <c r="F223" s="9"/>
      <c r="G223" s="179" t="e">
        <f t="shared" si="1"/>
        <v>#DIV/0!</v>
      </c>
      <c r="H223" s="135" t="e">
        <f t="shared" si="3"/>
        <v>#DIV/0!</v>
      </c>
      <c r="I223" s="179" t="e">
        <f t="shared" si="2"/>
        <v>#DIV/0!</v>
      </c>
    </row>
    <row r="224" spans="1:9" ht="12.5">
      <c r="A224" s="9"/>
      <c r="B224" s="9"/>
      <c r="C224" s="9"/>
      <c r="D224" s="9"/>
      <c r="E224" s="9"/>
      <c r="F224" s="9"/>
      <c r="G224" s="179" t="e">
        <f t="shared" si="1"/>
        <v>#DIV/0!</v>
      </c>
      <c r="H224" s="135" t="e">
        <f t="shared" si="3"/>
        <v>#DIV/0!</v>
      </c>
      <c r="I224" s="179" t="e">
        <f t="shared" si="2"/>
        <v>#DIV/0!</v>
      </c>
    </row>
    <row r="225" spans="1:9" ht="12.5">
      <c r="A225" s="9"/>
      <c r="B225" s="9"/>
      <c r="C225" s="9"/>
      <c r="D225" s="9"/>
      <c r="E225" s="9"/>
      <c r="F225" s="9"/>
      <c r="G225" s="179" t="e">
        <f t="shared" si="1"/>
        <v>#DIV/0!</v>
      </c>
      <c r="H225" s="135" t="e">
        <f t="shared" si="3"/>
        <v>#DIV/0!</v>
      </c>
      <c r="I225" s="179" t="e">
        <f t="shared" si="2"/>
        <v>#DIV/0!</v>
      </c>
    </row>
    <row r="226" spans="1:9" ht="12.5">
      <c r="A226" s="9"/>
      <c r="B226" s="9"/>
      <c r="C226" s="9"/>
      <c r="D226" s="9"/>
      <c r="E226" s="9"/>
      <c r="F226" s="9"/>
      <c r="G226" s="179" t="e">
        <f t="shared" si="1"/>
        <v>#DIV/0!</v>
      </c>
      <c r="H226" s="135" t="e">
        <f t="shared" si="3"/>
        <v>#DIV/0!</v>
      </c>
      <c r="I226" s="179" t="e">
        <f t="shared" si="2"/>
        <v>#DIV/0!</v>
      </c>
    </row>
    <row r="227" spans="1:9" ht="12.5">
      <c r="A227" s="9"/>
      <c r="B227" s="9"/>
      <c r="C227" s="9"/>
      <c r="D227" s="9"/>
      <c r="E227" s="9"/>
      <c r="F227" s="9"/>
      <c r="G227" s="179" t="e">
        <f t="shared" si="1"/>
        <v>#DIV/0!</v>
      </c>
      <c r="H227" s="135" t="e">
        <f t="shared" si="3"/>
        <v>#DIV/0!</v>
      </c>
      <c r="I227" s="179" t="e">
        <f t="shared" si="2"/>
        <v>#DIV/0!</v>
      </c>
    </row>
    <row r="228" spans="1:9" ht="12.5">
      <c r="A228" s="9"/>
      <c r="B228" s="9"/>
      <c r="C228" s="9"/>
      <c r="D228" s="9"/>
      <c r="E228" s="9"/>
      <c r="F228" s="9"/>
      <c r="G228" s="179" t="e">
        <f t="shared" si="1"/>
        <v>#DIV/0!</v>
      </c>
      <c r="H228" s="135" t="e">
        <f t="shared" si="3"/>
        <v>#DIV/0!</v>
      </c>
      <c r="I228" s="179" t="e">
        <f t="shared" si="2"/>
        <v>#DIV/0!</v>
      </c>
    </row>
    <row r="229" spans="1:9" ht="12.5">
      <c r="A229" s="9"/>
      <c r="B229" s="9"/>
      <c r="C229" s="9"/>
      <c r="D229" s="9"/>
      <c r="E229" s="9"/>
      <c r="F229" s="9"/>
      <c r="G229" s="179" t="e">
        <f t="shared" si="1"/>
        <v>#DIV/0!</v>
      </c>
      <c r="H229" s="135" t="e">
        <f t="shared" si="3"/>
        <v>#DIV/0!</v>
      </c>
      <c r="I229" s="179" t="e">
        <f t="shared" si="2"/>
        <v>#DIV/0!</v>
      </c>
    </row>
    <row r="230" spans="1:9" ht="12.5">
      <c r="A230" s="9"/>
      <c r="B230" s="9"/>
      <c r="C230" s="9"/>
      <c r="D230" s="9"/>
      <c r="E230" s="9"/>
      <c r="F230" s="9"/>
      <c r="G230" s="179" t="e">
        <f t="shared" si="1"/>
        <v>#DIV/0!</v>
      </c>
      <c r="H230" s="135" t="e">
        <f t="shared" si="3"/>
        <v>#DIV/0!</v>
      </c>
      <c r="I230" s="179" t="e">
        <f t="shared" si="2"/>
        <v>#DIV/0!</v>
      </c>
    </row>
    <row r="231" spans="1:9" ht="12.5">
      <c r="A231" s="9"/>
      <c r="B231" s="9"/>
      <c r="C231" s="9"/>
      <c r="D231" s="9"/>
      <c r="E231" s="9"/>
      <c r="F231" s="9"/>
      <c r="G231" s="179" t="e">
        <f t="shared" si="1"/>
        <v>#DIV/0!</v>
      </c>
      <c r="H231" s="135" t="e">
        <f t="shared" si="3"/>
        <v>#DIV/0!</v>
      </c>
      <c r="I231" s="179" t="e">
        <f t="shared" si="2"/>
        <v>#DIV/0!</v>
      </c>
    </row>
    <row r="232" spans="1:9" ht="12.5">
      <c r="A232" s="9"/>
      <c r="B232" s="9"/>
      <c r="C232" s="9"/>
      <c r="D232" s="9"/>
      <c r="E232" s="9"/>
      <c r="F232" s="9"/>
      <c r="G232" s="179" t="e">
        <f t="shared" si="1"/>
        <v>#DIV/0!</v>
      </c>
      <c r="H232" s="135" t="e">
        <f t="shared" si="3"/>
        <v>#DIV/0!</v>
      </c>
      <c r="I232" s="179" t="e">
        <f t="shared" si="2"/>
        <v>#DIV/0!</v>
      </c>
    </row>
    <row r="233" spans="1:9" ht="12.5">
      <c r="A233" s="9"/>
      <c r="B233" s="9"/>
      <c r="C233" s="9"/>
      <c r="D233" s="9"/>
      <c r="E233" s="9"/>
      <c r="F233" s="9"/>
      <c r="G233" s="179" t="e">
        <f t="shared" si="1"/>
        <v>#DIV/0!</v>
      </c>
      <c r="H233" s="135" t="e">
        <f t="shared" si="3"/>
        <v>#DIV/0!</v>
      </c>
      <c r="I233" s="179" t="e">
        <f t="shared" si="2"/>
        <v>#DIV/0!</v>
      </c>
    </row>
    <row r="234" spans="1:9" ht="12.5">
      <c r="A234" s="9"/>
      <c r="B234" s="9"/>
      <c r="C234" s="9"/>
      <c r="D234" s="9"/>
      <c r="E234" s="9"/>
      <c r="F234" s="9"/>
      <c r="G234" s="179" t="e">
        <f t="shared" si="1"/>
        <v>#DIV/0!</v>
      </c>
      <c r="H234" s="135" t="e">
        <f t="shared" si="3"/>
        <v>#DIV/0!</v>
      </c>
      <c r="I234" s="179" t="e">
        <f t="shared" si="2"/>
        <v>#DIV/0!</v>
      </c>
    </row>
    <row r="235" spans="1:9" ht="12.5">
      <c r="A235" s="9"/>
      <c r="B235" s="9"/>
      <c r="C235" s="9"/>
      <c r="D235" s="9"/>
      <c r="E235" s="9"/>
      <c r="F235" s="9"/>
      <c r="G235" s="179" t="e">
        <f t="shared" si="1"/>
        <v>#DIV/0!</v>
      </c>
      <c r="H235" s="135" t="e">
        <f t="shared" si="3"/>
        <v>#DIV/0!</v>
      </c>
      <c r="I235" s="179" t="e">
        <f t="shared" si="2"/>
        <v>#DIV/0!</v>
      </c>
    </row>
    <row r="236" spans="1:9" ht="12.5">
      <c r="A236" s="9"/>
      <c r="B236" s="9"/>
      <c r="C236" s="9"/>
      <c r="D236" s="9"/>
      <c r="E236" s="9"/>
      <c r="F236" s="9"/>
      <c r="G236" s="179" t="e">
        <f t="shared" si="1"/>
        <v>#DIV/0!</v>
      </c>
      <c r="H236" s="135" t="e">
        <f t="shared" si="3"/>
        <v>#DIV/0!</v>
      </c>
      <c r="I236" s="179" t="e">
        <f t="shared" si="2"/>
        <v>#DIV/0!</v>
      </c>
    </row>
    <row r="237" spans="1:9" ht="12.5">
      <c r="A237" s="9"/>
      <c r="B237" s="9"/>
      <c r="C237" s="9"/>
      <c r="D237" s="9"/>
      <c r="E237" s="9"/>
      <c r="F237" s="9"/>
      <c r="G237" s="179" t="e">
        <f t="shared" si="1"/>
        <v>#DIV/0!</v>
      </c>
      <c r="H237" s="135" t="e">
        <f t="shared" si="3"/>
        <v>#DIV/0!</v>
      </c>
      <c r="I237" s="179" t="e">
        <f t="shared" si="2"/>
        <v>#DIV/0!</v>
      </c>
    </row>
    <row r="238" spans="1:9" ht="12.5">
      <c r="A238" s="9"/>
      <c r="B238" s="9"/>
      <c r="C238" s="9"/>
      <c r="D238" s="9"/>
      <c r="E238" s="9"/>
      <c r="F238" s="9"/>
      <c r="G238" s="179" t="e">
        <f t="shared" si="1"/>
        <v>#DIV/0!</v>
      </c>
      <c r="H238" s="135" t="e">
        <f t="shared" si="3"/>
        <v>#DIV/0!</v>
      </c>
      <c r="I238" s="179" t="e">
        <f t="shared" si="2"/>
        <v>#DIV/0!</v>
      </c>
    </row>
    <row r="239" spans="1:9" ht="12.5">
      <c r="A239" s="9"/>
      <c r="B239" s="9"/>
      <c r="C239" s="9"/>
      <c r="D239" s="9"/>
      <c r="E239" s="9"/>
      <c r="F239" s="9"/>
      <c r="G239" s="179" t="e">
        <f t="shared" si="1"/>
        <v>#DIV/0!</v>
      </c>
      <c r="H239" s="135" t="e">
        <f t="shared" si="3"/>
        <v>#DIV/0!</v>
      </c>
      <c r="I239" s="179" t="e">
        <f t="shared" si="2"/>
        <v>#DIV/0!</v>
      </c>
    </row>
    <row r="240" spans="1:9" ht="12.5">
      <c r="A240" s="9"/>
      <c r="B240" s="9"/>
      <c r="C240" s="9"/>
      <c r="D240" s="9"/>
      <c r="E240" s="9"/>
      <c r="F240" s="9"/>
      <c r="G240" s="179" t="e">
        <f t="shared" si="1"/>
        <v>#DIV/0!</v>
      </c>
      <c r="H240" s="135" t="e">
        <f t="shared" si="3"/>
        <v>#DIV/0!</v>
      </c>
      <c r="I240" s="179" t="e">
        <f t="shared" si="2"/>
        <v>#DIV/0!</v>
      </c>
    </row>
    <row r="241" spans="1:9" ht="12.5">
      <c r="A241" s="9"/>
      <c r="B241" s="9"/>
      <c r="C241" s="9"/>
      <c r="D241" s="9"/>
      <c r="E241" s="9"/>
      <c r="F241" s="9"/>
      <c r="G241" s="179" t="e">
        <f t="shared" si="1"/>
        <v>#DIV/0!</v>
      </c>
      <c r="H241" s="135" t="e">
        <f t="shared" si="3"/>
        <v>#DIV/0!</v>
      </c>
      <c r="I241" s="179" t="e">
        <f t="shared" si="2"/>
        <v>#DIV/0!</v>
      </c>
    </row>
    <row r="242" spans="1:9" ht="12.5">
      <c r="A242" s="9"/>
      <c r="B242" s="9"/>
      <c r="C242" s="9"/>
      <c r="D242" s="9"/>
      <c r="E242" s="9"/>
      <c r="F242" s="9"/>
      <c r="G242" s="179" t="e">
        <f t="shared" si="1"/>
        <v>#DIV/0!</v>
      </c>
      <c r="H242" s="135" t="e">
        <f t="shared" si="3"/>
        <v>#DIV/0!</v>
      </c>
      <c r="I242" s="179" t="e">
        <f t="shared" si="2"/>
        <v>#DIV/0!</v>
      </c>
    </row>
    <row r="243" spans="1:9" ht="12.5">
      <c r="A243" s="9"/>
      <c r="B243" s="9"/>
      <c r="C243" s="9"/>
      <c r="D243" s="9"/>
      <c r="E243" s="9"/>
      <c r="F243" s="9"/>
      <c r="G243" s="179" t="e">
        <f t="shared" si="1"/>
        <v>#DIV/0!</v>
      </c>
      <c r="H243" s="135" t="e">
        <f t="shared" si="3"/>
        <v>#DIV/0!</v>
      </c>
      <c r="I243" s="179" t="e">
        <f t="shared" si="2"/>
        <v>#DIV/0!</v>
      </c>
    </row>
    <row r="244" spans="1:9" ht="12.5">
      <c r="A244" s="9"/>
      <c r="B244" s="9"/>
      <c r="C244" s="9"/>
      <c r="D244" s="9"/>
      <c r="E244" s="9"/>
      <c r="F244" s="9"/>
      <c r="G244" s="179" t="e">
        <f t="shared" si="1"/>
        <v>#DIV/0!</v>
      </c>
      <c r="H244" s="135" t="e">
        <f t="shared" si="3"/>
        <v>#DIV/0!</v>
      </c>
      <c r="I244" s="179" t="e">
        <f t="shared" si="2"/>
        <v>#DIV/0!</v>
      </c>
    </row>
    <row r="245" spans="1:9" ht="12.5">
      <c r="A245" s="9"/>
      <c r="B245" s="9"/>
      <c r="C245" s="9"/>
      <c r="D245" s="9"/>
      <c r="E245" s="9"/>
      <c r="F245" s="9"/>
      <c r="G245" s="179" t="e">
        <f t="shared" si="1"/>
        <v>#DIV/0!</v>
      </c>
      <c r="H245" s="135" t="e">
        <f t="shared" si="3"/>
        <v>#DIV/0!</v>
      </c>
      <c r="I245" s="179" t="e">
        <f t="shared" si="2"/>
        <v>#DIV/0!</v>
      </c>
    </row>
    <row r="246" spans="1:9" ht="12.5">
      <c r="A246" s="9"/>
      <c r="B246" s="9"/>
      <c r="C246" s="9"/>
      <c r="D246" s="9"/>
      <c r="E246" s="9"/>
      <c r="F246" s="9"/>
      <c r="G246" s="179" t="e">
        <f t="shared" si="1"/>
        <v>#DIV/0!</v>
      </c>
      <c r="H246" s="135" t="e">
        <f t="shared" si="3"/>
        <v>#DIV/0!</v>
      </c>
      <c r="I246" s="179" t="e">
        <f t="shared" si="2"/>
        <v>#DIV/0!</v>
      </c>
    </row>
    <row r="247" spans="1:9" ht="12.5">
      <c r="A247" s="9"/>
      <c r="B247" s="9"/>
      <c r="C247" s="9"/>
      <c r="D247" s="9"/>
      <c r="E247" s="9"/>
      <c r="F247" s="9"/>
      <c r="G247" s="179" t="e">
        <f t="shared" si="1"/>
        <v>#DIV/0!</v>
      </c>
      <c r="H247" s="135" t="e">
        <f t="shared" si="3"/>
        <v>#DIV/0!</v>
      </c>
      <c r="I247" s="179" t="e">
        <f t="shared" si="2"/>
        <v>#DIV/0!</v>
      </c>
    </row>
    <row r="248" spans="1:9" ht="12.5">
      <c r="A248" s="9"/>
      <c r="B248" s="9"/>
      <c r="C248" s="9"/>
      <c r="D248" s="9"/>
      <c r="E248" s="9"/>
      <c r="F248" s="9"/>
      <c r="G248" s="179" t="e">
        <f t="shared" si="1"/>
        <v>#DIV/0!</v>
      </c>
      <c r="H248" s="135" t="e">
        <f t="shared" si="3"/>
        <v>#DIV/0!</v>
      </c>
      <c r="I248" s="179" t="e">
        <f t="shared" si="2"/>
        <v>#DIV/0!</v>
      </c>
    </row>
    <row r="249" spans="1:9" ht="12.5">
      <c r="A249" s="9"/>
      <c r="B249" s="9"/>
      <c r="C249" s="9"/>
      <c r="D249" s="9"/>
      <c r="E249" s="9"/>
      <c r="F249" s="9"/>
      <c r="G249" s="179" t="e">
        <f t="shared" si="1"/>
        <v>#DIV/0!</v>
      </c>
      <c r="H249" s="135" t="e">
        <f t="shared" si="3"/>
        <v>#DIV/0!</v>
      </c>
      <c r="I249" s="179" t="e">
        <f t="shared" si="2"/>
        <v>#DIV/0!</v>
      </c>
    </row>
    <row r="250" spans="1:9" ht="12.5">
      <c r="A250" s="9"/>
      <c r="B250" s="9"/>
      <c r="C250" s="9"/>
      <c r="D250" s="9"/>
      <c r="E250" s="9"/>
      <c r="F250" s="9"/>
      <c r="G250" s="179" t="e">
        <f t="shared" si="1"/>
        <v>#DIV/0!</v>
      </c>
      <c r="H250" s="135" t="e">
        <f t="shared" si="3"/>
        <v>#DIV/0!</v>
      </c>
      <c r="I250" s="179" t="e">
        <f t="shared" si="2"/>
        <v>#DIV/0!</v>
      </c>
    </row>
    <row r="251" spans="1:9" ht="12.5">
      <c r="A251" s="9"/>
      <c r="B251" s="9"/>
      <c r="C251" s="9"/>
      <c r="D251" s="9"/>
      <c r="E251" s="9"/>
      <c r="F251" s="9"/>
      <c r="G251" s="179" t="e">
        <f t="shared" si="1"/>
        <v>#DIV/0!</v>
      </c>
      <c r="H251" s="135" t="e">
        <f t="shared" si="3"/>
        <v>#DIV/0!</v>
      </c>
      <c r="I251" s="179" t="e">
        <f t="shared" si="2"/>
        <v>#DIV/0!</v>
      </c>
    </row>
    <row r="252" spans="1:9" ht="12.5">
      <c r="A252" s="9"/>
      <c r="B252" s="9"/>
      <c r="C252" s="9"/>
      <c r="D252" s="9"/>
      <c r="E252" s="9"/>
      <c r="F252" s="9"/>
      <c r="G252" s="179" t="e">
        <f t="shared" si="1"/>
        <v>#DIV/0!</v>
      </c>
      <c r="H252" s="135" t="e">
        <f t="shared" si="3"/>
        <v>#DIV/0!</v>
      </c>
      <c r="I252" s="179" t="e">
        <f t="shared" si="2"/>
        <v>#DIV/0!</v>
      </c>
    </row>
    <row r="253" spans="1:9" ht="12.5">
      <c r="A253" s="9"/>
      <c r="B253" s="9"/>
      <c r="C253" s="9"/>
      <c r="D253" s="9"/>
      <c r="E253" s="9"/>
      <c r="F253" s="9"/>
      <c r="G253" s="179" t="e">
        <f t="shared" si="1"/>
        <v>#DIV/0!</v>
      </c>
      <c r="H253" s="135" t="e">
        <f t="shared" si="3"/>
        <v>#DIV/0!</v>
      </c>
      <c r="I253" s="179" t="e">
        <f t="shared" si="2"/>
        <v>#DIV/0!</v>
      </c>
    </row>
    <row r="254" spans="1:9" ht="12.5">
      <c r="A254" s="9"/>
      <c r="B254" s="9"/>
      <c r="C254" s="9"/>
      <c r="D254" s="9"/>
      <c r="E254" s="9"/>
      <c r="F254" s="9"/>
      <c r="G254" s="179" t="e">
        <f t="shared" si="1"/>
        <v>#DIV/0!</v>
      </c>
      <c r="H254" s="135" t="e">
        <f t="shared" si="3"/>
        <v>#DIV/0!</v>
      </c>
      <c r="I254" s="179" t="e">
        <f t="shared" si="2"/>
        <v>#DIV/0!</v>
      </c>
    </row>
    <row r="255" spans="1:9" ht="12.5">
      <c r="A255" s="9"/>
      <c r="B255" s="9"/>
      <c r="C255" s="9"/>
      <c r="D255" s="9"/>
      <c r="E255" s="9"/>
      <c r="F255" s="9"/>
      <c r="G255" s="179" t="e">
        <f t="shared" si="1"/>
        <v>#DIV/0!</v>
      </c>
      <c r="H255" s="135" t="e">
        <f t="shared" si="3"/>
        <v>#DIV/0!</v>
      </c>
      <c r="I255" s="179" t="e">
        <f t="shared" si="2"/>
        <v>#DIV/0!</v>
      </c>
    </row>
    <row r="256" spans="1:9" ht="12.5">
      <c r="A256" s="9"/>
      <c r="B256" s="9"/>
      <c r="C256" s="9"/>
      <c r="D256" s="9"/>
      <c r="E256" s="9"/>
      <c r="F256" s="9"/>
      <c r="G256" s="179" t="e">
        <f t="shared" si="1"/>
        <v>#DIV/0!</v>
      </c>
      <c r="H256" s="135" t="e">
        <f t="shared" si="3"/>
        <v>#DIV/0!</v>
      </c>
      <c r="I256" s="179" t="e">
        <f t="shared" si="2"/>
        <v>#DIV/0!</v>
      </c>
    </row>
    <row r="257" spans="1:9" ht="12.5">
      <c r="A257" s="9"/>
      <c r="B257" s="9"/>
      <c r="C257" s="9"/>
      <c r="D257" s="9"/>
      <c r="E257" s="9"/>
      <c r="F257" s="9"/>
      <c r="G257" s="179" t="e">
        <f t="shared" ref="G257:G511" si="5">E257/D257</f>
        <v>#DIV/0!</v>
      </c>
      <c r="H257" s="135" t="e">
        <f t="shared" si="3"/>
        <v>#DIV/0!</v>
      </c>
      <c r="I257" s="179" t="e">
        <f t="shared" ref="I257:I511" si="6">C257/D257</f>
        <v>#DIV/0!</v>
      </c>
    </row>
    <row r="258" spans="1:9" ht="12.5">
      <c r="A258" s="9"/>
      <c r="B258" s="9"/>
      <c r="C258" s="9"/>
      <c r="D258" s="9"/>
      <c r="E258" s="9"/>
      <c r="F258" s="9"/>
      <c r="G258" s="179" t="e">
        <f t="shared" si="5"/>
        <v>#DIV/0!</v>
      </c>
      <c r="H258" s="135" t="e">
        <f t="shared" si="3"/>
        <v>#DIV/0!</v>
      </c>
      <c r="I258" s="179" t="e">
        <f t="shared" si="6"/>
        <v>#DIV/0!</v>
      </c>
    </row>
    <row r="259" spans="1:9" ht="12.5">
      <c r="A259" s="9"/>
      <c r="B259" s="9"/>
      <c r="C259" s="9"/>
      <c r="D259" s="9"/>
      <c r="E259" s="9"/>
      <c r="F259" s="9"/>
      <c r="G259" s="179" t="e">
        <f t="shared" si="5"/>
        <v>#DIV/0!</v>
      </c>
      <c r="H259" s="135" t="e">
        <f t="shared" si="3"/>
        <v>#DIV/0!</v>
      </c>
      <c r="I259" s="179" t="e">
        <f t="shared" si="6"/>
        <v>#DIV/0!</v>
      </c>
    </row>
    <row r="260" spans="1:9" ht="12.5">
      <c r="A260" s="9"/>
      <c r="B260" s="9"/>
      <c r="C260" s="9"/>
      <c r="D260" s="9"/>
      <c r="E260" s="9"/>
      <c r="F260" s="9"/>
      <c r="G260" s="179" t="e">
        <f t="shared" si="5"/>
        <v>#DIV/0!</v>
      </c>
      <c r="H260" s="135" t="e">
        <f t="shared" si="3"/>
        <v>#DIV/0!</v>
      </c>
      <c r="I260" s="179" t="e">
        <f t="shared" si="6"/>
        <v>#DIV/0!</v>
      </c>
    </row>
    <row r="261" spans="1:9" ht="12.5">
      <c r="A261" s="9"/>
      <c r="B261" s="9"/>
      <c r="C261" s="9"/>
      <c r="D261" s="9"/>
      <c r="E261" s="9"/>
      <c r="F261" s="9"/>
      <c r="G261" s="179" t="e">
        <f t="shared" si="5"/>
        <v>#DIV/0!</v>
      </c>
      <c r="H261" s="135" t="e">
        <f t="shared" si="3"/>
        <v>#DIV/0!</v>
      </c>
      <c r="I261" s="179" t="e">
        <f t="shared" si="6"/>
        <v>#DIV/0!</v>
      </c>
    </row>
    <row r="262" spans="1:9" ht="12.5">
      <c r="A262" s="9"/>
      <c r="B262" s="9"/>
      <c r="C262" s="9"/>
      <c r="D262" s="9"/>
      <c r="E262" s="9"/>
      <c r="F262" s="9"/>
      <c r="G262" s="179" t="e">
        <f t="shared" si="5"/>
        <v>#DIV/0!</v>
      </c>
      <c r="H262" s="135" t="e">
        <f t="shared" si="3"/>
        <v>#DIV/0!</v>
      </c>
      <c r="I262" s="179" t="e">
        <f t="shared" si="6"/>
        <v>#DIV/0!</v>
      </c>
    </row>
    <row r="263" spans="1:9" ht="12.5">
      <c r="A263" s="9"/>
      <c r="B263" s="9"/>
      <c r="C263" s="9"/>
      <c r="D263" s="9"/>
      <c r="E263" s="9"/>
      <c r="F263" s="9"/>
      <c r="G263" s="179" t="e">
        <f t="shared" si="5"/>
        <v>#DIV/0!</v>
      </c>
      <c r="H263" s="135" t="e">
        <f t="shared" si="3"/>
        <v>#DIV/0!</v>
      </c>
      <c r="I263" s="179" t="e">
        <f t="shared" si="6"/>
        <v>#DIV/0!</v>
      </c>
    </row>
    <row r="264" spans="1:9" ht="12.5">
      <c r="A264" s="9"/>
      <c r="B264" s="9"/>
      <c r="C264" s="9"/>
      <c r="D264" s="9"/>
      <c r="E264" s="9"/>
      <c r="F264" s="9"/>
      <c r="G264" s="179" t="e">
        <f t="shared" si="5"/>
        <v>#DIV/0!</v>
      </c>
      <c r="H264" s="135" t="e">
        <f t="shared" si="3"/>
        <v>#DIV/0!</v>
      </c>
      <c r="I264" s="179" t="e">
        <f t="shared" si="6"/>
        <v>#DIV/0!</v>
      </c>
    </row>
    <row r="265" spans="1:9" ht="12.5">
      <c r="A265" s="9"/>
      <c r="B265" s="9"/>
      <c r="C265" s="9"/>
      <c r="D265" s="9"/>
      <c r="E265" s="9"/>
      <c r="F265" s="9"/>
      <c r="G265" s="179" t="e">
        <f t="shared" si="5"/>
        <v>#DIV/0!</v>
      </c>
      <c r="H265" s="135" t="e">
        <f t="shared" si="3"/>
        <v>#DIV/0!</v>
      </c>
      <c r="I265" s="179" t="e">
        <f t="shared" si="6"/>
        <v>#DIV/0!</v>
      </c>
    </row>
    <row r="266" spans="1:9" ht="12.5">
      <c r="A266" s="9"/>
      <c r="B266" s="9"/>
      <c r="C266" s="9"/>
      <c r="D266" s="9"/>
      <c r="E266" s="9"/>
      <c r="F266" s="9"/>
      <c r="G266" s="179" t="e">
        <f t="shared" si="5"/>
        <v>#DIV/0!</v>
      </c>
      <c r="H266" s="135" t="e">
        <f t="shared" si="3"/>
        <v>#DIV/0!</v>
      </c>
      <c r="I266" s="179" t="e">
        <f t="shared" si="6"/>
        <v>#DIV/0!</v>
      </c>
    </row>
    <row r="267" spans="1:9" ht="12.5">
      <c r="A267" s="9"/>
      <c r="B267" s="9"/>
      <c r="C267" s="9"/>
      <c r="D267" s="9"/>
      <c r="E267" s="9"/>
      <c r="F267" s="9"/>
      <c r="G267" s="179" t="e">
        <f t="shared" si="5"/>
        <v>#DIV/0!</v>
      </c>
      <c r="H267" s="135" t="e">
        <f t="shared" si="3"/>
        <v>#DIV/0!</v>
      </c>
      <c r="I267" s="179" t="e">
        <f t="shared" si="6"/>
        <v>#DIV/0!</v>
      </c>
    </row>
    <row r="268" spans="1:9" ht="12.5">
      <c r="A268" s="9"/>
      <c r="B268" s="9"/>
      <c r="C268" s="9"/>
      <c r="D268" s="9"/>
      <c r="E268" s="9"/>
      <c r="F268" s="9"/>
      <c r="G268" s="179" t="e">
        <f t="shared" si="5"/>
        <v>#DIV/0!</v>
      </c>
      <c r="H268" s="135" t="e">
        <f t="shared" si="3"/>
        <v>#DIV/0!</v>
      </c>
      <c r="I268" s="179" t="e">
        <f t="shared" si="6"/>
        <v>#DIV/0!</v>
      </c>
    </row>
    <row r="269" spans="1:9" ht="12.5">
      <c r="A269" s="9"/>
      <c r="B269" s="9"/>
      <c r="C269" s="9"/>
      <c r="D269" s="9"/>
      <c r="E269" s="9"/>
      <c r="F269" s="9"/>
      <c r="G269" s="179" t="e">
        <f t="shared" si="5"/>
        <v>#DIV/0!</v>
      </c>
      <c r="H269" s="135" t="e">
        <f t="shared" si="3"/>
        <v>#DIV/0!</v>
      </c>
      <c r="I269" s="179" t="e">
        <f t="shared" si="6"/>
        <v>#DIV/0!</v>
      </c>
    </row>
    <row r="270" spans="1:9" ht="12.5">
      <c r="A270" s="9"/>
      <c r="B270" s="9"/>
      <c r="C270" s="9"/>
      <c r="D270" s="9"/>
      <c r="E270" s="9"/>
      <c r="F270" s="9"/>
      <c r="G270" s="179" t="e">
        <f t="shared" si="5"/>
        <v>#DIV/0!</v>
      </c>
      <c r="H270" s="135" t="e">
        <f t="shared" si="3"/>
        <v>#DIV/0!</v>
      </c>
      <c r="I270" s="179" t="e">
        <f t="shared" si="6"/>
        <v>#DIV/0!</v>
      </c>
    </row>
    <row r="271" spans="1:9" ht="12.5">
      <c r="A271" s="9"/>
      <c r="B271" s="9"/>
      <c r="C271" s="9"/>
      <c r="D271" s="9"/>
      <c r="E271" s="9"/>
      <c r="F271" s="9"/>
      <c r="G271" s="179" t="e">
        <f t="shared" si="5"/>
        <v>#DIV/0!</v>
      </c>
      <c r="H271" s="135" t="e">
        <f t="shared" ref="H271:H525" si="7">E271/C271</f>
        <v>#DIV/0!</v>
      </c>
      <c r="I271" s="179" t="e">
        <f t="shared" si="6"/>
        <v>#DIV/0!</v>
      </c>
    </row>
    <row r="272" spans="1:9" ht="12.5">
      <c r="A272" s="9"/>
      <c r="B272" s="9"/>
      <c r="C272" s="9"/>
      <c r="D272" s="9"/>
      <c r="E272" s="9"/>
      <c r="F272" s="9"/>
      <c r="G272" s="179" t="e">
        <f t="shared" si="5"/>
        <v>#DIV/0!</v>
      </c>
      <c r="H272" s="135" t="e">
        <f t="shared" si="7"/>
        <v>#DIV/0!</v>
      </c>
      <c r="I272" s="179" t="e">
        <f t="shared" si="6"/>
        <v>#DIV/0!</v>
      </c>
    </row>
    <row r="273" spans="1:9" ht="12.5">
      <c r="A273" s="9"/>
      <c r="B273" s="9"/>
      <c r="C273" s="9"/>
      <c r="D273" s="9"/>
      <c r="E273" s="9"/>
      <c r="F273" s="9"/>
      <c r="G273" s="179" t="e">
        <f t="shared" si="5"/>
        <v>#DIV/0!</v>
      </c>
      <c r="H273" s="135" t="e">
        <f t="shared" si="7"/>
        <v>#DIV/0!</v>
      </c>
      <c r="I273" s="179" t="e">
        <f t="shared" si="6"/>
        <v>#DIV/0!</v>
      </c>
    </row>
    <row r="274" spans="1:9" ht="12.5">
      <c r="A274" s="9"/>
      <c r="B274" s="9"/>
      <c r="C274" s="9"/>
      <c r="D274" s="9"/>
      <c r="E274" s="9"/>
      <c r="F274" s="9"/>
      <c r="G274" s="179" t="e">
        <f t="shared" si="5"/>
        <v>#DIV/0!</v>
      </c>
      <c r="H274" s="135" t="e">
        <f t="shared" si="7"/>
        <v>#DIV/0!</v>
      </c>
      <c r="I274" s="179" t="e">
        <f t="shared" si="6"/>
        <v>#DIV/0!</v>
      </c>
    </row>
    <row r="275" spans="1:9" ht="12.5">
      <c r="A275" s="9"/>
      <c r="B275" s="9"/>
      <c r="C275" s="9"/>
      <c r="D275" s="9"/>
      <c r="E275" s="9"/>
      <c r="F275" s="9"/>
      <c r="G275" s="179" t="e">
        <f t="shared" si="5"/>
        <v>#DIV/0!</v>
      </c>
      <c r="H275" s="135" t="e">
        <f t="shared" si="7"/>
        <v>#DIV/0!</v>
      </c>
      <c r="I275" s="179" t="e">
        <f t="shared" si="6"/>
        <v>#DIV/0!</v>
      </c>
    </row>
    <row r="276" spans="1:9" ht="12.5">
      <c r="A276" s="9"/>
      <c r="B276" s="9"/>
      <c r="C276" s="9"/>
      <c r="D276" s="9"/>
      <c r="E276" s="9"/>
      <c r="F276" s="9"/>
      <c r="G276" s="179" t="e">
        <f t="shared" si="5"/>
        <v>#DIV/0!</v>
      </c>
      <c r="H276" s="135" t="e">
        <f t="shared" si="7"/>
        <v>#DIV/0!</v>
      </c>
      <c r="I276" s="179" t="e">
        <f t="shared" si="6"/>
        <v>#DIV/0!</v>
      </c>
    </row>
    <row r="277" spans="1:9" ht="12.5">
      <c r="A277" s="9"/>
      <c r="B277" s="9"/>
      <c r="C277" s="9"/>
      <c r="D277" s="9"/>
      <c r="E277" s="9"/>
      <c r="F277" s="9"/>
      <c r="G277" s="179" t="e">
        <f t="shared" si="5"/>
        <v>#DIV/0!</v>
      </c>
      <c r="H277" s="135" t="e">
        <f t="shared" si="7"/>
        <v>#DIV/0!</v>
      </c>
      <c r="I277" s="179" t="e">
        <f t="shared" si="6"/>
        <v>#DIV/0!</v>
      </c>
    </row>
    <row r="278" spans="1:9" ht="12.5">
      <c r="A278" s="9"/>
      <c r="B278" s="9"/>
      <c r="C278" s="9"/>
      <c r="D278" s="9"/>
      <c r="E278" s="9"/>
      <c r="F278" s="9"/>
      <c r="G278" s="179" t="e">
        <f t="shared" si="5"/>
        <v>#DIV/0!</v>
      </c>
      <c r="H278" s="135" t="e">
        <f t="shared" si="7"/>
        <v>#DIV/0!</v>
      </c>
      <c r="I278" s="179" t="e">
        <f t="shared" si="6"/>
        <v>#DIV/0!</v>
      </c>
    </row>
    <row r="279" spans="1:9" ht="12.5">
      <c r="A279" s="9"/>
      <c r="B279" s="9"/>
      <c r="C279" s="9"/>
      <c r="D279" s="9"/>
      <c r="E279" s="9"/>
      <c r="F279" s="9"/>
      <c r="G279" s="179" t="e">
        <f t="shared" si="5"/>
        <v>#DIV/0!</v>
      </c>
      <c r="H279" s="135" t="e">
        <f t="shared" si="7"/>
        <v>#DIV/0!</v>
      </c>
      <c r="I279" s="179" t="e">
        <f t="shared" si="6"/>
        <v>#DIV/0!</v>
      </c>
    </row>
    <row r="280" spans="1:9" ht="12.5">
      <c r="A280" s="9"/>
      <c r="B280" s="9"/>
      <c r="C280" s="9"/>
      <c r="D280" s="9"/>
      <c r="E280" s="9"/>
      <c r="F280" s="9"/>
      <c r="G280" s="179" t="e">
        <f t="shared" si="5"/>
        <v>#DIV/0!</v>
      </c>
      <c r="H280" s="135" t="e">
        <f t="shared" si="7"/>
        <v>#DIV/0!</v>
      </c>
      <c r="I280" s="179" t="e">
        <f t="shared" si="6"/>
        <v>#DIV/0!</v>
      </c>
    </row>
    <row r="281" spans="1:9" ht="12.5">
      <c r="A281" s="9"/>
      <c r="B281" s="9"/>
      <c r="C281" s="9"/>
      <c r="D281" s="9"/>
      <c r="E281" s="9"/>
      <c r="F281" s="9"/>
      <c r="G281" s="179" t="e">
        <f t="shared" si="5"/>
        <v>#DIV/0!</v>
      </c>
      <c r="H281" s="135" t="e">
        <f t="shared" si="7"/>
        <v>#DIV/0!</v>
      </c>
      <c r="I281" s="179" t="e">
        <f t="shared" si="6"/>
        <v>#DIV/0!</v>
      </c>
    </row>
    <row r="282" spans="1:9" ht="12.5">
      <c r="A282" s="9"/>
      <c r="B282" s="9"/>
      <c r="C282" s="9"/>
      <c r="D282" s="9"/>
      <c r="E282" s="9"/>
      <c r="F282" s="9"/>
      <c r="G282" s="179" t="e">
        <f t="shared" si="5"/>
        <v>#DIV/0!</v>
      </c>
      <c r="H282" s="135" t="e">
        <f t="shared" si="7"/>
        <v>#DIV/0!</v>
      </c>
      <c r="I282" s="179" t="e">
        <f t="shared" si="6"/>
        <v>#DIV/0!</v>
      </c>
    </row>
    <row r="283" spans="1:9" ht="12.5">
      <c r="A283" s="9"/>
      <c r="B283" s="9"/>
      <c r="C283" s="9"/>
      <c r="D283" s="9"/>
      <c r="E283" s="9"/>
      <c r="F283" s="9"/>
      <c r="G283" s="179" t="e">
        <f t="shared" si="5"/>
        <v>#DIV/0!</v>
      </c>
      <c r="H283" s="135" t="e">
        <f t="shared" si="7"/>
        <v>#DIV/0!</v>
      </c>
      <c r="I283" s="179" t="e">
        <f t="shared" si="6"/>
        <v>#DIV/0!</v>
      </c>
    </row>
    <row r="284" spans="1:9" ht="12.5">
      <c r="A284" s="9"/>
      <c r="B284" s="9"/>
      <c r="C284" s="9"/>
      <c r="D284" s="9"/>
      <c r="E284" s="9"/>
      <c r="F284" s="9"/>
      <c r="G284" s="179" t="e">
        <f t="shared" si="5"/>
        <v>#DIV/0!</v>
      </c>
      <c r="H284" s="135" t="e">
        <f t="shared" si="7"/>
        <v>#DIV/0!</v>
      </c>
      <c r="I284" s="179" t="e">
        <f t="shared" si="6"/>
        <v>#DIV/0!</v>
      </c>
    </row>
    <row r="285" spans="1:9" ht="12.5">
      <c r="A285" s="9"/>
      <c r="B285" s="9"/>
      <c r="C285" s="9"/>
      <c r="D285" s="9"/>
      <c r="E285" s="9"/>
      <c r="F285" s="9"/>
      <c r="G285" s="179" t="e">
        <f t="shared" si="5"/>
        <v>#DIV/0!</v>
      </c>
      <c r="H285" s="135" t="e">
        <f t="shared" si="7"/>
        <v>#DIV/0!</v>
      </c>
      <c r="I285" s="179" t="e">
        <f t="shared" si="6"/>
        <v>#DIV/0!</v>
      </c>
    </row>
    <row r="286" spans="1:9" ht="12.5">
      <c r="A286" s="9"/>
      <c r="B286" s="9"/>
      <c r="C286" s="9"/>
      <c r="D286" s="9"/>
      <c r="E286" s="9"/>
      <c r="F286" s="9"/>
      <c r="G286" s="179" t="e">
        <f t="shared" si="5"/>
        <v>#DIV/0!</v>
      </c>
      <c r="H286" s="135" t="e">
        <f t="shared" si="7"/>
        <v>#DIV/0!</v>
      </c>
      <c r="I286" s="179" t="e">
        <f t="shared" si="6"/>
        <v>#DIV/0!</v>
      </c>
    </row>
    <row r="287" spans="1:9" ht="12.5">
      <c r="A287" s="9"/>
      <c r="B287" s="9"/>
      <c r="C287" s="9"/>
      <c r="D287" s="9"/>
      <c r="E287" s="9"/>
      <c r="F287" s="9"/>
      <c r="G287" s="179" t="e">
        <f t="shared" si="5"/>
        <v>#DIV/0!</v>
      </c>
      <c r="H287" s="135" t="e">
        <f t="shared" si="7"/>
        <v>#DIV/0!</v>
      </c>
      <c r="I287" s="179" t="e">
        <f t="shared" si="6"/>
        <v>#DIV/0!</v>
      </c>
    </row>
    <row r="288" spans="1:9" ht="12.5">
      <c r="A288" s="9"/>
      <c r="B288" s="9"/>
      <c r="C288" s="9"/>
      <c r="D288" s="9"/>
      <c r="E288" s="9"/>
      <c r="F288" s="9"/>
      <c r="G288" s="179" t="e">
        <f t="shared" si="5"/>
        <v>#DIV/0!</v>
      </c>
      <c r="H288" s="135" t="e">
        <f t="shared" si="7"/>
        <v>#DIV/0!</v>
      </c>
      <c r="I288" s="179" t="e">
        <f t="shared" si="6"/>
        <v>#DIV/0!</v>
      </c>
    </row>
    <row r="289" spans="1:9" ht="12.5">
      <c r="A289" s="9"/>
      <c r="B289" s="9"/>
      <c r="C289" s="9"/>
      <c r="D289" s="9"/>
      <c r="E289" s="9"/>
      <c r="F289" s="9"/>
      <c r="G289" s="179" t="e">
        <f t="shared" si="5"/>
        <v>#DIV/0!</v>
      </c>
      <c r="H289" s="135" t="e">
        <f t="shared" si="7"/>
        <v>#DIV/0!</v>
      </c>
      <c r="I289" s="179" t="e">
        <f t="shared" si="6"/>
        <v>#DIV/0!</v>
      </c>
    </row>
    <row r="290" spans="1:9" ht="12.5">
      <c r="A290" s="9"/>
      <c r="B290" s="9"/>
      <c r="C290" s="9"/>
      <c r="D290" s="9"/>
      <c r="E290" s="9"/>
      <c r="F290" s="9"/>
      <c r="G290" s="179" t="e">
        <f t="shared" si="5"/>
        <v>#DIV/0!</v>
      </c>
      <c r="H290" s="135" t="e">
        <f t="shared" si="7"/>
        <v>#DIV/0!</v>
      </c>
      <c r="I290" s="179" t="e">
        <f t="shared" si="6"/>
        <v>#DIV/0!</v>
      </c>
    </row>
    <row r="291" spans="1:9" ht="12.5">
      <c r="A291" s="9"/>
      <c r="B291" s="9"/>
      <c r="C291" s="9"/>
      <c r="D291" s="9"/>
      <c r="E291" s="9"/>
      <c r="F291" s="9"/>
      <c r="G291" s="179" t="e">
        <f t="shared" si="5"/>
        <v>#DIV/0!</v>
      </c>
      <c r="H291" s="135" t="e">
        <f t="shared" si="7"/>
        <v>#DIV/0!</v>
      </c>
      <c r="I291" s="179" t="e">
        <f t="shared" si="6"/>
        <v>#DIV/0!</v>
      </c>
    </row>
    <row r="292" spans="1:9" ht="12.5">
      <c r="A292" s="9"/>
      <c r="B292" s="9"/>
      <c r="C292" s="9"/>
      <c r="D292" s="9"/>
      <c r="E292" s="9"/>
      <c r="F292" s="9"/>
      <c r="G292" s="179" t="e">
        <f t="shared" si="5"/>
        <v>#DIV/0!</v>
      </c>
      <c r="H292" s="135" t="e">
        <f t="shared" si="7"/>
        <v>#DIV/0!</v>
      </c>
      <c r="I292" s="179" t="e">
        <f t="shared" si="6"/>
        <v>#DIV/0!</v>
      </c>
    </row>
    <row r="293" spans="1:9" ht="12.5">
      <c r="A293" s="9"/>
      <c r="B293" s="9"/>
      <c r="C293" s="9"/>
      <c r="D293" s="9"/>
      <c r="E293" s="9"/>
      <c r="F293" s="9"/>
      <c r="G293" s="179" t="e">
        <f t="shared" si="5"/>
        <v>#DIV/0!</v>
      </c>
      <c r="H293" s="135" t="e">
        <f t="shared" si="7"/>
        <v>#DIV/0!</v>
      </c>
      <c r="I293" s="179" t="e">
        <f t="shared" si="6"/>
        <v>#DIV/0!</v>
      </c>
    </row>
    <row r="294" spans="1:9" ht="12.5">
      <c r="A294" s="9"/>
      <c r="B294" s="9"/>
      <c r="C294" s="9"/>
      <c r="D294" s="9"/>
      <c r="E294" s="9"/>
      <c r="F294" s="9"/>
      <c r="G294" s="179" t="e">
        <f t="shared" si="5"/>
        <v>#DIV/0!</v>
      </c>
      <c r="H294" s="135" t="e">
        <f t="shared" si="7"/>
        <v>#DIV/0!</v>
      </c>
      <c r="I294" s="179" t="e">
        <f t="shared" si="6"/>
        <v>#DIV/0!</v>
      </c>
    </row>
    <row r="295" spans="1:9" ht="12.5">
      <c r="A295" s="9"/>
      <c r="B295" s="9"/>
      <c r="C295" s="9"/>
      <c r="D295" s="9"/>
      <c r="E295" s="9"/>
      <c r="F295" s="9"/>
      <c r="G295" s="179" t="e">
        <f t="shared" si="5"/>
        <v>#DIV/0!</v>
      </c>
      <c r="H295" s="135" t="e">
        <f t="shared" si="7"/>
        <v>#DIV/0!</v>
      </c>
      <c r="I295" s="179" t="e">
        <f t="shared" si="6"/>
        <v>#DIV/0!</v>
      </c>
    </row>
    <row r="296" spans="1:9" ht="12.5">
      <c r="A296" s="9"/>
      <c r="B296" s="9"/>
      <c r="C296" s="9"/>
      <c r="D296" s="9"/>
      <c r="E296" s="9"/>
      <c r="F296" s="9"/>
      <c r="G296" s="179" t="e">
        <f t="shared" si="5"/>
        <v>#DIV/0!</v>
      </c>
      <c r="H296" s="135" t="e">
        <f t="shared" si="7"/>
        <v>#DIV/0!</v>
      </c>
      <c r="I296" s="179" t="e">
        <f t="shared" si="6"/>
        <v>#DIV/0!</v>
      </c>
    </row>
    <row r="297" spans="1:9" ht="12.5">
      <c r="A297" s="9"/>
      <c r="B297" s="9"/>
      <c r="C297" s="9"/>
      <c r="D297" s="9"/>
      <c r="E297" s="9"/>
      <c r="F297" s="9"/>
      <c r="G297" s="179" t="e">
        <f t="shared" si="5"/>
        <v>#DIV/0!</v>
      </c>
      <c r="H297" s="135" t="e">
        <f t="shared" si="7"/>
        <v>#DIV/0!</v>
      </c>
      <c r="I297" s="179" t="e">
        <f t="shared" si="6"/>
        <v>#DIV/0!</v>
      </c>
    </row>
    <row r="298" spans="1:9" ht="12.5">
      <c r="A298" s="9"/>
      <c r="B298" s="9"/>
      <c r="C298" s="9"/>
      <c r="D298" s="9"/>
      <c r="E298" s="9"/>
      <c r="F298" s="9"/>
      <c r="G298" s="179" t="e">
        <f t="shared" si="5"/>
        <v>#DIV/0!</v>
      </c>
      <c r="H298" s="135" t="e">
        <f t="shared" si="7"/>
        <v>#DIV/0!</v>
      </c>
      <c r="I298" s="179" t="e">
        <f t="shared" si="6"/>
        <v>#DIV/0!</v>
      </c>
    </row>
    <row r="299" spans="1:9" ht="12.5">
      <c r="A299" s="9"/>
      <c r="B299" s="9"/>
      <c r="C299" s="9"/>
      <c r="D299" s="9"/>
      <c r="E299" s="9"/>
      <c r="F299" s="9"/>
      <c r="G299" s="179" t="e">
        <f t="shared" si="5"/>
        <v>#DIV/0!</v>
      </c>
      <c r="H299" s="135" t="e">
        <f t="shared" si="7"/>
        <v>#DIV/0!</v>
      </c>
      <c r="I299" s="179" t="e">
        <f t="shared" si="6"/>
        <v>#DIV/0!</v>
      </c>
    </row>
    <row r="300" spans="1:9" ht="12.5">
      <c r="A300" s="9"/>
      <c r="B300" s="9"/>
      <c r="C300" s="9"/>
      <c r="D300" s="9"/>
      <c r="E300" s="9"/>
      <c r="F300" s="9"/>
      <c r="G300" s="179" t="e">
        <f t="shared" si="5"/>
        <v>#DIV/0!</v>
      </c>
      <c r="H300" s="135" t="e">
        <f t="shared" si="7"/>
        <v>#DIV/0!</v>
      </c>
      <c r="I300" s="179" t="e">
        <f t="shared" si="6"/>
        <v>#DIV/0!</v>
      </c>
    </row>
    <row r="301" spans="1:9" ht="12.5">
      <c r="A301" s="9"/>
      <c r="B301" s="9"/>
      <c r="C301" s="9"/>
      <c r="D301" s="9"/>
      <c r="E301" s="9"/>
      <c r="F301" s="9"/>
      <c r="G301" s="179" t="e">
        <f t="shared" si="5"/>
        <v>#DIV/0!</v>
      </c>
      <c r="H301" s="135" t="e">
        <f t="shared" si="7"/>
        <v>#DIV/0!</v>
      </c>
      <c r="I301" s="179" t="e">
        <f t="shared" si="6"/>
        <v>#DIV/0!</v>
      </c>
    </row>
    <row r="302" spans="1:9" ht="12.5">
      <c r="A302" s="9"/>
      <c r="B302" s="9"/>
      <c r="C302" s="9"/>
      <c r="D302" s="9"/>
      <c r="E302" s="9"/>
      <c r="F302" s="9"/>
      <c r="G302" s="179" t="e">
        <f t="shared" si="5"/>
        <v>#DIV/0!</v>
      </c>
      <c r="H302" s="135" t="e">
        <f t="shared" si="7"/>
        <v>#DIV/0!</v>
      </c>
      <c r="I302" s="179" t="e">
        <f t="shared" si="6"/>
        <v>#DIV/0!</v>
      </c>
    </row>
    <row r="303" spans="1:9" ht="12.5">
      <c r="A303" s="9"/>
      <c r="B303" s="9"/>
      <c r="C303" s="9"/>
      <c r="D303" s="9"/>
      <c r="E303" s="9"/>
      <c r="F303" s="9"/>
      <c r="G303" s="179" t="e">
        <f t="shared" si="5"/>
        <v>#DIV/0!</v>
      </c>
      <c r="H303" s="135" t="e">
        <f t="shared" si="7"/>
        <v>#DIV/0!</v>
      </c>
      <c r="I303" s="179" t="e">
        <f t="shared" si="6"/>
        <v>#DIV/0!</v>
      </c>
    </row>
    <row r="304" spans="1:9" ht="12.5">
      <c r="A304" s="9"/>
      <c r="B304" s="9"/>
      <c r="C304" s="9"/>
      <c r="D304" s="9"/>
      <c r="E304" s="9"/>
      <c r="F304" s="9"/>
      <c r="G304" s="179" t="e">
        <f t="shared" si="5"/>
        <v>#DIV/0!</v>
      </c>
      <c r="H304" s="135" t="e">
        <f t="shared" si="7"/>
        <v>#DIV/0!</v>
      </c>
      <c r="I304" s="179" t="e">
        <f t="shared" si="6"/>
        <v>#DIV/0!</v>
      </c>
    </row>
    <row r="305" spans="1:9" ht="12.5">
      <c r="A305" s="9"/>
      <c r="B305" s="9"/>
      <c r="C305" s="9"/>
      <c r="D305" s="9"/>
      <c r="E305" s="9"/>
      <c r="F305" s="9"/>
      <c r="G305" s="179" t="e">
        <f t="shared" si="5"/>
        <v>#DIV/0!</v>
      </c>
      <c r="H305" s="135" t="e">
        <f t="shared" si="7"/>
        <v>#DIV/0!</v>
      </c>
      <c r="I305" s="179" t="e">
        <f t="shared" si="6"/>
        <v>#DIV/0!</v>
      </c>
    </row>
    <row r="306" spans="1:9" ht="12.5">
      <c r="A306" s="9"/>
      <c r="B306" s="9"/>
      <c r="C306" s="9"/>
      <c r="D306" s="9"/>
      <c r="E306" s="9"/>
      <c r="F306" s="9"/>
      <c r="G306" s="179" t="e">
        <f t="shared" si="5"/>
        <v>#DIV/0!</v>
      </c>
      <c r="H306" s="135" t="e">
        <f t="shared" si="7"/>
        <v>#DIV/0!</v>
      </c>
      <c r="I306" s="179" t="e">
        <f t="shared" si="6"/>
        <v>#DIV/0!</v>
      </c>
    </row>
    <row r="307" spans="1:9" ht="12.5">
      <c r="A307" s="9"/>
      <c r="B307" s="9"/>
      <c r="C307" s="9"/>
      <c r="D307" s="9"/>
      <c r="E307" s="9"/>
      <c r="F307" s="9"/>
      <c r="G307" s="179" t="e">
        <f t="shared" si="5"/>
        <v>#DIV/0!</v>
      </c>
      <c r="H307" s="135" t="e">
        <f t="shared" si="7"/>
        <v>#DIV/0!</v>
      </c>
      <c r="I307" s="179" t="e">
        <f t="shared" si="6"/>
        <v>#DIV/0!</v>
      </c>
    </row>
    <row r="308" spans="1:9" ht="12.5">
      <c r="A308" s="9"/>
      <c r="B308" s="9"/>
      <c r="C308" s="9"/>
      <c r="D308" s="9"/>
      <c r="E308" s="9"/>
      <c r="F308" s="9"/>
      <c r="G308" s="179" t="e">
        <f t="shared" si="5"/>
        <v>#DIV/0!</v>
      </c>
      <c r="H308" s="135" t="e">
        <f t="shared" si="7"/>
        <v>#DIV/0!</v>
      </c>
      <c r="I308" s="179" t="e">
        <f t="shared" si="6"/>
        <v>#DIV/0!</v>
      </c>
    </row>
    <row r="309" spans="1:9" ht="12.5">
      <c r="A309" s="9"/>
      <c r="B309" s="9"/>
      <c r="C309" s="9"/>
      <c r="D309" s="9"/>
      <c r="E309" s="9"/>
      <c r="F309" s="9"/>
      <c r="G309" s="179" t="e">
        <f t="shared" si="5"/>
        <v>#DIV/0!</v>
      </c>
      <c r="H309" s="135" t="e">
        <f t="shared" si="7"/>
        <v>#DIV/0!</v>
      </c>
      <c r="I309" s="179" t="e">
        <f t="shared" si="6"/>
        <v>#DIV/0!</v>
      </c>
    </row>
    <row r="310" spans="1:9" ht="12.5">
      <c r="A310" s="9"/>
      <c r="B310" s="9"/>
      <c r="C310" s="9"/>
      <c r="D310" s="9"/>
      <c r="E310" s="9"/>
      <c r="F310" s="9"/>
      <c r="G310" s="179" t="e">
        <f t="shared" si="5"/>
        <v>#DIV/0!</v>
      </c>
      <c r="H310" s="135" t="e">
        <f t="shared" si="7"/>
        <v>#DIV/0!</v>
      </c>
      <c r="I310" s="179" t="e">
        <f t="shared" si="6"/>
        <v>#DIV/0!</v>
      </c>
    </row>
    <row r="311" spans="1:9" ht="12.5">
      <c r="A311" s="9"/>
      <c r="B311" s="9"/>
      <c r="C311" s="9"/>
      <c r="D311" s="9"/>
      <c r="E311" s="9"/>
      <c r="F311" s="9"/>
      <c r="G311" s="179" t="e">
        <f t="shared" si="5"/>
        <v>#DIV/0!</v>
      </c>
      <c r="H311" s="135" t="e">
        <f t="shared" si="7"/>
        <v>#DIV/0!</v>
      </c>
      <c r="I311" s="179" t="e">
        <f t="shared" si="6"/>
        <v>#DIV/0!</v>
      </c>
    </row>
    <row r="312" spans="1:9" ht="12.5">
      <c r="A312" s="9"/>
      <c r="B312" s="9"/>
      <c r="C312" s="9"/>
      <c r="D312" s="9"/>
      <c r="E312" s="9"/>
      <c r="F312" s="9"/>
      <c r="G312" s="179" t="e">
        <f t="shared" si="5"/>
        <v>#DIV/0!</v>
      </c>
      <c r="H312" s="135" t="e">
        <f t="shared" si="7"/>
        <v>#DIV/0!</v>
      </c>
      <c r="I312" s="179" t="e">
        <f t="shared" si="6"/>
        <v>#DIV/0!</v>
      </c>
    </row>
    <row r="313" spans="1:9" ht="12.5">
      <c r="A313" s="9"/>
      <c r="B313" s="9"/>
      <c r="C313" s="9"/>
      <c r="D313" s="9"/>
      <c r="E313" s="9"/>
      <c r="F313" s="9"/>
      <c r="G313" s="179" t="e">
        <f t="shared" si="5"/>
        <v>#DIV/0!</v>
      </c>
      <c r="H313" s="135" t="e">
        <f t="shared" si="7"/>
        <v>#DIV/0!</v>
      </c>
      <c r="I313" s="179" t="e">
        <f t="shared" si="6"/>
        <v>#DIV/0!</v>
      </c>
    </row>
    <row r="314" spans="1:9" ht="12.5">
      <c r="A314" s="9"/>
      <c r="B314" s="9"/>
      <c r="C314" s="9"/>
      <c r="D314" s="9"/>
      <c r="E314" s="9"/>
      <c r="F314" s="9"/>
      <c r="G314" s="179" t="e">
        <f t="shared" si="5"/>
        <v>#DIV/0!</v>
      </c>
      <c r="H314" s="135" t="e">
        <f t="shared" si="7"/>
        <v>#DIV/0!</v>
      </c>
      <c r="I314" s="179" t="e">
        <f t="shared" si="6"/>
        <v>#DIV/0!</v>
      </c>
    </row>
    <row r="315" spans="1:9" ht="12.5">
      <c r="A315" s="9"/>
      <c r="B315" s="9"/>
      <c r="C315" s="9"/>
      <c r="D315" s="9"/>
      <c r="E315" s="9"/>
      <c r="F315" s="9"/>
      <c r="G315" s="179" t="e">
        <f t="shared" si="5"/>
        <v>#DIV/0!</v>
      </c>
      <c r="H315" s="135" t="e">
        <f t="shared" si="7"/>
        <v>#DIV/0!</v>
      </c>
      <c r="I315" s="179" t="e">
        <f t="shared" si="6"/>
        <v>#DIV/0!</v>
      </c>
    </row>
    <row r="316" spans="1:9" ht="12.5">
      <c r="A316" s="9"/>
      <c r="B316" s="9"/>
      <c r="C316" s="9"/>
      <c r="D316" s="9"/>
      <c r="E316" s="9"/>
      <c r="F316" s="9"/>
      <c r="G316" s="179" t="e">
        <f t="shared" si="5"/>
        <v>#DIV/0!</v>
      </c>
      <c r="H316" s="135" t="e">
        <f t="shared" si="7"/>
        <v>#DIV/0!</v>
      </c>
      <c r="I316" s="179" t="e">
        <f t="shared" si="6"/>
        <v>#DIV/0!</v>
      </c>
    </row>
    <row r="317" spans="1:9" ht="12.5">
      <c r="A317" s="9"/>
      <c r="B317" s="9"/>
      <c r="C317" s="9"/>
      <c r="D317" s="9"/>
      <c r="E317" s="9"/>
      <c r="F317" s="9"/>
      <c r="G317" s="179" t="e">
        <f t="shared" si="5"/>
        <v>#DIV/0!</v>
      </c>
      <c r="H317" s="135" t="e">
        <f t="shared" si="7"/>
        <v>#DIV/0!</v>
      </c>
      <c r="I317" s="179" t="e">
        <f t="shared" si="6"/>
        <v>#DIV/0!</v>
      </c>
    </row>
    <row r="318" spans="1:9" ht="12.5">
      <c r="A318" s="9"/>
      <c r="B318" s="9"/>
      <c r="C318" s="9"/>
      <c r="D318" s="9"/>
      <c r="E318" s="9"/>
      <c r="F318" s="9"/>
      <c r="G318" s="179" t="e">
        <f t="shared" si="5"/>
        <v>#DIV/0!</v>
      </c>
      <c r="H318" s="135" t="e">
        <f t="shared" si="7"/>
        <v>#DIV/0!</v>
      </c>
      <c r="I318" s="179" t="e">
        <f t="shared" si="6"/>
        <v>#DIV/0!</v>
      </c>
    </row>
    <row r="319" spans="1:9" ht="12.5">
      <c r="A319" s="9"/>
      <c r="B319" s="9"/>
      <c r="C319" s="9"/>
      <c r="D319" s="9"/>
      <c r="E319" s="9"/>
      <c r="F319" s="9"/>
      <c r="G319" s="179" t="e">
        <f t="shared" si="5"/>
        <v>#DIV/0!</v>
      </c>
      <c r="H319" s="135" t="e">
        <f t="shared" si="7"/>
        <v>#DIV/0!</v>
      </c>
      <c r="I319" s="179" t="e">
        <f t="shared" si="6"/>
        <v>#DIV/0!</v>
      </c>
    </row>
    <row r="320" spans="1:9" ht="12.5">
      <c r="A320" s="9"/>
      <c r="B320" s="9"/>
      <c r="C320" s="9"/>
      <c r="D320" s="9"/>
      <c r="E320" s="9"/>
      <c r="F320" s="9"/>
      <c r="G320" s="179" t="e">
        <f t="shared" si="5"/>
        <v>#DIV/0!</v>
      </c>
      <c r="H320" s="135" t="e">
        <f t="shared" si="7"/>
        <v>#DIV/0!</v>
      </c>
      <c r="I320" s="179" t="e">
        <f t="shared" si="6"/>
        <v>#DIV/0!</v>
      </c>
    </row>
    <row r="321" spans="1:9" ht="12.5">
      <c r="A321" s="9"/>
      <c r="B321" s="9"/>
      <c r="C321" s="9"/>
      <c r="D321" s="9"/>
      <c r="E321" s="9"/>
      <c r="F321" s="9"/>
      <c r="G321" s="179" t="e">
        <f t="shared" si="5"/>
        <v>#DIV/0!</v>
      </c>
      <c r="H321" s="135" t="e">
        <f t="shared" si="7"/>
        <v>#DIV/0!</v>
      </c>
      <c r="I321" s="179" t="e">
        <f t="shared" si="6"/>
        <v>#DIV/0!</v>
      </c>
    </row>
    <row r="322" spans="1:9" ht="12.5">
      <c r="A322" s="9"/>
      <c r="B322" s="9"/>
      <c r="C322" s="9"/>
      <c r="D322" s="9"/>
      <c r="E322" s="9"/>
      <c r="F322" s="9"/>
      <c r="G322" s="179" t="e">
        <f t="shared" si="5"/>
        <v>#DIV/0!</v>
      </c>
      <c r="H322" s="135" t="e">
        <f t="shared" si="7"/>
        <v>#DIV/0!</v>
      </c>
      <c r="I322" s="179" t="e">
        <f t="shared" si="6"/>
        <v>#DIV/0!</v>
      </c>
    </row>
    <row r="323" spans="1:9" ht="12.5">
      <c r="A323" s="9"/>
      <c r="B323" s="9"/>
      <c r="C323" s="9"/>
      <c r="D323" s="9"/>
      <c r="E323" s="9"/>
      <c r="F323" s="9"/>
      <c r="G323" s="179" t="e">
        <f t="shared" si="5"/>
        <v>#DIV/0!</v>
      </c>
      <c r="H323" s="135" t="e">
        <f t="shared" si="7"/>
        <v>#DIV/0!</v>
      </c>
      <c r="I323" s="179" t="e">
        <f t="shared" si="6"/>
        <v>#DIV/0!</v>
      </c>
    </row>
    <row r="324" spans="1:9" ht="12.5">
      <c r="A324" s="9"/>
      <c r="B324" s="9"/>
      <c r="C324" s="9"/>
      <c r="D324" s="9"/>
      <c r="E324" s="9"/>
      <c r="F324" s="9"/>
      <c r="G324" s="179" t="e">
        <f t="shared" si="5"/>
        <v>#DIV/0!</v>
      </c>
      <c r="H324" s="135" t="e">
        <f t="shared" si="7"/>
        <v>#DIV/0!</v>
      </c>
      <c r="I324" s="179" t="e">
        <f t="shared" si="6"/>
        <v>#DIV/0!</v>
      </c>
    </row>
    <row r="325" spans="1:9" ht="12.5">
      <c r="A325" s="9"/>
      <c r="B325" s="9"/>
      <c r="C325" s="9"/>
      <c r="D325" s="9"/>
      <c r="E325" s="9"/>
      <c r="F325" s="9"/>
      <c r="G325" s="179" t="e">
        <f t="shared" si="5"/>
        <v>#DIV/0!</v>
      </c>
      <c r="H325" s="135" t="e">
        <f t="shared" si="7"/>
        <v>#DIV/0!</v>
      </c>
      <c r="I325" s="179" t="e">
        <f t="shared" si="6"/>
        <v>#DIV/0!</v>
      </c>
    </row>
    <row r="326" spans="1:9" ht="12.5">
      <c r="A326" s="9"/>
      <c r="B326" s="9"/>
      <c r="C326" s="9"/>
      <c r="D326" s="9"/>
      <c r="E326" s="9"/>
      <c r="F326" s="9"/>
      <c r="G326" s="179" t="e">
        <f t="shared" si="5"/>
        <v>#DIV/0!</v>
      </c>
      <c r="H326" s="135" t="e">
        <f t="shared" si="7"/>
        <v>#DIV/0!</v>
      </c>
      <c r="I326" s="179" t="e">
        <f t="shared" si="6"/>
        <v>#DIV/0!</v>
      </c>
    </row>
    <row r="327" spans="1:9" ht="12.5">
      <c r="A327" s="9"/>
      <c r="B327" s="9"/>
      <c r="C327" s="9"/>
      <c r="D327" s="9"/>
      <c r="E327" s="9"/>
      <c r="F327" s="9"/>
      <c r="G327" s="179" t="e">
        <f t="shared" si="5"/>
        <v>#DIV/0!</v>
      </c>
      <c r="H327" s="135" t="e">
        <f t="shared" si="7"/>
        <v>#DIV/0!</v>
      </c>
      <c r="I327" s="179" t="e">
        <f t="shared" si="6"/>
        <v>#DIV/0!</v>
      </c>
    </row>
    <row r="328" spans="1:9" ht="12.5">
      <c r="A328" s="9"/>
      <c r="B328" s="9"/>
      <c r="C328" s="9"/>
      <c r="D328" s="9"/>
      <c r="E328" s="9"/>
      <c r="F328" s="9"/>
      <c r="G328" s="179" t="e">
        <f t="shared" si="5"/>
        <v>#DIV/0!</v>
      </c>
      <c r="H328" s="135" t="e">
        <f t="shared" si="7"/>
        <v>#DIV/0!</v>
      </c>
      <c r="I328" s="179" t="e">
        <f t="shared" si="6"/>
        <v>#DIV/0!</v>
      </c>
    </row>
    <row r="329" spans="1:9" ht="12.5">
      <c r="A329" s="9"/>
      <c r="B329" s="9"/>
      <c r="C329" s="9"/>
      <c r="D329" s="9"/>
      <c r="E329" s="9"/>
      <c r="F329" s="9"/>
      <c r="G329" s="179" t="e">
        <f t="shared" si="5"/>
        <v>#DIV/0!</v>
      </c>
      <c r="H329" s="135" t="e">
        <f t="shared" si="7"/>
        <v>#DIV/0!</v>
      </c>
      <c r="I329" s="179" t="e">
        <f t="shared" si="6"/>
        <v>#DIV/0!</v>
      </c>
    </row>
    <row r="330" spans="1:9" ht="12.5">
      <c r="A330" s="9"/>
      <c r="B330" s="9"/>
      <c r="C330" s="9"/>
      <c r="D330" s="9"/>
      <c r="E330" s="9"/>
      <c r="F330" s="9"/>
      <c r="G330" s="179" t="e">
        <f t="shared" si="5"/>
        <v>#DIV/0!</v>
      </c>
      <c r="H330" s="135" t="e">
        <f t="shared" si="7"/>
        <v>#DIV/0!</v>
      </c>
      <c r="I330" s="179" t="e">
        <f t="shared" si="6"/>
        <v>#DIV/0!</v>
      </c>
    </row>
    <row r="331" spans="1:9" ht="12.5">
      <c r="A331" s="9"/>
      <c r="B331" s="9"/>
      <c r="C331" s="9"/>
      <c r="D331" s="9"/>
      <c r="E331" s="9"/>
      <c r="F331" s="9"/>
      <c r="G331" s="179" t="e">
        <f t="shared" si="5"/>
        <v>#DIV/0!</v>
      </c>
      <c r="H331" s="135" t="e">
        <f t="shared" si="7"/>
        <v>#DIV/0!</v>
      </c>
      <c r="I331" s="179" t="e">
        <f t="shared" si="6"/>
        <v>#DIV/0!</v>
      </c>
    </row>
    <row r="332" spans="1:9" ht="12.5">
      <c r="A332" s="9"/>
      <c r="B332" s="9"/>
      <c r="C332" s="9"/>
      <c r="D332" s="9"/>
      <c r="E332" s="9"/>
      <c r="F332" s="9"/>
      <c r="G332" s="179" t="e">
        <f t="shared" si="5"/>
        <v>#DIV/0!</v>
      </c>
      <c r="H332" s="135" t="e">
        <f t="shared" si="7"/>
        <v>#DIV/0!</v>
      </c>
      <c r="I332" s="179" t="e">
        <f t="shared" si="6"/>
        <v>#DIV/0!</v>
      </c>
    </row>
    <row r="333" spans="1:9" ht="12.5">
      <c r="A333" s="9"/>
      <c r="B333" s="9"/>
      <c r="C333" s="9"/>
      <c r="D333" s="9"/>
      <c r="E333" s="9"/>
      <c r="F333" s="9"/>
      <c r="G333" s="179" t="e">
        <f t="shared" si="5"/>
        <v>#DIV/0!</v>
      </c>
      <c r="H333" s="135" t="e">
        <f t="shared" si="7"/>
        <v>#DIV/0!</v>
      </c>
      <c r="I333" s="179" t="e">
        <f t="shared" si="6"/>
        <v>#DIV/0!</v>
      </c>
    </row>
    <row r="334" spans="1:9" ht="12.5">
      <c r="A334" s="9"/>
      <c r="B334" s="9"/>
      <c r="C334" s="9"/>
      <c r="D334" s="9"/>
      <c r="E334" s="9"/>
      <c r="F334" s="9"/>
      <c r="G334" s="179" t="e">
        <f t="shared" si="5"/>
        <v>#DIV/0!</v>
      </c>
      <c r="H334" s="135" t="e">
        <f t="shared" si="7"/>
        <v>#DIV/0!</v>
      </c>
      <c r="I334" s="179" t="e">
        <f t="shared" si="6"/>
        <v>#DIV/0!</v>
      </c>
    </row>
    <row r="335" spans="1:9" ht="12.5">
      <c r="A335" s="9"/>
      <c r="B335" s="9"/>
      <c r="C335" s="9"/>
      <c r="D335" s="9"/>
      <c r="E335" s="9"/>
      <c r="F335" s="9"/>
      <c r="G335" s="179" t="e">
        <f t="shared" si="5"/>
        <v>#DIV/0!</v>
      </c>
      <c r="H335" s="135" t="e">
        <f t="shared" si="7"/>
        <v>#DIV/0!</v>
      </c>
      <c r="I335" s="179" t="e">
        <f t="shared" si="6"/>
        <v>#DIV/0!</v>
      </c>
    </row>
    <row r="336" spans="1:9" ht="12.5">
      <c r="A336" s="9"/>
      <c r="B336" s="9"/>
      <c r="C336" s="9"/>
      <c r="D336" s="9"/>
      <c r="E336" s="9"/>
      <c r="F336" s="9"/>
      <c r="G336" s="179" t="e">
        <f t="shared" si="5"/>
        <v>#DIV/0!</v>
      </c>
      <c r="H336" s="135" t="e">
        <f t="shared" si="7"/>
        <v>#DIV/0!</v>
      </c>
      <c r="I336" s="179" t="e">
        <f t="shared" si="6"/>
        <v>#DIV/0!</v>
      </c>
    </row>
    <row r="337" spans="1:9" ht="12.5">
      <c r="A337" s="9"/>
      <c r="B337" s="9"/>
      <c r="C337" s="9"/>
      <c r="D337" s="9"/>
      <c r="E337" s="9"/>
      <c r="F337" s="9"/>
      <c r="G337" s="179" t="e">
        <f t="shared" si="5"/>
        <v>#DIV/0!</v>
      </c>
      <c r="H337" s="135" t="e">
        <f t="shared" si="7"/>
        <v>#DIV/0!</v>
      </c>
      <c r="I337" s="179" t="e">
        <f t="shared" si="6"/>
        <v>#DIV/0!</v>
      </c>
    </row>
    <row r="338" spans="1:9" ht="12.5">
      <c r="A338" s="9"/>
      <c r="B338" s="9"/>
      <c r="C338" s="9"/>
      <c r="D338" s="9"/>
      <c r="E338" s="9"/>
      <c r="F338" s="9"/>
      <c r="G338" s="179" t="e">
        <f t="shared" si="5"/>
        <v>#DIV/0!</v>
      </c>
      <c r="H338" s="135" t="e">
        <f t="shared" si="7"/>
        <v>#DIV/0!</v>
      </c>
      <c r="I338" s="179" t="e">
        <f t="shared" si="6"/>
        <v>#DIV/0!</v>
      </c>
    </row>
    <row r="339" spans="1:9" ht="12.5">
      <c r="A339" s="9"/>
      <c r="B339" s="9"/>
      <c r="C339" s="9"/>
      <c r="D339" s="9"/>
      <c r="E339" s="9"/>
      <c r="F339" s="9"/>
      <c r="G339" s="179" t="e">
        <f t="shared" si="5"/>
        <v>#DIV/0!</v>
      </c>
      <c r="H339" s="135" t="e">
        <f t="shared" si="7"/>
        <v>#DIV/0!</v>
      </c>
      <c r="I339" s="179" t="e">
        <f t="shared" si="6"/>
        <v>#DIV/0!</v>
      </c>
    </row>
    <row r="340" spans="1:9" ht="12.5">
      <c r="A340" s="9"/>
      <c r="B340" s="9"/>
      <c r="C340" s="9"/>
      <c r="D340" s="9"/>
      <c r="E340" s="9"/>
      <c r="F340" s="9"/>
      <c r="G340" s="179" t="e">
        <f t="shared" si="5"/>
        <v>#DIV/0!</v>
      </c>
      <c r="H340" s="135" t="e">
        <f t="shared" si="7"/>
        <v>#DIV/0!</v>
      </c>
      <c r="I340" s="179" t="e">
        <f t="shared" si="6"/>
        <v>#DIV/0!</v>
      </c>
    </row>
    <row r="341" spans="1:9" ht="12.5">
      <c r="A341" s="9"/>
      <c r="B341" s="9"/>
      <c r="C341" s="9"/>
      <c r="D341" s="9"/>
      <c r="E341" s="9"/>
      <c r="F341" s="9"/>
      <c r="G341" s="179" t="e">
        <f t="shared" si="5"/>
        <v>#DIV/0!</v>
      </c>
      <c r="H341" s="135" t="e">
        <f t="shared" si="7"/>
        <v>#DIV/0!</v>
      </c>
      <c r="I341" s="179" t="e">
        <f t="shared" si="6"/>
        <v>#DIV/0!</v>
      </c>
    </row>
    <row r="342" spans="1:9" ht="12.5">
      <c r="A342" s="9"/>
      <c r="B342" s="9"/>
      <c r="C342" s="9"/>
      <c r="D342" s="9"/>
      <c r="E342" s="9"/>
      <c r="F342" s="9"/>
      <c r="G342" s="179" t="e">
        <f t="shared" si="5"/>
        <v>#DIV/0!</v>
      </c>
      <c r="H342" s="135" t="e">
        <f t="shared" si="7"/>
        <v>#DIV/0!</v>
      </c>
      <c r="I342" s="179" t="e">
        <f t="shared" si="6"/>
        <v>#DIV/0!</v>
      </c>
    </row>
    <row r="343" spans="1:9" ht="12.5">
      <c r="A343" s="9"/>
      <c r="B343" s="9"/>
      <c r="C343" s="9"/>
      <c r="D343" s="9"/>
      <c r="E343" s="9"/>
      <c r="F343" s="9"/>
      <c r="G343" s="179" t="e">
        <f t="shared" si="5"/>
        <v>#DIV/0!</v>
      </c>
      <c r="H343" s="135" t="e">
        <f t="shared" si="7"/>
        <v>#DIV/0!</v>
      </c>
      <c r="I343" s="179" t="e">
        <f t="shared" si="6"/>
        <v>#DIV/0!</v>
      </c>
    </row>
    <row r="344" spans="1:9" ht="12.5">
      <c r="A344" s="9"/>
      <c r="B344" s="9"/>
      <c r="C344" s="9"/>
      <c r="D344" s="9"/>
      <c r="E344" s="9"/>
      <c r="F344" s="9"/>
      <c r="G344" s="179" t="e">
        <f t="shared" si="5"/>
        <v>#DIV/0!</v>
      </c>
      <c r="H344" s="135" t="e">
        <f t="shared" si="7"/>
        <v>#DIV/0!</v>
      </c>
      <c r="I344" s="179" t="e">
        <f t="shared" si="6"/>
        <v>#DIV/0!</v>
      </c>
    </row>
    <row r="345" spans="1:9" ht="12.5">
      <c r="A345" s="9"/>
      <c r="B345" s="9"/>
      <c r="C345" s="9"/>
      <c r="D345" s="9"/>
      <c r="E345" s="9"/>
      <c r="F345" s="9"/>
      <c r="G345" s="179" t="e">
        <f t="shared" si="5"/>
        <v>#DIV/0!</v>
      </c>
      <c r="H345" s="135" t="e">
        <f t="shared" si="7"/>
        <v>#DIV/0!</v>
      </c>
      <c r="I345" s="179" t="e">
        <f t="shared" si="6"/>
        <v>#DIV/0!</v>
      </c>
    </row>
    <row r="346" spans="1:9" ht="12.5">
      <c r="A346" s="9"/>
      <c r="B346" s="9"/>
      <c r="C346" s="9"/>
      <c r="D346" s="9"/>
      <c r="E346" s="9"/>
      <c r="F346" s="9"/>
      <c r="G346" s="179" t="e">
        <f t="shared" si="5"/>
        <v>#DIV/0!</v>
      </c>
      <c r="H346" s="135" t="e">
        <f t="shared" si="7"/>
        <v>#DIV/0!</v>
      </c>
      <c r="I346" s="179" t="e">
        <f t="shared" si="6"/>
        <v>#DIV/0!</v>
      </c>
    </row>
    <row r="347" spans="1:9" ht="12.5">
      <c r="A347" s="9"/>
      <c r="B347" s="9"/>
      <c r="C347" s="9"/>
      <c r="D347" s="9"/>
      <c r="E347" s="9"/>
      <c r="F347" s="9"/>
      <c r="G347" s="179" t="e">
        <f t="shared" si="5"/>
        <v>#DIV/0!</v>
      </c>
      <c r="H347" s="135" t="e">
        <f t="shared" si="7"/>
        <v>#DIV/0!</v>
      </c>
      <c r="I347" s="179" t="e">
        <f t="shared" si="6"/>
        <v>#DIV/0!</v>
      </c>
    </row>
    <row r="348" spans="1:9" ht="12.5">
      <c r="A348" s="9"/>
      <c r="B348" s="9"/>
      <c r="C348" s="9"/>
      <c r="D348" s="9"/>
      <c r="E348" s="9"/>
      <c r="F348" s="9"/>
      <c r="G348" s="179" t="e">
        <f t="shared" si="5"/>
        <v>#DIV/0!</v>
      </c>
      <c r="H348" s="135" t="e">
        <f t="shared" si="7"/>
        <v>#DIV/0!</v>
      </c>
      <c r="I348" s="179" t="e">
        <f t="shared" si="6"/>
        <v>#DIV/0!</v>
      </c>
    </row>
    <row r="349" spans="1:9" ht="12.5">
      <c r="A349" s="9"/>
      <c r="B349" s="9"/>
      <c r="C349" s="9"/>
      <c r="D349" s="9"/>
      <c r="E349" s="9"/>
      <c r="F349" s="9"/>
      <c r="G349" s="179" t="e">
        <f t="shared" si="5"/>
        <v>#DIV/0!</v>
      </c>
      <c r="H349" s="135" t="e">
        <f t="shared" si="7"/>
        <v>#DIV/0!</v>
      </c>
      <c r="I349" s="179" t="e">
        <f t="shared" si="6"/>
        <v>#DIV/0!</v>
      </c>
    </row>
    <row r="350" spans="1:9" ht="12.5">
      <c r="A350" s="9"/>
      <c r="B350" s="9"/>
      <c r="C350" s="9"/>
      <c r="D350" s="9"/>
      <c r="E350" s="9"/>
      <c r="F350" s="9"/>
      <c r="G350" s="179" t="e">
        <f t="shared" si="5"/>
        <v>#DIV/0!</v>
      </c>
      <c r="H350" s="135" t="e">
        <f t="shared" si="7"/>
        <v>#DIV/0!</v>
      </c>
      <c r="I350" s="179" t="e">
        <f t="shared" si="6"/>
        <v>#DIV/0!</v>
      </c>
    </row>
    <row r="351" spans="1:9" ht="12.5">
      <c r="A351" s="9"/>
      <c r="B351" s="9"/>
      <c r="C351" s="9"/>
      <c r="D351" s="9"/>
      <c r="E351" s="9"/>
      <c r="F351" s="9"/>
      <c r="G351" s="179" t="e">
        <f t="shared" si="5"/>
        <v>#DIV/0!</v>
      </c>
      <c r="H351" s="135" t="e">
        <f t="shared" si="7"/>
        <v>#DIV/0!</v>
      </c>
      <c r="I351" s="179" t="e">
        <f t="shared" si="6"/>
        <v>#DIV/0!</v>
      </c>
    </row>
    <row r="352" spans="1:9" ht="12.5">
      <c r="A352" s="9"/>
      <c r="B352" s="9"/>
      <c r="C352" s="9"/>
      <c r="D352" s="9"/>
      <c r="E352" s="9"/>
      <c r="F352" s="9"/>
      <c r="G352" s="179" t="e">
        <f t="shared" si="5"/>
        <v>#DIV/0!</v>
      </c>
      <c r="H352" s="135" t="e">
        <f t="shared" si="7"/>
        <v>#DIV/0!</v>
      </c>
      <c r="I352" s="179" t="e">
        <f t="shared" si="6"/>
        <v>#DIV/0!</v>
      </c>
    </row>
    <row r="353" spans="1:9" ht="12.5">
      <c r="A353" s="9"/>
      <c r="B353" s="9"/>
      <c r="C353" s="9"/>
      <c r="D353" s="9"/>
      <c r="E353" s="9"/>
      <c r="F353" s="9"/>
      <c r="G353" s="179" t="e">
        <f t="shared" si="5"/>
        <v>#DIV/0!</v>
      </c>
      <c r="H353" s="135" t="e">
        <f t="shared" si="7"/>
        <v>#DIV/0!</v>
      </c>
      <c r="I353" s="179" t="e">
        <f t="shared" si="6"/>
        <v>#DIV/0!</v>
      </c>
    </row>
    <row r="354" spans="1:9" ht="12.5">
      <c r="A354" s="9"/>
      <c r="B354" s="9"/>
      <c r="C354" s="9"/>
      <c r="D354" s="9"/>
      <c r="E354" s="9"/>
      <c r="F354" s="9"/>
      <c r="G354" s="179" t="e">
        <f t="shared" si="5"/>
        <v>#DIV/0!</v>
      </c>
      <c r="H354" s="135" t="e">
        <f t="shared" si="7"/>
        <v>#DIV/0!</v>
      </c>
      <c r="I354" s="179" t="e">
        <f t="shared" si="6"/>
        <v>#DIV/0!</v>
      </c>
    </row>
    <row r="355" spans="1:9" ht="12.5">
      <c r="A355" s="9"/>
      <c r="B355" s="9"/>
      <c r="C355" s="9"/>
      <c r="D355" s="9"/>
      <c r="E355" s="9"/>
      <c r="F355" s="9"/>
      <c r="G355" s="179" t="e">
        <f t="shared" si="5"/>
        <v>#DIV/0!</v>
      </c>
      <c r="H355" s="135" t="e">
        <f t="shared" si="7"/>
        <v>#DIV/0!</v>
      </c>
      <c r="I355" s="179" t="e">
        <f t="shared" si="6"/>
        <v>#DIV/0!</v>
      </c>
    </row>
    <row r="356" spans="1:9" ht="12.5">
      <c r="A356" s="9"/>
      <c r="B356" s="9"/>
      <c r="C356" s="9"/>
      <c r="D356" s="9"/>
      <c r="E356" s="9"/>
      <c r="F356" s="9"/>
      <c r="G356" s="179" t="e">
        <f t="shared" si="5"/>
        <v>#DIV/0!</v>
      </c>
      <c r="H356" s="135" t="e">
        <f t="shared" si="7"/>
        <v>#DIV/0!</v>
      </c>
      <c r="I356" s="179" t="e">
        <f t="shared" si="6"/>
        <v>#DIV/0!</v>
      </c>
    </row>
    <row r="357" spans="1:9" ht="12.5">
      <c r="A357" s="9"/>
      <c r="B357" s="9"/>
      <c r="C357" s="9"/>
      <c r="D357" s="9"/>
      <c r="E357" s="9"/>
      <c r="F357" s="9"/>
      <c r="G357" s="179" t="e">
        <f t="shared" si="5"/>
        <v>#DIV/0!</v>
      </c>
      <c r="H357" s="135" t="e">
        <f t="shared" si="7"/>
        <v>#DIV/0!</v>
      </c>
      <c r="I357" s="179" t="e">
        <f t="shared" si="6"/>
        <v>#DIV/0!</v>
      </c>
    </row>
    <row r="358" spans="1:9" ht="12.5">
      <c r="A358" s="9"/>
      <c r="B358" s="9"/>
      <c r="C358" s="9"/>
      <c r="D358" s="9"/>
      <c r="E358" s="9"/>
      <c r="F358" s="9"/>
      <c r="G358" s="179" t="e">
        <f t="shared" si="5"/>
        <v>#DIV/0!</v>
      </c>
      <c r="H358" s="135" t="e">
        <f t="shared" si="7"/>
        <v>#DIV/0!</v>
      </c>
      <c r="I358" s="179" t="e">
        <f t="shared" si="6"/>
        <v>#DIV/0!</v>
      </c>
    </row>
    <row r="359" spans="1:9" ht="12.5">
      <c r="A359" s="9"/>
      <c r="B359" s="9"/>
      <c r="C359" s="9"/>
      <c r="D359" s="9"/>
      <c r="E359" s="9"/>
      <c r="F359" s="9"/>
      <c r="G359" s="179" t="e">
        <f t="shared" si="5"/>
        <v>#DIV/0!</v>
      </c>
      <c r="H359" s="135" t="e">
        <f t="shared" si="7"/>
        <v>#DIV/0!</v>
      </c>
      <c r="I359" s="179" t="e">
        <f t="shared" si="6"/>
        <v>#DIV/0!</v>
      </c>
    </row>
    <row r="360" spans="1:9" ht="12.5">
      <c r="A360" s="9"/>
      <c r="B360" s="9"/>
      <c r="C360" s="9"/>
      <c r="D360" s="9"/>
      <c r="E360" s="9"/>
      <c r="F360" s="9"/>
      <c r="G360" s="179" t="e">
        <f t="shared" si="5"/>
        <v>#DIV/0!</v>
      </c>
      <c r="H360" s="135" t="e">
        <f t="shared" si="7"/>
        <v>#DIV/0!</v>
      </c>
      <c r="I360" s="179" t="e">
        <f t="shared" si="6"/>
        <v>#DIV/0!</v>
      </c>
    </row>
    <row r="361" spans="1:9" ht="12.5">
      <c r="A361" s="9"/>
      <c r="B361" s="9"/>
      <c r="C361" s="9"/>
      <c r="D361" s="9"/>
      <c r="E361" s="9"/>
      <c r="F361" s="9"/>
      <c r="G361" s="179" t="e">
        <f t="shared" si="5"/>
        <v>#DIV/0!</v>
      </c>
      <c r="H361" s="135" t="e">
        <f t="shared" si="7"/>
        <v>#DIV/0!</v>
      </c>
      <c r="I361" s="179" t="e">
        <f t="shared" si="6"/>
        <v>#DIV/0!</v>
      </c>
    </row>
    <row r="362" spans="1:9" ht="12.5">
      <c r="A362" s="9"/>
      <c r="B362" s="9"/>
      <c r="C362" s="9"/>
      <c r="D362" s="9"/>
      <c r="E362" s="9"/>
      <c r="F362" s="9"/>
      <c r="G362" s="179" t="e">
        <f t="shared" si="5"/>
        <v>#DIV/0!</v>
      </c>
      <c r="H362" s="135" t="e">
        <f t="shared" si="7"/>
        <v>#DIV/0!</v>
      </c>
      <c r="I362" s="179" t="e">
        <f t="shared" si="6"/>
        <v>#DIV/0!</v>
      </c>
    </row>
    <row r="363" spans="1:9" ht="12.5">
      <c r="A363" s="9"/>
      <c r="B363" s="9"/>
      <c r="C363" s="9"/>
      <c r="D363" s="9"/>
      <c r="E363" s="9"/>
      <c r="F363" s="9"/>
      <c r="G363" s="179" t="e">
        <f t="shared" si="5"/>
        <v>#DIV/0!</v>
      </c>
      <c r="H363" s="135" t="e">
        <f t="shared" si="7"/>
        <v>#DIV/0!</v>
      </c>
      <c r="I363" s="179" t="e">
        <f t="shared" si="6"/>
        <v>#DIV/0!</v>
      </c>
    </row>
    <row r="364" spans="1:9" ht="12.5">
      <c r="A364" s="9"/>
      <c r="B364" s="9"/>
      <c r="C364" s="9"/>
      <c r="D364" s="9"/>
      <c r="E364" s="9"/>
      <c r="F364" s="9"/>
      <c r="G364" s="179" t="e">
        <f t="shared" si="5"/>
        <v>#DIV/0!</v>
      </c>
      <c r="H364" s="135" t="e">
        <f t="shared" si="7"/>
        <v>#DIV/0!</v>
      </c>
      <c r="I364" s="179" t="e">
        <f t="shared" si="6"/>
        <v>#DIV/0!</v>
      </c>
    </row>
    <row r="365" spans="1:9" ht="12.5">
      <c r="A365" s="9"/>
      <c r="B365" s="9"/>
      <c r="C365" s="9"/>
      <c r="D365" s="9"/>
      <c r="E365" s="9"/>
      <c r="F365" s="9"/>
      <c r="G365" s="179" t="e">
        <f t="shared" si="5"/>
        <v>#DIV/0!</v>
      </c>
      <c r="H365" s="135" t="e">
        <f t="shared" si="7"/>
        <v>#DIV/0!</v>
      </c>
      <c r="I365" s="179" t="e">
        <f t="shared" si="6"/>
        <v>#DIV/0!</v>
      </c>
    </row>
    <row r="366" spans="1:9" ht="12.5">
      <c r="A366" s="9"/>
      <c r="B366" s="9"/>
      <c r="C366" s="9"/>
      <c r="D366" s="9"/>
      <c r="E366" s="9"/>
      <c r="F366" s="9"/>
      <c r="G366" s="179" t="e">
        <f t="shared" si="5"/>
        <v>#DIV/0!</v>
      </c>
      <c r="H366" s="135" t="e">
        <f t="shared" si="7"/>
        <v>#DIV/0!</v>
      </c>
      <c r="I366" s="179" t="e">
        <f t="shared" si="6"/>
        <v>#DIV/0!</v>
      </c>
    </row>
    <row r="367" spans="1:9" ht="12.5">
      <c r="A367" s="9"/>
      <c r="B367" s="9"/>
      <c r="C367" s="9"/>
      <c r="D367" s="9"/>
      <c r="E367" s="9"/>
      <c r="F367" s="9"/>
      <c r="G367" s="179" t="e">
        <f t="shared" si="5"/>
        <v>#DIV/0!</v>
      </c>
      <c r="H367" s="135" t="e">
        <f t="shared" si="7"/>
        <v>#DIV/0!</v>
      </c>
      <c r="I367" s="179" t="e">
        <f t="shared" si="6"/>
        <v>#DIV/0!</v>
      </c>
    </row>
    <row r="368" spans="1:9" ht="12.5">
      <c r="A368" s="9"/>
      <c r="B368" s="9"/>
      <c r="C368" s="9"/>
      <c r="D368" s="9"/>
      <c r="E368" s="9"/>
      <c r="F368" s="9"/>
      <c r="G368" s="179" t="e">
        <f t="shared" si="5"/>
        <v>#DIV/0!</v>
      </c>
      <c r="H368" s="135" t="e">
        <f t="shared" si="7"/>
        <v>#DIV/0!</v>
      </c>
      <c r="I368" s="179" t="e">
        <f t="shared" si="6"/>
        <v>#DIV/0!</v>
      </c>
    </row>
    <row r="369" spans="1:9" ht="12.5">
      <c r="A369" s="9"/>
      <c r="B369" s="9"/>
      <c r="C369" s="9"/>
      <c r="D369" s="9"/>
      <c r="E369" s="9"/>
      <c r="F369" s="9"/>
      <c r="G369" s="179" t="e">
        <f t="shared" si="5"/>
        <v>#DIV/0!</v>
      </c>
      <c r="H369" s="135" t="e">
        <f t="shared" si="7"/>
        <v>#DIV/0!</v>
      </c>
      <c r="I369" s="179" t="e">
        <f t="shared" si="6"/>
        <v>#DIV/0!</v>
      </c>
    </row>
    <row r="370" spans="1:9" ht="12.5">
      <c r="A370" s="9"/>
      <c r="B370" s="9"/>
      <c r="C370" s="9"/>
      <c r="D370" s="9"/>
      <c r="E370" s="9"/>
      <c r="F370" s="9"/>
      <c r="G370" s="179" t="e">
        <f t="shared" si="5"/>
        <v>#DIV/0!</v>
      </c>
      <c r="H370" s="135" t="e">
        <f t="shared" si="7"/>
        <v>#DIV/0!</v>
      </c>
      <c r="I370" s="179" t="e">
        <f t="shared" si="6"/>
        <v>#DIV/0!</v>
      </c>
    </row>
    <row r="371" spans="1:9" ht="12.5">
      <c r="A371" s="9"/>
      <c r="B371" s="9"/>
      <c r="C371" s="9"/>
      <c r="D371" s="9"/>
      <c r="E371" s="9"/>
      <c r="F371" s="9"/>
      <c r="G371" s="179" t="e">
        <f t="shared" si="5"/>
        <v>#DIV/0!</v>
      </c>
      <c r="H371" s="135" t="e">
        <f t="shared" si="7"/>
        <v>#DIV/0!</v>
      </c>
      <c r="I371" s="179" t="e">
        <f t="shared" si="6"/>
        <v>#DIV/0!</v>
      </c>
    </row>
    <row r="372" spans="1:9" ht="12.5">
      <c r="A372" s="9"/>
      <c r="B372" s="9"/>
      <c r="C372" s="9"/>
      <c r="D372" s="9"/>
      <c r="E372" s="9"/>
      <c r="F372" s="9"/>
      <c r="G372" s="179" t="e">
        <f t="shared" si="5"/>
        <v>#DIV/0!</v>
      </c>
      <c r="H372" s="135" t="e">
        <f t="shared" si="7"/>
        <v>#DIV/0!</v>
      </c>
      <c r="I372" s="179" t="e">
        <f t="shared" si="6"/>
        <v>#DIV/0!</v>
      </c>
    </row>
    <row r="373" spans="1:9" ht="12.5">
      <c r="A373" s="9"/>
      <c r="B373" s="9"/>
      <c r="C373" s="9"/>
      <c r="D373" s="9"/>
      <c r="E373" s="9"/>
      <c r="F373" s="9"/>
      <c r="G373" s="179" t="e">
        <f t="shared" si="5"/>
        <v>#DIV/0!</v>
      </c>
      <c r="H373" s="135" t="e">
        <f t="shared" si="7"/>
        <v>#DIV/0!</v>
      </c>
      <c r="I373" s="179" t="e">
        <f t="shared" si="6"/>
        <v>#DIV/0!</v>
      </c>
    </row>
    <row r="374" spans="1:9" ht="12.5">
      <c r="A374" s="9"/>
      <c r="B374" s="9"/>
      <c r="C374" s="9"/>
      <c r="D374" s="9"/>
      <c r="E374" s="9"/>
      <c r="F374" s="9"/>
      <c r="G374" s="179" t="e">
        <f t="shared" si="5"/>
        <v>#DIV/0!</v>
      </c>
      <c r="H374" s="135" t="e">
        <f t="shared" si="7"/>
        <v>#DIV/0!</v>
      </c>
      <c r="I374" s="179" t="e">
        <f t="shared" si="6"/>
        <v>#DIV/0!</v>
      </c>
    </row>
    <row r="375" spans="1:9" ht="12.5">
      <c r="A375" s="9"/>
      <c r="B375" s="9"/>
      <c r="C375" s="9"/>
      <c r="D375" s="9"/>
      <c r="E375" s="9"/>
      <c r="F375" s="9"/>
      <c r="G375" s="179" t="e">
        <f t="shared" si="5"/>
        <v>#DIV/0!</v>
      </c>
      <c r="H375" s="135" t="e">
        <f t="shared" si="7"/>
        <v>#DIV/0!</v>
      </c>
      <c r="I375" s="179" t="e">
        <f t="shared" si="6"/>
        <v>#DIV/0!</v>
      </c>
    </row>
    <row r="376" spans="1:9" ht="12.5">
      <c r="A376" s="9"/>
      <c r="B376" s="9"/>
      <c r="C376" s="9"/>
      <c r="D376" s="9"/>
      <c r="E376" s="9"/>
      <c r="F376" s="9"/>
      <c r="G376" s="179" t="e">
        <f t="shared" si="5"/>
        <v>#DIV/0!</v>
      </c>
      <c r="H376" s="135" t="e">
        <f t="shared" si="7"/>
        <v>#DIV/0!</v>
      </c>
      <c r="I376" s="179" t="e">
        <f t="shared" si="6"/>
        <v>#DIV/0!</v>
      </c>
    </row>
    <row r="377" spans="1:9" ht="12.5">
      <c r="A377" s="9"/>
      <c r="B377" s="9"/>
      <c r="C377" s="9"/>
      <c r="D377" s="9"/>
      <c r="E377" s="9"/>
      <c r="F377" s="9"/>
      <c r="G377" s="179" t="e">
        <f t="shared" si="5"/>
        <v>#DIV/0!</v>
      </c>
      <c r="H377" s="135" t="e">
        <f t="shared" si="7"/>
        <v>#DIV/0!</v>
      </c>
      <c r="I377" s="179" t="e">
        <f t="shared" si="6"/>
        <v>#DIV/0!</v>
      </c>
    </row>
    <row r="378" spans="1:9" ht="12.5">
      <c r="A378" s="9"/>
      <c r="B378" s="9"/>
      <c r="C378" s="9"/>
      <c r="D378" s="9"/>
      <c r="E378" s="9"/>
      <c r="F378" s="9"/>
      <c r="G378" s="179" t="e">
        <f t="shared" si="5"/>
        <v>#DIV/0!</v>
      </c>
      <c r="H378" s="135" t="e">
        <f t="shared" si="7"/>
        <v>#DIV/0!</v>
      </c>
      <c r="I378" s="179" t="e">
        <f t="shared" si="6"/>
        <v>#DIV/0!</v>
      </c>
    </row>
    <row r="379" spans="1:9" ht="12.5">
      <c r="A379" s="9"/>
      <c r="B379" s="9"/>
      <c r="C379" s="9"/>
      <c r="D379" s="9"/>
      <c r="E379" s="9"/>
      <c r="F379" s="9"/>
      <c r="G379" s="179" t="e">
        <f t="shared" si="5"/>
        <v>#DIV/0!</v>
      </c>
      <c r="H379" s="135" t="e">
        <f t="shared" si="7"/>
        <v>#DIV/0!</v>
      </c>
      <c r="I379" s="179" t="e">
        <f t="shared" si="6"/>
        <v>#DIV/0!</v>
      </c>
    </row>
    <row r="380" spans="1:9" ht="12.5">
      <c r="A380" s="9"/>
      <c r="B380" s="9"/>
      <c r="C380" s="9"/>
      <c r="D380" s="9"/>
      <c r="E380" s="9"/>
      <c r="F380" s="9"/>
      <c r="G380" s="179" t="e">
        <f t="shared" si="5"/>
        <v>#DIV/0!</v>
      </c>
      <c r="H380" s="135" t="e">
        <f t="shared" si="7"/>
        <v>#DIV/0!</v>
      </c>
      <c r="I380" s="179" t="e">
        <f t="shared" si="6"/>
        <v>#DIV/0!</v>
      </c>
    </row>
    <row r="381" spans="1:9" ht="12.5">
      <c r="A381" s="9"/>
      <c r="B381" s="9"/>
      <c r="C381" s="9"/>
      <c r="D381" s="9"/>
      <c r="E381" s="9"/>
      <c r="F381" s="9"/>
      <c r="G381" s="179" t="e">
        <f t="shared" si="5"/>
        <v>#DIV/0!</v>
      </c>
      <c r="H381" s="135" t="e">
        <f t="shared" si="7"/>
        <v>#DIV/0!</v>
      </c>
      <c r="I381" s="179" t="e">
        <f t="shared" si="6"/>
        <v>#DIV/0!</v>
      </c>
    </row>
    <row r="382" spans="1:9" ht="12.5">
      <c r="A382" s="9"/>
      <c r="B382" s="9"/>
      <c r="C382" s="9"/>
      <c r="D382" s="9"/>
      <c r="E382" s="9"/>
      <c r="F382" s="9"/>
      <c r="G382" s="179" t="e">
        <f t="shared" si="5"/>
        <v>#DIV/0!</v>
      </c>
      <c r="H382" s="135" t="e">
        <f t="shared" si="7"/>
        <v>#DIV/0!</v>
      </c>
      <c r="I382" s="179" t="e">
        <f t="shared" si="6"/>
        <v>#DIV/0!</v>
      </c>
    </row>
    <row r="383" spans="1:9" ht="12.5">
      <c r="A383" s="9"/>
      <c r="B383" s="9"/>
      <c r="C383" s="9"/>
      <c r="D383" s="9"/>
      <c r="E383" s="9"/>
      <c r="F383" s="9"/>
      <c r="G383" s="179" t="e">
        <f t="shared" si="5"/>
        <v>#DIV/0!</v>
      </c>
      <c r="H383" s="135" t="e">
        <f t="shared" si="7"/>
        <v>#DIV/0!</v>
      </c>
      <c r="I383" s="179" t="e">
        <f t="shared" si="6"/>
        <v>#DIV/0!</v>
      </c>
    </row>
    <row r="384" spans="1:9" ht="12.5">
      <c r="A384" s="9"/>
      <c r="B384" s="9"/>
      <c r="C384" s="9"/>
      <c r="D384" s="9"/>
      <c r="E384" s="9"/>
      <c r="F384" s="9"/>
      <c r="G384" s="179" t="e">
        <f t="shared" si="5"/>
        <v>#DIV/0!</v>
      </c>
      <c r="H384" s="135" t="e">
        <f t="shared" si="7"/>
        <v>#DIV/0!</v>
      </c>
      <c r="I384" s="179" t="e">
        <f t="shared" si="6"/>
        <v>#DIV/0!</v>
      </c>
    </row>
    <row r="385" spans="1:9" ht="12.5">
      <c r="A385" s="9"/>
      <c r="B385" s="9"/>
      <c r="C385" s="9"/>
      <c r="D385" s="9"/>
      <c r="E385" s="9"/>
      <c r="F385" s="9"/>
      <c r="G385" s="179" t="e">
        <f t="shared" si="5"/>
        <v>#DIV/0!</v>
      </c>
      <c r="H385" s="135" t="e">
        <f t="shared" si="7"/>
        <v>#DIV/0!</v>
      </c>
      <c r="I385" s="179" t="e">
        <f t="shared" si="6"/>
        <v>#DIV/0!</v>
      </c>
    </row>
    <row r="386" spans="1:9" ht="12.5">
      <c r="A386" s="9"/>
      <c r="B386" s="9"/>
      <c r="C386" s="9"/>
      <c r="D386" s="9"/>
      <c r="E386" s="9"/>
      <c r="F386" s="9"/>
      <c r="G386" s="179" t="e">
        <f t="shared" si="5"/>
        <v>#DIV/0!</v>
      </c>
      <c r="H386" s="135" t="e">
        <f t="shared" si="7"/>
        <v>#DIV/0!</v>
      </c>
      <c r="I386" s="179" t="e">
        <f t="shared" si="6"/>
        <v>#DIV/0!</v>
      </c>
    </row>
    <row r="387" spans="1:9" ht="12.5">
      <c r="A387" s="9"/>
      <c r="B387" s="9"/>
      <c r="C387" s="9"/>
      <c r="D387" s="9"/>
      <c r="E387" s="9"/>
      <c r="F387" s="9"/>
      <c r="G387" s="179" t="e">
        <f t="shared" si="5"/>
        <v>#DIV/0!</v>
      </c>
      <c r="H387" s="135" t="e">
        <f t="shared" si="7"/>
        <v>#DIV/0!</v>
      </c>
      <c r="I387" s="179" t="e">
        <f t="shared" si="6"/>
        <v>#DIV/0!</v>
      </c>
    </row>
    <row r="388" spans="1:9" ht="12.5">
      <c r="A388" s="9"/>
      <c r="B388" s="9"/>
      <c r="C388" s="9"/>
      <c r="D388" s="9"/>
      <c r="E388" s="9"/>
      <c r="F388" s="9"/>
      <c r="G388" s="179" t="e">
        <f t="shared" si="5"/>
        <v>#DIV/0!</v>
      </c>
      <c r="H388" s="135" t="e">
        <f t="shared" si="7"/>
        <v>#DIV/0!</v>
      </c>
      <c r="I388" s="179" t="e">
        <f t="shared" si="6"/>
        <v>#DIV/0!</v>
      </c>
    </row>
    <row r="389" spans="1:9" ht="12.5">
      <c r="A389" s="9"/>
      <c r="B389" s="9"/>
      <c r="C389" s="9"/>
      <c r="D389" s="9"/>
      <c r="E389" s="9"/>
      <c r="F389" s="9"/>
      <c r="G389" s="179" t="e">
        <f t="shared" si="5"/>
        <v>#DIV/0!</v>
      </c>
      <c r="H389" s="135" t="e">
        <f t="shared" si="7"/>
        <v>#DIV/0!</v>
      </c>
      <c r="I389" s="179" t="e">
        <f t="shared" si="6"/>
        <v>#DIV/0!</v>
      </c>
    </row>
    <row r="390" spans="1:9" ht="12.5">
      <c r="A390" s="9"/>
      <c r="B390" s="9"/>
      <c r="C390" s="9"/>
      <c r="D390" s="9"/>
      <c r="E390" s="9"/>
      <c r="F390" s="9"/>
      <c r="G390" s="179" t="e">
        <f t="shared" si="5"/>
        <v>#DIV/0!</v>
      </c>
      <c r="H390" s="135" t="e">
        <f t="shared" si="7"/>
        <v>#DIV/0!</v>
      </c>
      <c r="I390" s="179" t="e">
        <f t="shared" si="6"/>
        <v>#DIV/0!</v>
      </c>
    </row>
    <row r="391" spans="1:9" ht="12.5">
      <c r="A391" s="9"/>
      <c r="B391" s="9"/>
      <c r="C391" s="9"/>
      <c r="D391" s="9"/>
      <c r="E391" s="9"/>
      <c r="F391" s="9"/>
      <c r="G391" s="179" t="e">
        <f t="shared" si="5"/>
        <v>#DIV/0!</v>
      </c>
      <c r="H391" s="135" t="e">
        <f t="shared" si="7"/>
        <v>#DIV/0!</v>
      </c>
      <c r="I391" s="179" t="e">
        <f t="shared" si="6"/>
        <v>#DIV/0!</v>
      </c>
    </row>
    <row r="392" spans="1:9" ht="12.5">
      <c r="A392" s="9"/>
      <c r="B392" s="9"/>
      <c r="C392" s="9"/>
      <c r="D392" s="9"/>
      <c r="E392" s="9"/>
      <c r="F392" s="9"/>
      <c r="G392" s="179" t="e">
        <f t="shared" si="5"/>
        <v>#DIV/0!</v>
      </c>
      <c r="H392" s="135" t="e">
        <f t="shared" si="7"/>
        <v>#DIV/0!</v>
      </c>
      <c r="I392" s="179" t="e">
        <f t="shared" si="6"/>
        <v>#DIV/0!</v>
      </c>
    </row>
    <row r="393" spans="1:9" ht="12.5">
      <c r="A393" s="9"/>
      <c r="B393" s="9"/>
      <c r="C393" s="9"/>
      <c r="D393" s="9"/>
      <c r="E393" s="9"/>
      <c r="F393" s="9"/>
      <c r="G393" s="179" t="e">
        <f t="shared" si="5"/>
        <v>#DIV/0!</v>
      </c>
      <c r="H393" s="135" t="e">
        <f t="shared" si="7"/>
        <v>#DIV/0!</v>
      </c>
      <c r="I393" s="179" t="e">
        <f t="shared" si="6"/>
        <v>#DIV/0!</v>
      </c>
    </row>
    <row r="394" spans="1:9" ht="12.5">
      <c r="A394" s="9"/>
      <c r="B394" s="9"/>
      <c r="C394" s="9"/>
      <c r="D394" s="9"/>
      <c r="E394" s="9"/>
      <c r="F394" s="9"/>
      <c r="G394" s="179" t="e">
        <f t="shared" si="5"/>
        <v>#DIV/0!</v>
      </c>
      <c r="H394" s="135" t="e">
        <f t="shared" si="7"/>
        <v>#DIV/0!</v>
      </c>
      <c r="I394" s="179" t="e">
        <f t="shared" si="6"/>
        <v>#DIV/0!</v>
      </c>
    </row>
    <row r="395" spans="1:9" ht="12.5">
      <c r="A395" s="9"/>
      <c r="B395" s="9"/>
      <c r="C395" s="9"/>
      <c r="D395" s="9"/>
      <c r="E395" s="9"/>
      <c r="F395" s="9"/>
      <c r="G395" s="179" t="e">
        <f t="shared" si="5"/>
        <v>#DIV/0!</v>
      </c>
      <c r="H395" s="135" t="e">
        <f t="shared" si="7"/>
        <v>#DIV/0!</v>
      </c>
      <c r="I395" s="179" t="e">
        <f t="shared" si="6"/>
        <v>#DIV/0!</v>
      </c>
    </row>
    <row r="396" spans="1:9" ht="12.5">
      <c r="A396" s="9"/>
      <c r="B396" s="9"/>
      <c r="C396" s="9"/>
      <c r="D396" s="9"/>
      <c r="E396" s="9"/>
      <c r="F396" s="9"/>
      <c r="G396" s="179" t="e">
        <f t="shared" si="5"/>
        <v>#DIV/0!</v>
      </c>
      <c r="H396" s="135" t="e">
        <f t="shared" si="7"/>
        <v>#DIV/0!</v>
      </c>
      <c r="I396" s="179" t="e">
        <f t="shared" si="6"/>
        <v>#DIV/0!</v>
      </c>
    </row>
    <row r="397" spans="1:9" ht="12.5">
      <c r="A397" s="9"/>
      <c r="B397" s="9"/>
      <c r="C397" s="9"/>
      <c r="D397" s="9"/>
      <c r="E397" s="9"/>
      <c r="F397" s="9"/>
      <c r="G397" s="179" t="e">
        <f t="shared" si="5"/>
        <v>#DIV/0!</v>
      </c>
      <c r="H397" s="135" t="e">
        <f t="shared" si="7"/>
        <v>#DIV/0!</v>
      </c>
      <c r="I397" s="179" t="e">
        <f t="shared" si="6"/>
        <v>#DIV/0!</v>
      </c>
    </row>
    <row r="398" spans="1:9" ht="12.5">
      <c r="A398" s="9"/>
      <c r="B398" s="9"/>
      <c r="C398" s="9"/>
      <c r="D398" s="9"/>
      <c r="E398" s="9"/>
      <c r="F398" s="9"/>
      <c r="G398" s="179" t="e">
        <f t="shared" si="5"/>
        <v>#DIV/0!</v>
      </c>
      <c r="H398" s="135" t="e">
        <f t="shared" si="7"/>
        <v>#DIV/0!</v>
      </c>
      <c r="I398" s="179" t="e">
        <f t="shared" si="6"/>
        <v>#DIV/0!</v>
      </c>
    </row>
    <row r="399" spans="1:9" ht="12.5">
      <c r="A399" s="9"/>
      <c r="B399" s="9"/>
      <c r="C399" s="9"/>
      <c r="D399" s="9"/>
      <c r="E399" s="9"/>
      <c r="F399" s="9"/>
      <c r="G399" s="179" t="e">
        <f t="shared" si="5"/>
        <v>#DIV/0!</v>
      </c>
      <c r="H399" s="135" t="e">
        <f t="shared" si="7"/>
        <v>#DIV/0!</v>
      </c>
      <c r="I399" s="179" t="e">
        <f t="shared" si="6"/>
        <v>#DIV/0!</v>
      </c>
    </row>
    <row r="400" spans="1:9" ht="12.5">
      <c r="A400" s="9"/>
      <c r="B400" s="9"/>
      <c r="C400" s="9"/>
      <c r="D400" s="9"/>
      <c r="E400" s="9"/>
      <c r="F400" s="9"/>
      <c r="G400" s="179" t="e">
        <f t="shared" si="5"/>
        <v>#DIV/0!</v>
      </c>
      <c r="H400" s="135" t="e">
        <f t="shared" si="7"/>
        <v>#DIV/0!</v>
      </c>
      <c r="I400" s="179" t="e">
        <f t="shared" si="6"/>
        <v>#DIV/0!</v>
      </c>
    </row>
    <row r="401" spans="1:9" ht="12.5">
      <c r="A401" s="9"/>
      <c r="B401" s="9"/>
      <c r="C401" s="9"/>
      <c r="D401" s="9"/>
      <c r="E401" s="9"/>
      <c r="F401" s="9"/>
      <c r="G401" s="179" t="e">
        <f t="shared" si="5"/>
        <v>#DIV/0!</v>
      </c>
      <c r="H401" s="135" t="e">
        <f t="shared" si="7"/>
        <v>#DIV/0!</v>
      </c>
      <c r="I401" s="179" t="e">
        <f t="shared" si="6"/>
        <v>#DIV/0!</v>
      </c>
    </row>
    <row r="402" spans="1:9" ht="12.5">
      <c r="A402" s="9"/>
      <c r="B402" s="9"/>
      <c r="C402" s="9"/>
      <c r="D402" s="9"/>
      <c r="E402" s="9"/>
      <c r="F402" s="9"/>
      <c r="G402" s="179" t="e">
        <f t="shared" si="5"/>
        <v>#DIV/0!</v>
      </c>
      <c r="H402" s="135" t="e">
        <f t="shared" si="7"/>
        <v>#DIV/0!</v>
      </c>
      <c r="I402" s="179" t="e">
        <f t="shared" si="6"/>
        <v>#DIV/0!</v>
      </c>
    </row>
    <row r="403" spans="1:9" ht="12.5">
      <c r="A403" s="9"/>
      <c r="B403" s="9"/>
      <c r="C403" s="9"/>
      <c r="D403" s="9"/>
      <c r="E403" s="9"/>
      <c r="F403" s="9"/>
      <c r="G403" s="179" t="e">
        <f t="shared" si="5"/>
        <v>#DIV/0!</v>
      </c>
      <c r="H403" s="135" t="e">
        <f t="shared" si="7"/>
        <v>#DIV/0!</v>
      </c>
      <c r="I403" s="179" t="e">
        <f t="shared" si="6"/>
        <v>#DIV/0!</v>
      </c>
    </row>
    <row r="404" spans="1:9" ht="12.5">
      <c r="A404" s="9"/>
      <c r="B404" s="9"/>
      <c r="C404" s="9"/>
      <c r="D404" s="9"/>
      <c r="E404" s="9"/>
      <c r="F404" s="9"/>
      <c r="G404" s="179" t="e">
        <f t="shared" si="5"/>
        <v>#DIV/0!</v>
      </c>
      <c r="H404" s="135" t="e">
        <f t="shared" si="7"/>
        <v>#DIV/0!</v>
      </c>
      <c r="I404" s="179" t="e">
        <f t="shared" si="6"/>
        <v>#DIV/0!</v>
      </c>
    </row>
    <row r="405" spans="1:9" ht="12.5">
      <c r="A405" s="9"/>
      <c r="B405" s="9"/>
      <c r="C405" s="9"/>
      <c r="D405" s="9"/>
      <c r="E405" s="9"/>
      <c r="F405" s="9"/>
      <c r="G405" s="179" t="e">
        <f t="shared" si="5"/>
        <v>#DIV/0!</v>
      </c>
      <c r="H405" s="135" t="e">
        <f t="shared" si="7"/>
        <v>#DIV/0!</v>
      </c>
      <c r="I405" s="179" t="e">
        <f t="shared" si="6"/>
        <v>#DIV/0!</v>
      </c>
    </row>
    <row r="406" spans="1:9" ht="12.5">
      <c r="A406" s="9"/>
      <c r="B406" s="9"/>
      <c r="C406" s="9"/>
      <c r="D406" s="9"/>
      <c r="E406" s="9"/>
      <c r="F406" s="9"/>
      <c r="G406" s="179" t="e">
        <f t="shared" si="5"/>
        <v>#DIV/0!</v>
      </c>
      <c r="H406" s="135" t="e">
        <f t="shared" si="7"/>
        <v>#DIV/0!</v>
      </c>
      <c r="I406" s="179" t="e">
        <f t="shared" si="6"/>
        <v>#DIV/0!</v>
      </c>
    </row>
    <row r="407" spans="1:9" ht="12.5">
      <c r="A407" s="9"/>
      <c r="B407" s="9"/>
      <c r="C407" s="9"/>
      <c r="D407" s="9"/>
      <c r="E407" s="9"/>
      <c r="F407" s="9"/>
      <c r="G407" s="179" t="e">
        <f t="shared" si="5"/>
        <v>#DIV/0!</v>
      </c>
      <c r="H407" s="135" t="e">
        <f t="shared" si="7"/>
        <v>#DIV/0!</v>
      </c>
      <c r="I407" s="179" t="e">
        <f t="shared" si="6"/>
        <v>#DIV/0!</v>
      </c>
    </row>
    <row r="408" spans="1:9" ht="12.5">
      <c r="A408" s="9"/>
      <c r="B408" s="9"/>
      <c r="C408" s="9"/>
      <c r="D408" s="9"/>
      <c r="E408" s="9"/>
      <c r="F408" s="9"/>
      <c r="G408" s="179" t="e">
        <f t="shared" si="5"/>
        <v>#DIV/0!</v>
      </c>
      <c r="H408" s="135" t="e">
        <f t="shared" si="7"/>
        <v>#DIV/0!</v>
      </c>
      <c r="I408" s="179" t="e">
        <f t="shared" si="6"/>
        <v>#DIV/0!</v>
      </c>
    </row>
    <row r="409" spans="1:9" ht="12.5">
      <c r="A409" s="9"/>
      <c r="B409" s="9"/>
      <c r="C409" s="9"/>
      <c r="D409" s="9"/>
      <c r="E409" s="9"/>
      <c r="F409" s="9"/>
      <c r="G409" s="179" t="e">
        <f t="shared" si="5"/>
        <v>#DIV/0!</v>
      </c>
      <c r="H409" s="135" t="e">
        <f t="shared" si="7"/>
        <v>#DIV/0!</v>
      </c>
      <c r="I409" s="179" t="e">
        <f t="shared" si="6"/>
        <v>#DIV/0!</v>
      </c>
    </row>
    <row r="410" spans="1:9" ht="12.5">
      <c r="A410" s="9"/>
      <c r="B410" s="9"/>
      <c r="C410" s="9"/>
      <c r="D410" s="9"/>
      <c r="E410" s="9"/>
      <c r="F410" s="9"/>
      <c r="G410" s="179" t="e">
        <f t="shared" si="5"/>
        <v>#DIV/0!</v>
      </c>
      <c r="H410" s="135" t="e">
        <f t="shared" si="7"/>
        <v>#DIV/0!</v>
      </c>
      <c r="I410" s="179" t="e">
        <f t="shared" si="6"/>
        <v>#DIV/0!</v>
      </c>
    </row>
    <row r="411" spans="1:9" ht="12.5">
      <c r="A411" s="9"/>
      <c r="B411" s="9"/>
      <c r="C411" s="9"/>
      <c r="D411" s="9"/>
      <c r="E411" s="9"/>
      <c r="F411" s="9"/>
      <c r="G411" s="179" t="e">
        <f t="shared" si="5"/>
        <v>#DIV/0!</v>
      </c>
      <c r="H411" s="135" t="e">
        <f t="shared" si="7"/>
        <v>#DIV/0!</v>
      </c>
      <c r="I411" s="179" t="e">
        <f t="shared" si="6"/>
        <v>#DIV/0!</v>
      </c>
    </row>
    <row r="412" spans="1:9" ht="12.5">
      <c r="A412" s="9"/>
      <c r="B412" s="9"/>
      <c r="C412" s="9"/>
      <c r="D412" s="9"/>
      <c r="E412" s="9"/>
      <c r="F412" s="9"/>
      <c r="G412" s="179" t="e">
        <f t="shared" si="5"/>
        <v>#DIV/0!</v>
      </c>
      <c r="H412" s="135" t="e">
        <f t="shared" si="7"/>
        <v>#DIV/0!</v>
      </c>
      <c r="I412" s="179" t="e">
        <f t="shared" si="6"/>
        <v>#DIV/0!</v>
      </c>
    </row>
    <row r="413" spans="1:9" ht="12.5">
      <c r="A413" s="9"/>
      <c r="B413" s="9"/>
      <c r="C413" s="9"/>
      <c r="D413" s="9"/>
      <c r="E413" s="9"/>
      <c r="F413" s="9"/>
      <c r="G413" s="179" t="e">
        <f t="shared" si="5"/>
        <v>#DIV/0!</v>
      </c>
      <c r="H413" s="135" t="e">
        <f t="shared" si="7"/>
        <v>#DIV/0!</v>
      </c>
      <c r="I413" s="179" t="e">
        <f t="shared" si="6"/>
        <v>#DIV/0!</v>
      </c>
    </row>
    <row r="414" spans="1:9" ht="12.5">
      <c r="A414" s="9"/>
      <c r="B414" s="9"/>
      <c r="C414" s="9"/>
      <c r="D414" s="9"/>
      <c r="E414" s="9"/>
      <c r="F414" s="9"/>
      <c r="G414" s="179" t="e">
        <f t="shared" si="5"/>
        <v>#DIV/0!</v>
      </c>
      <c r="H414" s="135" t="e">
        <f t="shared" si="7"/>
        <v>#DIV/0!</v>
      </c>
      <c r="I414" s="179" t="e">
        <f t="shared" si="6"/>
        <v>#DIV/0!</v>
      </c>
    </row>
    <row r="415" spans="1:9" ht="12.5">
      <c r="A415" s="9"/>
      <c r="B415" s="9"/>
      <c r="C415" s="9"/>
      <c r="D415" s="9"/>
      <c r="E415" s="9"/>
      <c r="F415" s="9"/>
      <c r="G415" s="179" t="e">
        <f t="shared" si="5"/>
        <v>#DIV/0!</v>
      </c>
      <c r="H415" s="135" t="e">
        <f t="shared" si="7"/>
        <v>#DIV/0!</v>
      </c>
      <c r="I415" s="179" t="e">
        <f t="shared" si="6"/>
        <v>#DIV/0!</v>
      </c>
    </row>
    <row r="416" spans="1:9" ht="12.5">
      <c r="A416" s="9"/>
      <c r="B416" s="9"/>
      <c r="C416" s="9"/>
      <c r="D416" s="9"/>
      <c r="E416" s="9"/>
      <c r="F416" s="9"/>
      <c r="G416" s="179" t="e">
        <f t="shared" si="5"/>
        <v>#DIV/0!</v>
      </c>
      <c r="H416" s="135" t="e">
        <f t="shared" si="7"/>
        <v>#DIV/0!</v>
      </c>
      <c r="I416" s="179" t="e">
        <f t="shared" si="6"/>
        <v>#DIV/0!</v>
      </c>
    </row>
    <row r="417" spans="1:9" ht="12.5">
      <c r="A417" s="9"/>
      <c r="B417" s="9"/>
      <c r="C417" s="9"/>
      <c r="D417" s="9"/>
      <c r="E417" s="9"/>
      <c r="F417" s="9"/>
      <c r="G417" s="179" t="e">
        <f t="shared" si="5"/>
        <v>#DIV/0!</v>
      </c>
      <c r="H417" s="135" t="e">
        <f t="shared" si="7"/>
        <v>#DIV/0!</v>
      </c>
      <c r="I417" s="179" t="e">
        <f t="shared" si="6"/>
        <v>#DIV/0!</v>
      </c>
    </row>
    <row r="418" spans="1:9" ht="12.5">
      <c r="A418" s="9"/>
      <c r="B418" s="9"/>
      <c r="C418" s="9"/>
      <c r="D418" s="9"/>
      <c r="E418" s="9"/>
      <c r="F418" s="9"/>
      <c r="G418" s="179" t="e">
        <f t="shared" si="5"/>
        <v>#DIV/0!</v>
      </c>
      <c r="H418" s="135" t="e">
        <f t="shared" si="7"/>
        <v>#DIV/0!</v>
      </c>
      <c r="I418" s="179" t="e">
        <f t="shared" si="6"/>
        <v>#DIV/0!</v>
      </c>
    </row>
    <row r="419" spans="1:9" ht="12.5">
      <c r="A419" s="9"/>
      <c r="B419" s="9"/>
      <c r="C419" s="9"/>
      <c r="D419" s="9"/>
      <c r="E419" s="9"/>
      <c r="F419" s="9"/>
      <c r="G419" s="179" t="e">
        <f t="shared" si="5"/>
        <v>#DIV/0!</v>
      </c>
      <c r="H419" s="135" t="e">
        <f t="shared" si="7"/>
        <v>#DIV/0!</v>
      </c>
      <c r="I419" s="179" t="e">
        <f t="shared" si="6"/>
        <v>#DIV/0!</v>
      </c>
    </row>
    <row r="420" spans="1:9" ht="12.5">
      <c r="A420" s="9"/>
      <c r="B420" s="9"/>
      <c r="C420" s="9"/>
      <c r="D420" s="9"/>
      <c r="E420" s="9"/>
      <c r="F420" s="9"/>
      <c r="G420" s="179" t="e">
        <f t="shared" si="5"/>
        <v>#DIV/0!</v>
      </c>
      <c r="H420" s="135" t="e">
        <f t="shared" si="7"/>
        <v>#DIV/0!</v>
      </c>
      <c r="I420" s="179" t="e">
        <f t="shared" si="6"/>
        <v>#DIV/0!</v>
      </c>
    </row>
    <row r="421" spans="1:9" ht="12.5">
      <c r="A421" s="9"/>
      <c r="B421" s="9"/>
      <c r="C421" s="9"/>
      <c r="D421" s="9"/>
      <c r="E421" s="9"/>
      <c r="F421" s="9"/>
      <c r="G421" s="179" t="e">
        <f t="shared" si="5"/>
        <v>#DIV/0!</v>
      </c>
      <c r="H421" s="135" t="e">
        <f t="shared" si="7"/>
        <v>#DIV/0!</v>
      </c>
      <c r="I421" s="179" t="e">
        <f t="shared" si="6"/>
        <v>#DIV/0!</v>
      </c>
    </row>
    <row r="422" spans="1:9" ht="12.5">
      <c r="A422" s="9"/>
      <c r="B422" s="9"/>
      <c r="C422" s="9"/>
      <c r="D422" s="9"/>
      <c r="E422" s="9"/>
      <c r="F422" s="9"/>
      <c r="G422" s="179" t="e">
        <f t="shared" si="5"/>
        <v>#DIV/0!</v>
      </c>
      <c r="H422" s="135" t="e">
        <f t="shared" si="7"/>
        <v>#DIV/0!</v>
      </c>
      <c r="I422" s="179" t="e">
        <f t="shared" si="6"/>
        <v>#DIV/0!</v>
      </c>
    </row>
    <row r="423" spans="1:9" ht="12.5">
      <c r="A423" s="9"/>
      <c r="B423" s="9"/>
      <c r="C423" s="9"/>
      <c r="D423" s="9"/>
      <c r="E423" s="9"/>
      <c r="F423" s="9"/>
      <c r="G423" s="179" t="e">
        <f t="shared" si="5"/>
        <v>#DIV/0!</v>
      </c>
      <c r="H423" s="135" t="e">
        <f t="shared" si="7"/>
        <v>#DIV/0!</v>
      </c>
      <c r="I423" s="179" t="e">
        <f t="shared" si="6"/>
        <v>#DIV/0!</v>
      </c>
    </row>
    <row r="424" spans="1:9" ht="12.5">
      <c r="A424" s="9"/>
      <c r="B424" s="9"/>
      <c r="C424" s="9"/>
      <c r="D424" s="9"/>
      <c r="E424" s="9"/>
      <c r="F424" s="9"/>
      <c r="G424" s="179" t="e">
        <f t="shared" si="5"/>
        <v>#DIV/0!</v>
      </c>
      <c r="H424" s="135" t="e">
        <f t="shared" si="7"/>
        <v>#DIV/0!</v>
      </c>
      <c r="I424" s="179" t="e">
        <f t="shared" si="6"/>
        <v>#DIV/0!</v>
      </c>
    </row>
    <row r="425" spans="1:9" ht="12.5">
      <c r="A425" s="9"/>
      <c r="B425" s="9"/>
      <c r="C425" s="9"/>
      <c r="D425" s="9"/>
      <c r="E425" s="9"/>
      <c r="F425" s="9"/>
      <c r="G425" s="179" t="e">
        <f t="shared" si="5"/>
        <v>#DIV/0!</v>
      </c>
      <c r="H425" s="135" t="e">
        <f t="shared" si="7"/>
        <v>#DIV/0!</v>
      </c>
      <c r="I425" s="179" t="e">
        <f t="shared" si="6"/>
        <v>#DIV/0!</v>
      </c>
    </row>
    <row r="426" spans="1:9" ht="12.5">
      <c r="A426" s="9"/>
      <c r="B426" s="9"/>
      <c r="C426" s="9"/>
      <c r="D426" s="9"/>
      <c r="E426" s="9"/>
      <c r="F426" s="9"/>
      <c r="G426" s="179" t="e">
        <f t="shared" si="5"/>
        <v>#DIV/0!</v>
      </c>
      <c r="H426" s="135" t="e">
        <f t="shared" si="7"/>
        <v>#DIV/0!</v>
      </c>
      <c r="I426" s="179" t="e">
        <f t="shared" si="6"/>
        <v>#DIV/0!</v>
      </c>
    </row>
    <row r="427" spans="1:9" ht="12.5">
      <c r="A427" s="9"/>
      <c r="B427" s="9"/>
      <c r="C427" s="9"/>
      <c r="D427" s="9"/>
      <c r="E427" s="9"/>
      <c r="F427" s="9"/>
      <c r="G427" s="179" t="e">
        <f t="shared" si="5"/>
        <v>#DIV/0!</v>
      </c>
      <c r="H427" s="135" t="e">
        <f t="shared" si="7"/>
        <v>#DIV/0!</v>
      </c>
      <c r="I427" s="179" t="e">
        <f t="shared" si="6"/>
        <v>#DIV/0!</v>
      </c>
    </row>
    <row r="428" spans="1:9" ht="12.5">
      <c r="A428" s="9"/>
      <c r="B428" s="9"/>
      <c r="C428" s="9"/>
      <c r="D428" s="9"/>
      <c r="E428" s="9"/>
      <c r="F428" s="9"/>
      <c r="G428" s="179" t="e">
        <f t="shared" si="5"/>
        <v>#DIV/0!</v>
      </c>
      <c r="H428" s="135" t="e">
        <f t="shared" si="7"/>
        <v>#DIV/0!</v>
      </c>
      <c r="I428" s="179" t="e">
        <f t="shared" si="6"/>
        <v>#DIV/0!</v>
      </c>
    </row>
    <row r="429" spans="1:9" ht="12.5">
      <c r="A429" s="9"/>
      <c r="B429" s="9"/>
      <c r="C429" s="9"/>
      <c r="D429" s="9"/>
      <c r="E429" s="9"/>
      <c r="F429" s="9"/>
      <c r="G429" s="179" t="e">
        <f t="shared" si="5"/>
        <v>#DIV/0!</v>
      </c>
      <c r="H429" s="135" t="e">
        <f t="shared" si="7"/>
        <v>#DIV/0!</v>
      </c>
      <c r="I429" s="179" t="e">
        <f t="shared" si="6"/>
        <v>#DIV/0!</v>
      </c>
    </row>
    <row r="430" spans="1:9" ht="12.5">
      <c r="A430" s="9"/>
      <c r="B430" s="9"/>
      <c r="C430" s="9"/>
      <c r="D430" s="9"/>
      <c r="E430" s="9"/>
      <c r="F430" s="9"/>
      <c r="G430" s="179" t="e">
        <f t="shared" si="5"/>
        <v>#DIV/0!</v>
      </c>
      <c r="H430" s="135" t="e">
        <f t="shared" si="7"/>
        <v>#DIV/0!</v>
      </c>
      <c r="I430" s="179" t="e">
        <f t="shared" si="6"/>
        <v>#DIV/0!</v>
      </c>
    </row>
    <row r="431" spans="1:9" ht="12.5">
      <c r="A431" s="9"/>
      <c r="B431" s="9"/>
      <c r="C431" s="9"/>
      <c r="D431" s="9"/>
      <c r="E431" s="9"/>
      <c r="F431" s="9"/>
      <c r="G431" s="179" t="e">
        <f t="shared" si="5"/>
        <v>#DIV/0!</v>
      </c>
      <c r="H431" s="135" t="e">
        <f t="shared" si="7"/>
        <v>#DIV/0!</v>
      </c>
      <c r="I431" s="179" t="e">
        <f t="shared" si="6"/>
        <v>#DIV/0!</v>
      </c>
    </row>
    <row r="432" spans="1:9" ht="12.5">
      <c r="A432" s="9"/>
      <c r="B432" s="9"/>
      <c r="C432" s="9"/>
      <c r="D432" s="9"/>
      <c r="E432" s="9"/>
      <c r="F432" s="9"/>
      <c r="G432" s="179" t="e">
        <f t="shared" si="5"/>
        <v>#DIV/0!</v>
      </c>
      <c r="H432" s="135" t="e">
        <f t="shared" si="7"/>
        <v>#DIV/0!</v>
      </c>
      <c r="I432" s="179" t="e">
        <f t="shared" si="6"/>
        <v>#DIV/0!</v>
      </c>
    </row>
    <row r="433" spans="1:9" ht="12.5">
      <c r="A433" s="9"/>
      <c r="B433" s="9"/>
      <c r="C433" s="9"/>
      <c r="D433" s="9"/>
      <c r="E433" s="9"/>
      <c r="F433" s="9"/>
      <c r="G433" s="179" t="e">
        <f t="shared" si="5"/>
        <v>#DIV/0!</v>
      </c>
      <c r="H433" s="135" t="e">
        <f t="shared" si="7"/>
        <v>#DIV/0!</v>
      </c>
      <c r="I433" s="179" t="e">
        <f t="shared" si="6"/>
        <v>#DIV/0!</v>
      </c>
    </row>
    <row r="434" spans="1:9" ht="12.5">
      <c r="A434" s="9"/>
      <c r="B434" s="9"/>
      <c r="C434" s="9"/>
      <c r="D434" s="9"/>
      <c r="E434" s="9"/>
      <c r="F434" s="9"/>
      <c r="G434" s="179" t="e">
        <f t="shared" si="5"/>
        <v>#DIV/0!</v>
      </c>
      <c r="H434" s="135" t="e">
        <f t="shared" si="7"/>
        <v>#DIV/0!</v>
      </c>
      <c r="I434" s="179" t="e">
        <f t="shared" si="6"/>
        <v>#DIV/0!</v>
      </c>
    </row>
    <row r="435" spans="1:9" ht="12.5">
      <c r="A435" s="9"/>
      <c r="B435" s="9"/>
      <c r="C435" s="9"/>
      <c r="D435" s="9"/>
      <c r="E435" s="9"/>
      <c r="F435" s="9"/>
      <c r="G435" s="179" t="e">
        <f t="shared" si="5"/>
        <v>#DIV/0!</v>
      </c>
      <c r="H435" s="135" t="e">
        <f t="shared" si="7"/>
        <v>#DIV/0!</v>
      </c>
      <c r="I435" s="179" t="e">
        <f t="shared" si="6"/>
        <v>#DIV/0!</v>
      </c>
    </row>
    <row r="436" spans="1:9" ht="12.5">
      <c r="A436" s="9"/>
      <c r="B436" s="9"/>
      <c r="C436" s="9"/>
      <c r="D436" s="9"/>
      <c r="E436" s="9"/>
      <c r="F436" s="9"/>
      <c r="G436" s="179" t="e">
        <f t="shared" si="5"/>
        <v>#DIV/0!</v>
      </c>
      <c r="H436" s="135" t="e">
        <f t="shared" si="7"/>
        <v>#DIV/0!</v>
      </c>
      <c r="I436" s="179" t="e">
        <f t="shared" si="6"/>
        <v>#DIV/0!</v>
      </c>
    </row>
    <row r="437" spans="1:9" ht="12.5">
      <c r="A437" s="9"/>
      <c r="B437" s="9"/>
      <c r="C437" s="9"/>
      <c r="D437" s="9"/>
      <c r="E437" s="9"/>
      <c r="F437" s="9"/>
      <c r="G437" s="179" t="e">
        <f t="shared" si="5"/>
        <v>#DIV/0!</v>
      </c>
      <c r="H437" s="135" t="e">
        <f t="shared" si="7"/>
        <v>#DIV/0!</v>
      </c>
      <c r="I437" s="179" t="e">
        <f t="shared" si="6"/>
        <v>#DIV/0!</v>
      </c>
    </row>
    <row r="438" spans="1:9" ht="12.5">
      <c r="A438" s="9"/>
      <c r="B438" s="9"/>
      <c r="C438" s="9"/>
      <c r="D438" s="9"/>
      <c r="E438" s="9"/>
      <c r="F438" s="9"/>
      <c r="G438" s="179" t="e">
        <f t="shared" si="5"/>
        <v>#DIV/0!</v>
      </c>
      <c r="H438" s="135" t="e">
        <f t="shared" si="7"/>
        <v>#DIV/0!</v>
      </c>
      <c r="I438" s="179" t="e">
        <f t="shared" si="6"/>
        <v>#DIV/0!</v>
      </c>
    </row>
    <row r="439" spans="1:9" ht="12.5">
      <c r="A439" s="9"/>
      <c r="B439" s="9"/>
      <c r="C439" s="9"/>
      <c r="D439" s="9"/>
      <c r="E439" s="9"/>
      <c r="F439" s="9"/>
      <c r="G439" s="179" t="e">
        <f t="shared" si="5"/>
        <v>#DIV/0!</v>
      </c>
      <c r="H439" s="135" t="e">
        <f t="shared" si="7"/>
        <v>#DIV/0!</v>
      </c>
      <c r="I439" s="179" t="e">
        <f t="shared" si="6"/>
        <v>#DIV/0!</v>
      </c>
    </row>
    <row r="440" spans="1:9" ht="12.5">
      <c r="A440" s="9"/>
      <c r="B440" s="9"/>
      <c r="C440" s="9"/>
      <c r="D440" s="9"/>
      <c r="E440" s="9"/>
      <c r="F440" s="9"/>
      <c r="G440" s="179" t="e">
        <f t="shared" si="5"/>
        <v>#DIV/0!</v>
      </c>
      <c r="H440" s="135" t="e">
        <f t="shared" si="7"/>
        <v>#DIV/0!</v>
      </c>
      <c r="I440" s="179" t="e">
        <f t="shared" si="6"/>
        <v>#DIV/0!</v>
      </c>
    </row>
    <row r="441" spans="1:9" ht="12.5">
      <c r="A441" s="9"/>
      <c r="B441" s="9"/>
      <c r="C441" s="9"/>
      <c r="D441" s="9"/>
      <c r="E441" s="9"/>
      <c r="F441" s="9"/>
      <c r="G441" s="179" t="e">
        <f t="shared" si="5"/>
        <v>#DIV/0!</v>
      </c>
      <c r="H441" s="135" t="e">
        <f t="shared" si="7"/>
        <v>#DIV/0!</v>
      </c>
      <c r="I441" s="179" t="e">
        <f t="shared" si="6"/>
        <v>#DIV/0!</v>
      </c>
    </row>
    <row r="442" spans="1:9" ht="12.5">
      <c r="A442" s="9"/>
      <c r="B442" s="9"/>
      <c r="C442" s="9"/>
      <c r="D442" s="9"/>
      <c r="E442" s="9"/>
      <c r="F442" s="9"/>
      <c r="G442" s="179" t="e">
        <f t="shared" si="5"/>
        <v>#DIV/0!</v>
      </c>
      <c r="H442" s="135" t="e">
        <f t="shared" si="7"/>
        <v>#DIV/0!</v>
      </c>
      <c r="I442" s="179" t="e">
        <f t="shared" si="6"/>
        <v>#DIV/0!</v>
      </c>
    </row>
    <row r="443" spans="1:9" ht="12.5">
      <c r="A443" s="9"/>
      <c r="B443" s="9"/>
      <c r="C443" s="9"/>
      <c r="D443" s="9"/>
      <c r="E443" s="9"/>
      <c r="F443" s="9"/>
      <c r="G443" s="179" t="e">
        <f t="shared" si="5"/>
        <v>#DIV/0!</v>
      </c>
      <c r="H443" s="135" t="e">
        <f t="shared" si="7"/>
        <v>#DIV/0!</v>
      </c>
      <c r="I443" s="179" t="e">
        <f t="shared" si="6"/>
        <v>#DIV/0!</v>
      </c>
    </row>
    <row r="444" spans="1:9" ht="12.5">
      <c r="A444" s="9"/>
      <c r="B444" s="9"/>
      <c r="C444" s="9"/>
      <c r="D444" s="9"/>
      <c r="E444" s="9"/>
      <c r="F444" s="9"/>
      <c r="G444" s="179" t="e">
        <f t="shared" si="5"/>
        <v>#DIV/0!</v>
      </c>
      <c r="H444" s="135" t="e">
        <f t="shared" si="7"/>
        <v>#DIV/0!</v>
      </c>
      <c r="I444" s="179" t="e">
        <f t="shared" si="6"/>
        <v>#DIV/0!</v>
      </c>
    </row>
    <row r="445" spans="1:9" ht="12.5">
      <c r="A445" s="9"/>
      <c r="B445" s="9"/>
      <c r="C445" s="9"/>
      <c r="D445" s="9"/>
      <c r="E445" s="9"/>
      <c r="F445" s="9"/>
      <c r="G445" s="179" t="e">
        <f t="shared" si="5"/>
        <v>#DIV/0!</v>
      </c>
      <c r="H445" s="135" t="e">
        <f t="shared" si="7"/>
        <v>#DIV/0!</v>
      </c>
      <c r="I445" s="179" t="e">
        <f t="shared" si="6"/>
        <v>#DIV/0!</v>
      </c>
    </row>
    <row r="446" spans="1:9" ht="12.5">
      <c r="A446" s="9"/>
      <c r="B446" s="9"/>
      <c r="C446" s="9"/>
      <c r="D446" s="9"/>
      <c r="E446" s="9"/>
      <c r="F446" s="9"/>
      <c r="G446" s="179" t="e">
        <f t="shared" si="5"/>
        <v>#DIV/0!</v>
      </c>
      <c r="H446" s="135" t="e">
        <f t="shared" si="7"/>
        <v>#DIV/0!</v>
      </c>
      <c r="I446" s="179" t="e">
        <f t="shared" si="6"/>
        <v>#DIV/0!</v>
      </c>
    </row>
    <row r="447" spans="1:9" ht="12.5">
      <c r="A447" s="9"/>
      <c r="B447" s="9"/>
      <c r="C447" s="9"/>
      <c r="D447" s="9"/>
      <c r="E447" s="9"/>
      <c r="F447" s="9"/>
      <c r="G447" s="179" t="e">
        <f t="shared" si="5"/>
        <v>#DIV/0!</v>
      </c>
      <c r="H447" s="135" t="e">
        <f t="shared" si="7"/>
        <v>#DIV/0!</v>
      </c>
      <c r="I447" s="179" t="e">
        <f t="shared" si="6"/>
        <v>#DIV/0!</v>
      </c>
    </row>
    <row r="448" spans="1:9" ht="12.5">
      <c r="A448" s="9"/>
      <c r="B448" s="9"/>
      <c r="C448" s="9"/>
      <c r="D448" s="9"/>
      <c r="E448" s="9"/>
      <c r="F448" s="9"/>
      <c r="G448" s="179" t="e">
        <f t="shared" si="5"/>
        <v>#DIV/0!</v>
      </c>
      <c r="H448" s="135" t="e">
        <f t="shared" si="7"/>
        <v>#DIV/0!</v>
      </c>
      <c r="I448" s="179" t="e">
        <f t="shared" si="6"/>
        <v>#DIV/0!</v>
      </c>
    </row>
    <row r="449" spans="1:9" ht="12.5">
      <c r="A449" s="9"/>
      <c r="B449" s="9"/>
      <c r="C449" s="9"/>
      <c r="D449" s="9"/>
      <c r="E449" s="9"/>
      <c r="F449" s="9"/>
      <c r="G449" s="179" t="e">
        <f t="shared" si="5"/>
        <v>#DIV/0!</v>
      </c>
      <c r="H449" s="135" t="e">
        <f t="shared" si="7"/>
        <v>#DIV/0!</v>
      </c>
      <c r="I449" s="179" t="e">
        <f t="shared" si="6"/>
        <v>#DIV/0!</v>
      </c>
    </row>
    <row r="450" spans="1:9" ht="12.5">
      <c r="A450" s="9"/>
      <c r="B450" s="9"/>
      <c r="C450" s="9"/>
      <c r="D450" s="9"/>
      <c r="E450" s="9"/>
      <c r="F450" s="9"/>
      <c r="G450" s="179" t="e">
        <f t="shared" si="5"/>
        <v>#DIV/0!</v>
      </c>
      <c r="H450" s="135" t="e">
        <f t="shared" si="7"/>
        <v>#DIV/0!</v>
      </c>
      <c r="I450" s="179" t="e">
        <f t="shared" si="6"/>
        <v>#DIV/0!</v>
      </c>
    </row>
    <row r="451" spans="1:9" ht="12.5">
      <c r="A451" s="9"/>
      <c r="B451" s="9"/>
      <c r="C451" s="9"/>
      <c r="D451" s="9"/>
      <c r="E451" s="9"/>
      <c r="F451" s="9"/>
      <c r="G451" s="179" t="e">
        <f t="shared" si="5"/>
        <v>#DIV/0!</v>
      </c>
      <c r="H451" s="135" t="e">
        <f t="shared" si="7"/>
        <v>#DIV/0!</v>
      </c>
      <c r="I451" s="179" t="e">
        <f t="shared" si="6"/>
        <v>#DIV/0!</v>
      </c>
    </row>
    <row r="452" spans="1:9" ht="12.5">
      <c r="A452" s="9"/>
      <c r="B452" s="9"/>
      <c r="C452" s="9"/>
      <c r="D452" s="9"/>
      <c r="E452" s="9"/>
      <c r="F452" s="9"/>
      <c r="G452" s="179" t="e">
        <f t="shared" si="5"/>
        <v>#DIV/0!</v>
      </c>
      <c r="H452" s="135" t="e">
        <f t="shared" si="7"/>
        <v>#DIV/0!</v>
      </c>
      <c r="I452" s="179" t="e">
        <f t="shared" si="6"/>
        <v>#DIV/0!</v>
      </c>
    </row>
    <row r="453" spans="1:9" ht="12.5">
      <c r="A453" s="9"/>
      <c r="B453" s="9"/>
      <c r="C453" s="9"/>
      <c r="D453" s="9"/>
      <c r="E453" s="9"/>
      <c r="F453" s="9"/>
      <c r="G453" s="179" t="e">
        <f t="shared" si="5"/>
        <v>#DIV/0!</v>
      </c>
      <c r="H453" s="135" t="e">
        <f t="shared" si="7"/>
        <v>#DIV/0!</v>
      </c>
      <c r="I453" s="179" t="e">
        <f t="shared" si="6"/>
        <v>#DIV/0!</v>
      </c>
    </row>
    <row r="454" spans="1:9" ht="12.5">
      <c r="A454" s="9"/>
      <c r="B454" s="9"/>
      <c r="C454" s="9"/>
      <c r="D454" s="9"/>
      <c r="E454" s="9"/>
      <c r="F454" s="9"/>
      <c r="G454" s="179" t="e">
        <f t="shared" si="5"/>
        <v>#DIV/0!</v>
      </c>
      <c r="H454" s="135" t="e">
        <f t="shared" si="7"/>
        <v>#DIV/0!</v>
      </c>
      <c r="I454" s="179" t="e">
        <f t="shared" si="6"/>
        <v>#DIV/0!</v>
      </c>
    </row>
    <row r="455" spans="1:9" ht="12.5">
      <c r="A455" s="9"/>
      <c r="B455" s="9"/>
      <c r="C455" s="9"/>
      <c r="D455" s="9"/>
      <c r="E455" s="9"/>
      <c r="F455" s="9"/>
      <c r="G455" s="179" t="e">
        <f t="shared" si="5"/>
        <v>#DIV/0!</v>
      </c>
      <c r="H455" s="135" t="e">
        <f t="shared" si="7"/>
        <v>#DIV/0!</v>
      </c>
      <c r="I455" s="179" t="e">
        <f t="shared" si="6"/>
        <v>#DIV/0!</v>
      </c>
    </row>
    <row r="456" spans="1:9" ht="12.5">
      <c r="A456" s="9"/>
      <c r="B456" s="9"/>
      <c r="C456" s="9"/>
      <c r="D456" s="9"/>
      <c r="E456" s="9"/>
      <c r="F456" s="9"/>
      <c r="G456" s="179" t="e">
        <f t="shared" si="5"/>
        <v>#DIV/0!</v>
      </c>
      <c r="H456" s="135" t="e">
        <f t="shared" si="7"/>
        <v>#DIV/0!</v>
      </c>
      <c r="I456" s="179" t="e">
        <f t="shared" si="6"/>
        <v>#DIV/0!</v>
      </c>
    </row>
    <row r="457" spans="1:9" ht="12.5">
      <c r="A457" s="9"/>
      <c r="B457" s="9"/>
      <c r="C457" s="9"/>
      <c r="D457" s="9"/>
      <c r="E457" s="9"/>
      <c r="F457" s="9"/>
      <c r="G457" s="179" t="e">
        <f t="shared" si="5"/>
        <v>#DIV/0!</v>
      </c>
      <c r="H457" s="135" t="e">
        <f t="shared" si="7"/>
        <v>#DIV/0!</v>
      </c>
      <c r="I457" s="179" t="e">
        <f t="shared" si="6"/>
        <v>#DIV/0!</v>
      </c>
    </row>
    <row r="458" spans="1:9" ht="12.5">
      <c r="A458" s="9"/>
      <c r="B458" s="9"/>
      <c r="C458" s="9"/>
      <c r="D458" s="9"/>
      <c r="E458" s="9"/>
      <c r="F458" s="9"/>
      <c r="G458" s="179" t="e">
        <f t="shared" si="5"/>
        <v>#DIV/0!</v>
      </c>
      <c r="H458" s="135" t="e">
        <f t="shared" si="7"/>
        <v>#DIV/0!</v>
      </c>
      <c r="I458" s="179" t="e">
        <f t="shared" si="6"/>
        <v>#DIV/0!</v>
      </c>
    </row>
    <row r="459" spans="1:9" ht="12.5">
      <c r="A459" s="9"/>
      <c r="B459" s="9"/>
      <c r="C459" s="9"/>
      <c r="D459" s="9"/>
      <c r="E459" s="9"/>
      <c r="F459" s="9"/>
      <c r="G459" s="179" t="e">
        <f t="shared" si="5"/>
        <v>#DIV/0!</v>
      </c>
      <c r="H459" s="135" t="e">
        <f t="shared" si="7"/>
        <v>#DIV/0!</v>
      </c>
      <c r="I459" s="179" t="e">
        <f t="shared" si="6"/>
        <v>#DIV/0!</v>
      </c>
    </row>
    <row r="460" spans="1:9" ht="12.5">
      <c r="A460" s="9"/>
      <c r="B460" s="9"/>
      <c r="C460" s="9"/>
      <c r="D460" s="9"/>
      <c r="E460" s="9"/>
      <c r="F460" s="9"/>
      <c r="G460" s="179" t="e">
        <f t="shared" si="5"/>
        <v>#DIV/0!</v>
      </c>
      <c r="H460" s="135" t="e">
        <f t="shared" si="7"/>
        <v>#DIV/0!</v>
      </c>
      <c r="I460" s="179" t="e">
        <f t="shared" si="6"/>
        <v>#DIV/0!</v>
      </c>
    </row>
    <row r="461" spans="1:9" ht="12.5">
      <c r="A461" s="9"/>
      <c r="B461" s="9"/>
      <c r="C461" s="9"/>
      <c r="D461" s="9"/>
      <c r="E461" s="9"/>
      <c r="F461" s="9"/>
      <c r="G461" s="179" t="e">
        <f t="shared" si="5"/>
        <v>#DIV/0!</v>
      </c>
      <c r="H461" s="135" t="e">
        <f t="shared" si="7"/>
        <v>#DIV/0!</v>
      </c>
      <c r="I461" s="179" t="e">
        <f t="shared" si="6"/>
        <v>#DIV/0!</v>
      </c>
    </row>
    <row r="462" spans="1:9" ht="12.5">
      <c r="A462" s="9"/>
      <c r="B462" s="9"/>
      <c r="C462" s="9"/>
      <c r="D462" s="9"/>
      <c r="E462" s="9"/>
      <c r="F462" s="9"/>
      <c r="G462" s="179" t="e">
        <f t="shared" si="5"/>
        <v>#DIV/0!</v>
      </c>
      <c r="H462" s="135" t="e">
        <f t="shared" si="7"/>
        <v>#DIV/0!</v>
      </c>
      <c r="I462" s="179" t="e">
        <f t="shared" si="6"/>
        <v>#DIV/0!</v>
      </c>
    </row>
    <row r="463" spans="1:9" ht="12.5">
      <c r="A463" s="9"/>
      <c r="B463" s="9"/>
      <c r="C463" s="9"/>
      <c r="D463" s="9"/>
      <c r="E463" s="9"/>
      <c r="F463" s="9"/>
      <c r="G463" s="179" t="e">
        <f t="shared" si="5"/>
        <v>#DIV/0!</v>
      </c>
      <c r="H463" s="135" t="e">
        <f t="shared" si="7"/>
        <v>#DIV/0!</v>
      </c>
      <c r="I463" s="179" t="e">
        <f t="shared" si="6"/>
        <v>#DIV/0!</v>
      </c>
    </row>
    <row r="464" spans="1:9" ht="12.5">
      <c r="A464" s="9"/>
      <c r="B464" s="9"/>
      <c r="C464" s="9"/>
      <c r="D464" s="9"/>
      <c r="E464" s="9"/>
      <c r="F464" s="9"/>
      <c r="G464" s="179" t="e">
        <f t="shared" si="5"/>
        <v>#DIV/0!</v>
      </c>
      <c r="H464" s="135" t="e">
        <f t="shared" si="7"/>
        <v>#DIV/0!</v>
      </c>
      <c r="I464" s="179" t="e">
        <f t="shared" si="6"/>
        <v>#DIV/0!</v>
      </c>
    </row>
    <row r="465" spans="1:9" ht="12.5">
      <c r="A465" s="9"/>
      <c r="B465" s="9"/>
      <c r="C465" s="9"/>
      <c r="D465" s="9"/>
      <c r="E465" s="9"/>
      <c r="F465" s="9"/>
      <c r="G465" s="179" t="e">
        <f t="shared" si="5"/>
        <v>#DIV/0!</v>
      </c>
      <c r="H465" s="135" t="e">
        <f t="shared" si="7"/>
        <v>#DIV/0!</v>
      </c>
      <c r="I465" s="179" t="e">
        <f t="shared" si="6"/>
        <v>#DIV/0!</v>
      </c>
    </row>
    <row r="466" spans="1:9" ht="12.5">
      <c r="A466" s="9"/>
      <c r="B466" s="9"/>
      <c r="C466" s="9"/>
      <c r="D466" s="9"/>
      <c r="E466" s="9"/>
      <c r="F466" s="9"/>
      <c r="G466" s="179" t="e">
        <f t="shared" si="5"/>
        <v>#DIV/0!</v>
      </c>
      <c r="H466" s="135" t="e">
        <f t="shared" si="7"/>
        <v>#DIV/0!</v>
      </c>
      <c r="I466" s="179" t="e">
        <f t="shared" si="6"/>
        <v>#DIV/0!</v>
      </c>
    </row>
    <row r="467" spans="1:9" ht="12.5">
      <c r="A467" s="9"/>
      <c r="B467" s="9"/>
      <c r="C467" s="9"/>
      <c r="D467" s="9"/>
      <c r="E467" s="9"/>
      <c r="F467" s="9"/>
      <c r="G467" s="179" t="e">
        <f t="shared" si="5"/>
        <v>#DIV/0!</v>
      </c>
      <c r="H467" s="135" t="e">
        <f t="shared" si="7"/>
        <v>#DIV/0!</v>
      </c>
      <c r="I467" s="179" t="e">
        <f t="shared" si="6"/>
        <v>#DIV/0!</v>
      </c>
    </row>
    <row r="468" spans="1:9" ht="12.5">
      <c r="A468" s="9"/>
      <c r="B468" s="9"/>
      <c r="C468" s="9"/>
      <c r="D468" s="9"/>
      <c r="E468" s="9"/>
      <c r="F468" s="9"/>
      <c r="G468" s="179" t="e">
        <f t="shared" si="5"/>
        <v>#DIV/0!</v>
      </c>
      <c r="H468" s="135" t="e">
        <f t="shared" si="7"/>
        <v>#DIV/0!</v>
      </c>
      <c r="I468" s="179" t="e">
        <f t="shared" si="6"/>
        <v>#DIV/0!</v>
      </c>
    </row>
    <row r="469" spans="1:9" ht="12.5">
      <c r="A469" s="9"/>
      <c r="B469" s="9"/>
      <c r="C469" s="9"/>
      <c r="D469" s="9"/>
      <c r="E469" s="9"/>
      <c r="F469" s="9"/>
      <c r="G469" s="179" t="e">
        <f t="shared" si="5"/>
        <v>#DIV/0!</v>
      </c>
      <c r="H469" s="135" t="e">
        <f t="shared" si="7"/>
        <v>#DIV/0!</v>
      </c>
      <c r="I469" s="179" t="e">
        <f t="shared" si="6"/>
        <v>#DIV/0!</v>
      </c>
    </row>
    <row r="470" spans="1:9" ht="12.5">
      <c r="A470" s="9"/>
      <c r="B470" s="9"/>
      <c r="C470" s="9"/>
      <c r="D470" s="9"/>
      <c r="E470" s="9"/>
      <c r="F470" s="9"/>
      <c r="G470" s="179" t="e">
        <f t="shared" si="5"/>
        <v>#DIV/0!</v>
      </c>
      <c r="H470" s="135" t="e">
        <f t="shared" si="7"/>
        <v>#DIV/0!</v>
      </c>
      <c r="I470" s="179" t="e">
        <f t="shared" si="6"/>
        <v>#DIV/0!</v>
      </c>
    </row>
    <row r="471" spans="1:9" ht="12.5">
      <c r="A471" s="9"/>
      <c r="B471" s="9"/>
      <c r="C471" s="9"/>
      <c r="D471" s="9"/>
      <c r="E471" s="9"/>
      <c r="F471" s="9"/>
      <c r="G471" s="179" t="e">
        <f t="shared" si="5"/>
        <v>#DIV/0!</v>
      </c>
      <c r="H471" s="135" t="e">
        <f t="shared" si="7"/>
        <v>#DIV/0!</v>
      </c>
      <c r="I471" s="179" t="e">
        <f t="shared" si="6"/>
        <v>#DIV/0!</v>
      </c>
    </row>
    <row r="472" spans="1:9" ht="12.5">
      <c r="A472" s="9"/>
      <c r="B472" s="9"/>
      <c r="C472" s="9"/>
      <c r="D472" s="9"/>
      <c r="E472" s="9"/>
      <c r="F472" s="9"/>
      <c r="G472" s="179" t="e">
        <f t="shared" si="5"/>
        <v>#DIV/0!</v>
      </c>
      <c r="H472" s="135" t="e">
        <f t="shared" si="7"/>
        <v>#DIV/0!</v>
      </c>
      <c r="I472" s="179" t="e">
        <f t="shared" si="6"/>
        <v>#DIV/0!</v>
      </c>
    </row>
    <row r="473" spans="1:9" ht="12.5">
      <c r="A473" s="9"/>
      <c r="B473" s="9"/>
      <c r="C473" s="9"/>
      <c r="D473" s="9"/>
      <c r="E473" s="9"/>
      <c r="F473" s="9"/>
      <c r="G473" s="179" t="e">
        <f t="shared" si="5"/>
        <v>#DIV/0!</v>
      </c>
      <c r="H473" s="135" t="e">
        <f t="shared" si="7"/>
        <v>#DIV/0!</v>
      </c>
      <c r="I473" s="179" t="e">
        <f t="shared" si="6"/>
        <v>#DIV/0!</v>
      </c>
    </row>
    <row r="474" spans="1:9" ht="12.5">
      <c r="A474" s="9"/>
      <c r="B474" s="9"/>
      <c r="C474" s="9"/>
      <c r="D474" s="9"/>
      <c r="E474" s="9"/>
      <c r="F474" s="9"/>
      <c r="G474" s="179" t="e">
        <f t="shared" si="5"/>
        <v>#DIV/0!</v>
      </c>
      <c r="H474" s="135" t="e">
        <f t="shared" si="7"/>
        <v>#DIV/0!</v>
      </c>
      <c r="I474" s="179" t="e">
        <f t="shared" si="6"/>
        <v>#DIV/0!</v>
      </c>
    </row>
    <row r="475" spans="1:9" ht="12.5">
      <c r="A475" s="9"/>
      <c r="B475" s="9"/>
      <c r="C475" s="9"/>
      <c r="D475" s="9"/>
      <c r="E475" s="9"/>
      <c r="F475" s="9"/>
      <c r="G475" s="179" t="e">
        <f t="shared" si="5"/>
        <v>#DIV/0!</v>
      </c>
      <c r="H475" s="135" t="e">
        <f t="shared" si="7"/>
        <v>#DIV/0!</v>
      </c>
      <c r="I475" s="179" t="e">
        <f t="shared" si="6"/>
        <v>#DIV/0!</v>
      </c>
    </row>
    <row r="476" spans="1:9" ht="12.5">
      <c r="A476" s="9"/>
      <c r="B476" s="9"/>
      <c r="C476" s="9"/>
      <c r="D476" s="9"/>
      <c r="E476" s="9"/>
      <c r="F476" s="9"/>
      <c r="G476" s="179" t="e">
        <f t="shared" si="5"/>
        <v>#DIV/0!</v>
      </c>
      <c r="H476" s="135" t="e">
        <f t="shared" si="7"/>
        <v>#DIV/0!</v>
      </c>
      <c r="I476" s="179" t="e">
        <f t="shared" si="6"/>
        <v>#DIV/0!</v>
      </c>
    </row>
    <row r="477" spans="1:9" ht="12.5">
      <c r="A477" s="9"/>
      <c r="B477" s="9"/>
      <c r="C477" s="9"/>
      <c r="D477" s="9"/>
      <c r="E477" s="9"/>
      <c r="F477" s="9"/>
      <c r="G477" s="179" t="e">
        <f t="shared" si="5"/>
        <v>#DIV/0!</v>
      </c>
      <c r="H477" s="135" t="e">
        <f t="shared" si="7"/>
        <v>#DIV/0!</v>
      </c>
      <c r="I477" s="179" t="e">
        <f t="shared" si="6"/>
        <v>#DIV/0!</v>
      </c>
    </row>
    <row r="478" spans="1:9" ht="12.5">
      <c r="A478" s="9"/>
      <c r="B478" s="9"/>
      <c r="C478" s="9"/>
      <c r="D478" s="9"/>
      <c r="E478" s="9"/>
      <c r="F478" s="9"/>
      <c r="G478" s="179" t="e">
        <f t="shared" si="5"/>
        <v>#DIV/0!</v>
      </c>
      <c r="H478" s="135" t="e">
        <f t="shared" si="7"/>
        <v>#DIV/0!</v>
      </c>
      <c r="I478" s="179" t="e">
        <f t="shared" si="6"/>
        <v>#DIV/0!</v>
      </c>
    </row>
    <row r="479" spans="1:9" ht="12.5">
      <c r="A479" s="9"/>
      <c r="B479" s="9"/>
      <c r="C479" s="9"/>
      <c r="D479" s="9"/>
      <c r="E479" s="9"/>
      <c r="F479" s="9"/>
      <c r="G479" s="179" t="e">
        <f t="shared" si="5"/>
        <v>#DIV/0!</v>
      </c>
      <c r="H479" s="135" t="e">
        <f t="shared" si="7"/>
        <v>#DIV/0!</v>
      </c>
      <c r="I479" s="179" t="e">
        <f t="shared" si="6"/>
        <v>#DIV/0!</v>
      </c>
    </row>
    <row r="480" spans="1:9" ht="12.5">
      <c r="A480" s="9"/>
      <c r="B480" s="9"/>
      <c r="C480" s="9"/>
      <c r="D480" s="9"/>
      <c r="E480" s="9"/>
      <c r="F480" s="9"/>
      <c r="G480" s="179" t="e">
        <f t="shared" si="5"/>
        <v>#DIV/0!</v>
      </c>
      <c r="H480" s="135" t="e">
        <f t="shared" si="7"/>
        <v>#DIV/0!</v>
      </c>
      <c r="I480" s="179" t="e">
        <f t="shared" si="6"/>
        <v>#DIV/0!</v>
      </c>
    </row>
    <row r="481" spans="1:9" ht="12.5">
      <c r="A481" s="9"/>
      <c r="B481" s="9"/>
      <c r="C481" s="9"/>
      <c r="D481" s="9"/>
      <c r="E481" s="9"/>
      <c r="F481" s="9"/>
      <c r="G481" s="179" t="e">
        <f t="shared" si="5"/>
        <v>#DIV/0!</v>
      </c>
      <c r="H481" s="135" t="e">
        <f t="shared" si="7"/>
        <v>#DIV/0!</v>
      </c>
      <c r="I481" s="179" t="e">
        <f t="shared" si="6"/>
        <v>#DIV/0!</v>
      </c>
    </row>
    <row r="482" spans="1:9" ht="12.5">
      <c r="A482" s="9"/>
      <c r="B482" s="9"/>
      <c r="C482" s="9"/>
      <c r="D482" s="9"/>
      <c r="E482" s="9"/>
      <c r="F482" s="9"/>
      <c r="G482" s="179" t="e">
        <f t="shared" si="5"/>
        <v>#DIV/0!</v>
      </c>
      <c r="H482" s="135" t="e">
        <f t="shared" si="7"/>
        <v>#DIV/0!</v>
      </c>
      <c r="I482" s="179" t="e">
        <f t="shared" si="6"/>
        <v>#DIV/0!</v>
      </c>
    </row>
    <row r="483" spans="1:9" ht="12.5">
      <c r="A483" s="9"/>
      <c r="B483" s="9"/>
      <c r="C483" s="9"/>
      <c r="D483" s="9"/>
      <c r="E483" s="9"/>
      <c r="F483" s="9"/>
      <c r="G483" s="179" t="e">
        <f t="shared" si="5"/>
        <v>#DIV/0!</v>
      </c>
      <c r="H483" s="135" t="e">
        <f t="shared" si="7"/>
        <v>#DIV/0!</v>
      </c>
      <c r="I483" s="179" t="e">
        <f t="shared" si="6"/>
        <v>#DIV/0!</v>
      </c>
    </row>
    <row r="484" spans="1:9" ht="12.5">
      <c r="A484" s="9"/>
      <c r="B484" s="9"/>
      <c r="C484" s="9"/>
      <c r="D484" s="9"/>
      <c r="E484" s="9"/>
      <c r="F484" s="9"/>
      <c r="G484" s="179" t="e">
        <f t="shared" si="5"/>
        <v>#DIV/0!</v>
      </c>
      <c r="H484" s="135" t="e">
        <f t="shared" si="7"/>
        <v>#DIV/0!</v>
      </c>
      <c r="I484" s="179" t="e">
        <f t="shared" si="6"/>
        <v>#DIV/0!</v>
      </c>
    </row>
    <row r="485" spans="1:9" ht="12.5">
      <c r="A485" s="9"/>
      <c r="B485" s="9"/>
      <c r="C485" s="9"/>
      <c r="D485" s="9"/>
      <c r="E485" s="9"/>
      <c r="F485" s="9"/>
      <c r="G485" s="179" t="e">
        <f t="shared" si="5"/>
        <v>#DIV/0!</v>
      </c>
      <c r="H485" s="135" t="e">
        <f t="shared" si="7"/>
        <v>#DIV/0!</v>
      </c>
      <c r="I485" s="179" t="e">
        <f t="shared" si="6"/>
        <v>#DIV/0!</v>
      </c>
    </row>
    <row r="486" spans="1:9" ht="12.5">
      <c r="A486" s="9"/>
      <c r="B486" s="9"/>
      <c r="C486" s="9"/>
      <c r="D486" s="9"/>
      <c r="E486" s="9"/>
      <c r="F486" s="9"/>
      <c r="G486" s="179" t="e">
        <f t="shared" si="5"/>
        <v>#DIV/0!</v>
      </c>
      <c r="H486" s="135" t="e">
        <f t="shared" si="7"/>
        <v>#DIV/0!</v>
      </c>
      <c r="I486" s="179" t="e">
        <f t="shared" si="6"/>
        <v>#DIV/0!</v>
      </c>
    </row>
    <row r="487" spans="1:9" ht="12.5">
      <c r="A487" s="9"/>
      <c r="B487" s="9"/>
      <c r="C487" s="9"/>
      <c r="D487" s="9"/>
      <c r="E487" s="9"/>
      <c r="F487" s="9"/>
      <c r="G487" s="179" t="e">
        <f t="shared" si="5"/>
        <v>#DIV/0!</v>
      </c>
      <c r="H487" s="135" t="e">
        <f t="shared" si="7"/>
        <v>#DIV/0!</v>
      </c>
      <c r="I487" s="179" t="e">
        <f t="shared" si="6"/>
        <v>#DIV/0!</v>
      </c>
    </row>
    <row r="488" spans="1:9" ht="12.5">
      <c r="A488" s="9"/>
      <c r="B488" s="9"/>
      <c r="C488" s="9"/>
      <c r="D488" s="9"/>
      <c r="E488" s="9"/>
      <c r="F488" s="9"/>
      <c r="G488" s="179" t="e">
        <f t="shared" si="5"/>
        <v>#DIV/0!</v>
      </c>
      <c r="H488" s="135" t="e">
        <f t="shared" si="7"/>
        <v>#DIV/0!</v>
      </c>
      <c r="I488" s="179" t="e">
        <f t="shared" si="6"/>
        <v>#DIV/0!</v>
      </c>
    </row>
    <row r="489" spans="1:9" ht="12.5">
      <c r="A489" s="9"/>
      <c r="B489" s="9"/>
      <c r="C489" s="9"/>
      <c r="D489" s="9"/>
      <c r="E489" s="9"/>
      <c r="F489" s="9"/>
      <c r="G489" s="179" t="e">
        <f t="shared" si="5"/>
        <v>#DIV/0!</v>
      </c>
      <c r="H489" s="135" t="e">
        <f t="shared" si="7"/>
        <v>#DIV/0!</v>
      </c>
      <c r="I489" s="179" t="e">
        <f t="shared" si="6"/>
        <v>#DIV/0!</v>
      </c>
    </row>
    <row r="490" spans="1:9" ht="12.5">
      <c r="A490" s="9"/>
      <c r="B490" s="9"/>
      <c r="C490" s="9"/>
      <c r="D490" s="9"/>
      <c r="E490" s="9"/>
      <c r="F490" s="9"/>
      <c r="G490" s="179" t="e">
        <f t="shared" si="5"/>
        <v>#DIV/0!</v>
      </c>
      <c r="H490" s="135" t="e">
        <f t="shared" si="7"/>
        <v>#DIV/0!</v>
      </c>
      <c r="I490" s="179" t="e">
        <f t="shared" si="6"/>
        <v>#DIV/0!</v>
      </c>
    </row>
    <row r="491" spans="1:9" ht="12.5">
      <c r="A491" s="9"/>
      <c r="B491" s="9"/>
      <c r="C491" s="9"/>
      <c r="D491" s="9"/>
      <c r="E491" s="9"/>
      <c r="F491" s="9"/>
      <c r="G491" s="179" t="e">
        <f t="shared" si="5"/>
        <v>#DIV/0!</v>
      </c>
      <c r="H491" s="135" t="e">
        <f t="shared" si="7"/>
        <v>#DIV/0!</v>
      </c>
      <c r="I491" s="179" t="e">
        <f t="shared" si="6"/>
        <v>#DIV/0!</v>
      </c>
    </row>
    <row r="492" spans="1:9" ht="12.5">
      <c r="A492" s="9"/>
      <c r="B492" s="9"/>
      <c r="C492" s="9"/>
      <c r="D492" s="9"/>
      <c r="E492" s="9"/>
      <c r="F492" s="9"/>
      <c r="G492" s="179" t="e">
        <f t="shared" si="5"/>
        <v>#DIV/0!</v>
      </c>
      <c r="H492" s="135" t="e">
        <f t="shared" si="7"/>
        <v>#DIV/0!</v>
      </c>
      <c r="I492" s="179" t="e">
        <f t="shared" si="6"/>
        <v>#DIV/0!</v>
      </c>
    </row>
    <row r="493" spans="1:9" ht="12.5">
      <c r="A493" s="9"/>
      <c r="B493" s="9"/>
      <c r="C493" s="9"/>
      <c r="D493" s="9"/>
      <c r="E493" s="9"/>
      <c r="F493" s="9"/>
      <c r="G493" s="179" t="e">
        <f t="shared" si="5"/>
        <v>#DIV/0!</v>
      </c>
      <c r="H493" s="135" t="e">
        <f t="shared" si="7"/>
        <v>#DIV/0!</v>
      </c>
      <c r="I493" s="179" t="e">
        <f t="shared" si="6"/>
        <v>#DIV/0!</v>
      </c>
    </row>
    <row r="494" spans="1:9" ht="12.5">
      <c r="A494" s="9"/>
      <c r="B494" s="9"/>
      <c r="C494" s="9"/>
      <c r="D494" s="9"/>
      <c r="E494" s="9"/>
      <c r="F494" s="9"/>
      <c r="G494" s="179" t="e">
        <f t="shared" si="5"/>
        <v>#DIV/0!</v>
      </c>
      <c r="H494" s="135" t="e">
        <f t="shared" si="7"/>
        <v>#DIV/0!</v>
      </c>
      <c r="I494" s="179" t="e">
        <f t="shared" si="6"/>
        <v>#DIV/0!</v>
      </c>
    </row>
    <row r="495" spans="1:9" ht="12.5">
      <c r="A495" s="9"/>
      <c r="B495" s="9"/>
      <c r="C495" s="9"/>
      <c r="D495" s="9"/>
      <c r="E495" s="9"/>
      <c r="F495" s="9"/>
      <c r="G495" s="179" t="e">
        <f t="shared" si="5"/>
        <v>#DIV/0!</v>
      </c>
      <c r="H495" s="135" t="e">
        <f t="shared" si="7"/>
        <v>#DIV/0!</v>
      </c>
      <c r="I495" s="179" t="e">
        <f t="shared" si="6"/>
        <v>#DIV/0!</v>
      </c>
    </row>
    <row r="496" spans="1:9" ht="12.5">
      <c r="A496" s="9"/>
      <c r="B496" s="9"/>
      <c r="C496" s="9"/>
      <c r="D496" s="9"/>
      <c r="E496" s="9"/>
      <c r="F496" s="9"/>
      <c r="G496" s="179" t="e">
        <f t="shared" si="5"/>
        <v>#DIV/0!</v>
      </c>
      <c r="H496" s="135" t="e">
        <f t="shared" si="7"/>
        <v>#DIV/0!</v>
      </c>
      <c r="I496" s="179" t="e">
        <f t="shared" si="6"/>
        <v>#DIV/0!</v>
      </c>
    </row>
    <row r="497" spans="1:9" ht="12.5">
      <c r="A497" s="9"/>
      <c r="B497" s="9"/>
      <c r="C497" s="9"/>
      <c r="D497" s="9"/>
      <c r="E497" s="9"/>
      <c r="F497" s="9"/>
      <c r="G497" s="179" t="e">
        <f t="shared" si="5"/>
        <v>#DIV/0!</v>
      </c>
      <c r="H497" s="135" t="e">
        <f t="shared" si="7"/>
        <v>#DIV/0!</v>
      </c>
      <c r="I497" s="179" t="e">
        <f t="shared" si="6"/>
        <v>#DIV/0!</v>
      </c>
    </row>
    <row r="498" spans="1:9" ht="12.5">
      <c r="A498" s="9"/>
      <c r="B498" s="9"/>
      <c r="C498" s="9"/>
      <c r="D498" s="9"/>
      <c r="E498" s="9"/>
      <c r="F498" s="9"/>
      <c r="G498" s="179" t="e">
        <f t="shared" si="5"/>
        <v>#DIV/0!</v>
      </c>
      <c r="H498" s="135" t="e">
        <f t="shared" si="7"/>
        <v>#DIV/0!</v>
      </c>
      <c r="I498" s="179" t="e">
        <f t="shared" si="6"/>
        <v>#DIV/0!</v>
      </c>
    </row>
    <row r="499" spans="1:9" ht="12.5">
      <c r="A499" s="9"/>
      <c r="B499" s="9"/>
      <c r="C499" s="9"/>
      <c r="D499" s="9"/>
      <c r="E499" s="9"/>
      <c r="F499" s="9"/>
      <c r="G499" s="179" t="e">
        <f t="shared" si="5"/>
        <v>#DIV/0!</v>
      </c>
      <c r="H499" s="135" t="e">
        <f t="shared" si="7"/>
        <v>#DIV/0!</v>
      </c>
      <c r="I499" s="179" t="e">
        <f t="shared" si="6"/>
        <v>#DIV/0!</v>
      </c>
    </row>
    <row r="500" spans="1:9" ht="12.5">
      <c r="A500" s="9"/>
      <c r="B500" s="9"/>
      <c r="C500" s="9"/>
      <c r="D500" s="9"/>
      <c r="E500" s="9"/>
      <c r="F500" s="9"/>
      <c r="G500" s="179" t="e">
        <f t="shared" si="5"/>
        <v>#DIV/0!</v>
      </c>
      <c r="H500" s="135" t="e">
        <f t="shared" si="7"/>
        <v>#DIV/0!</v>
      </c>
      <c r="I500" s="179" t="e">
        <f t="shared" si="6"/>
        <v>#DIV/0!</v>
      </c>
    </row>
    <row r="501" spans="1:9" ht="12.5">
      <c r="A501" s="9"/>
      <c r="B501" s="9"/>
      <c r="C501" s="9"/>
      <c r="D501" s="9"/>
      <c r="E501" s="9"/>
      <c r="F501" s="9"/>
      <c r="G501" s="179" t="e">
        <f t="shared" si="5"/>
        <v>#DIV/0!</v>
      </c>
      <c r="H501" s="135" t="e">
        <f t="shared" si="7"/>
        <v>#DIV/0!</v>
      </c>
      <c r="I501" s="179" t="e">
        <f t="shared" si="6"/>
        <v>#DIV/0!</v>
      </c>
    </row>
    <row r="502" spans="1:9" ht="12.5">
      <c r="A502" s="9"/>
      <c r="B502" s="9"/>
      <c r="C502" s="9"/>
      <c r="D502" s="9"/>
      <c r="E502" s="9"/>
      <c r="F502" s="9"/>
      <c r="G502" s="179" t="e">
        <f t="shared" si="5"/>
        <v>#DIV/0!</v>
      </c>
      <c r="H502" s="135" t="e">
        <f t="shared" si="7"/>
        <v>#DIV/0!</v>
      </c>
      <c r="I502" s="179" t="e">
        <f t="shared" si="6"/>
        <v>#DIV/0!</v>
      </c>
    </row>
    <row r="503" spans="1:9" ht="12.5">
      <c r="A503" s="9"/>
      <c r="B503" s="9"/>
      <c r="C503" s="9"/>
      <c r="D503" s="9"/>
      <c r="E503" s="9"/>
      <c r="F503" s="9"/>
      <c r="G503" s="179" t="e">
        <f t="shared" si="5"/>
        <v>#DIV/0!</v>
      </c>
      <c r="H503" s="135" t="e">
        <f t="shared" si="7"/>
        <v>#DIV/0!</v>
      </c>
      <c r="I503" s="179" t="e">
        <f t="shared" si="6"/>
        <v>#DIV/0!</v>
      </c>
    </row>
    <row r="504" spans="1:9" ht="12.5">
      <c r="A504" s="9"/>
      <c r="B504" s="9"/>
      <c r="C504" s="9"/>
      <c r="D504" s="9"/>
      <c r="E504" s="9"/>
      <c r="F504" s="9"/>
      <c r="G504" s="179" t="e">
        <f t="shared" si="5"/>
        <v>#DIV/0!</v>
      </c>
      <c r="H504" s="135" t="e">
        <f t="shared" si="7"/>
        <v>#DIV/0!</v>
      </c>
      <c r="I504" s="179" t="e">
        <f t="shared" si="6"/>
        <v>#DIV/0!</v>
      </c>
    </row>
    <row r="505" spans="1:9" ht="12.5">
      <c r="A505" s="9"/>
      <c r="B505" s="9"/>
      <c r="C505" s="9"/>
      <c r="D505" s="9"/>
      <c r="E505" s="9"/>
      <c r="F505" s="9"/>
      <c r="G505" s="179" t="e">
        <f t="shared" si="5"/>
        <v>#DIV/0!</v>
      </c>
      <c r="H505" s="135" t="e">
        <f t="shared" si="7"/>
        <v>#DIV/0!</v>
      </c>
      <c r="I505" s="179" t="e">
        <f t="shared" si="6"/>
        <v>#DIV/0!</v>
      </c>
    </row>
    <row r="506" spans="1:9" ht="12.5">
      <c r="A506" s="9"/>
      <c r="B506" s="9"/>
      <c r="C506" s="9"/>
      <c r="D506" s="9"/>
      <c r="E506" s="9"/>
      <c r="F506" s="9"/>
      <c r="G506" s="179" t="e">
        <f t="shared" si="5"/>
        <v>#DIV/0!</v>
      </c>
      <c r="H506" s="135" t="e">
        <f t="shared" si="7"/>
        <v>#DIV/0!</v>
      </c>
      <c r="I506" s="179" t="e">
        <f t="shared" si="6"/>
        <v>#DIV/0!</v>
      </c>
    </row>
    <row r="507" spans="1:9" ht="12.5">
      <c r="A507" s="9"/>
      <c r="B507" s="9"/>
      <c r="C507" s="9"/>
      <c r="D507" s="9"/>
      <c r="E507" s="9"/>
      <c r="F507" s="9"/>
      <c r="G507" s="179" t="e">
        <f t="shared" si="5"/>
        <v>#DIV/0!</v>
      </c>
      <c r="H507" s="135" t="e">
        <f t="shared" si="7"/>
        <v>#DIV/0!</v>
      </c>
      <c r="I507" s="179" t="e">
        <f t="shared" si="6"/>
        <v>#DIV/0!</v>
      </c>
    </row>
    <row r="508" spans="1:9" ht="12.5">
      <c r="A508" s="9"/>
      <c r="B508" s="9"/>
      <c r="C508" s="9"/>
      <c r="D508" s="9"/>
      <c r="E508" s="9"/>
      <c r="F508" s="9"/>
      <c r="G508" s="179" t="e">
        <f t="shared" si="5"/>
        <v>#DIV/0!</v>
      </c>
      <c r="H508" s="135" t="e">
        <f t="shared" si="7"/>
        <v>#DIV/0!</v>
      </c>
      <c r="I508" s="179" t="e">
        <f t="shared" si="6"/>
        <v>#DIV/0!</v>
      </c>
    </row>
    <row r="509" spans="1:9" ht="12.5">
      <c r="A509" s="9"/>
      <c r="B509" s="9"/>
      <c r="C509" s="9"/>
      <c r="D509" s="9"/>
      <c r="E509" s="9"/>
      <c r="F509" s="9"/>
      <c r="G509" s="179" t="e">
        <f t="shared" si="5"/>
        <v>#DIV/0!</v>
      </c>
      <c r="H509" s="135" t="e">
        <f t="shared" si="7"/>
        <v>#DIV/0!</v>
      </c>
      <c r="I509" s="179" t="e">
        <f t="shared" si="6"/>
        <v>#DIV/0!</v>
      </c>
    </row>
    <row r="510" spans="1:9" ht="12.5">
      <c r="A510" s="9"/>
      <c r="B510" s="9"/>
      <c r="C510" s="9"/>
      <c r="D510" s="9"/>
      <c r="E510" s="9"/>
      <c r="F510" s="9"/>
      <c r="G510" s="179" t="e">
        <f t="shared" si="5"/>
        <v>#DIV/0!</v>
      </c>
      <c r="H510" s="135" t="e">
        <f t="shared" si="7"/>
        <v>#DIV/0!</v>
      </c>
      <c r="I510" s="179" t="e">
        <f t="shared" si="6"/>
        <v>#DIV/0!</v>
      </c>
    </row>
    <row r="511" spans="1:9" ht="12.5">
      <c r="A511" s="9"/>
      <c r="B511" s="9"/>
      <c r="C511" s="9"/>
      <c r="D511" s="9"/>
      <c r="E511" s="9"/>
      <c r="F511" s="9"/>
      <c r="G511" s="179" t="e">
        <f t="shared" si="5"/>
        <v>#DIV/0!</v>
      </c>
      <c r="H511" s="135" t="e">
        <f t="shared" si="7"/>
        <v>#DIV/0!</v>
      </c>
      <c r="I511" s="179" t="e">
        <f t="shared" si="6"/>
        <v>#DIV/0!</v>
      </c>
    </row>
    <row r="512" spans="1:9" ht="12.5">
      <c r="A512" s="9"/>
      <c r="B512" s="9"/>
      <c r="C512" s="9"/>
      <c r="D512" s="9"/>
      <c r="E512" s="9"/>
      <c r="F512" s="9"/>
      <c r="G512" s="179" t="e">
        <f t="shared" ref="G512:G766" si="8">E512/D512</f>
        <v>#DIV/0!</v>
      </c>
      <c r="H512" s="135" t="e">
        <f t="shared" si="7"/>
        <v>#DIV/0!</v>
      </c>
      <c r="I512" s="179" t="e">
        <f t="shared" ref="I512:I766" si="9">C512/D512</f>
        <v>#DIV/0!</v>
      </c>
    </row>
    <row r="513" spans="1:9" ht="12.5">
      <c r="A513" s="9"/>
      <c r="B513" s="9"/>
      <c r="C513" s="9"/>
      <c r="D513" s="9"/>
      <c r="E513" s="9"/>
      <c r="F513" s="9"/>
      <c r="G513" s="179" t="e">
        <f t="shared" si="8"/>
        <v>#DIV/0!</v>
      </c>
      <c r="H513" s="135" t="e">
        <f t="shared" si="7"/>
        <v>#DIV/0!</v>
      </c>
      <c r="I513" s="179" t="e">
        <f t="shared" si="9"/>
        <v>#DIV/0!</v>
      </c>
    </row>
    <row r="514" spans="1:9" ht="12.5">
      <c r="A514" s="9"/>
      <c r="B514" s="9"/>
      <c r="C514" s="9"/>
      <c r="D514" s="9"/>
      <c r="E514" s="9"/>
      <c r="F514" s="9"/>
      <c r="G514" s="179" t="e">
        <f t="shared" si="8"/>
        <v>#DIV/0!</v>
      </c>
      <c r="H514" s="135" t="e">
        <f t="shared" si="7"/>
        <v>#DIV/0!</v>
      </c>
      <c r="I514" s="179" t="e">
        <f t="shared" si="9"/>
        <v>#DIV/0!</v>
      </c>
    </row>
    <row r="515" spans="1:9" ht="12.5">
      <c r="A515" s="9"/>
      <c r="B515" s="9"/>
      <c r="C515" s="9"/>
      <c r="D515" s="9"/>
      <c r="E515" s="9"/>
      <c r="F515" s="9"/>
      <c r="G515" s="179" t="e">
        <f t="shared" si="8"/>
        <v>#DIV/0!</v>
      </c>
      <c r="H515" s="135" t="e">
        <f t="shared" si="7"/>
        <v>#DIV/0!</v>
      </c>
      <c r="I515" s="179" t="e">
        <f t="shared" si="9"/>
        <v>#DIV/0!</v>
      </c>
    </row>
    <row r="516" spans="1:9" ht="12.5">
      <c r="A516" s="9"/>
      <c r="B516" s="9"/>
      <c r="C516" s="9"/>
      <c r="D516" s="9"/>
      <c r="E516" s="9"/>
      <c r="F516" s="9"/>
      <c r="G516" s="179" t="e">
        <f t="shared" si="8"/>
        <v>#DIV/0!</v>
      </c>
      <c r="H516" s="135" t="e">
        <f t="shared" si="7"/>
        <v>#DIV/0!</v>
      </c>
      <c r="I516" s="179" t="e">
        <f t="shared" si="9"/>
        <v>#DIV/0!</v>
      </c>
    </row>
    <row r="517" spans="1:9" ht="12.5">
      <c r="A517" s="9"/>
      <c r="B517" s="9"/>
      <c r="C517" s="9"/>
      <c r="D517" s="9"/>
      <c r="E517" s="9"/>
      <c r="F517" s="9"/>
      <c r="G517" s="179" t="e">
        <f t="shared" si="8"/>
        <v>#DIV/0!</v>
      </c>
      <c r="H517" s="135" t="e">
        <f t="shared" si="7"/>
        <v>#DIV/0!</v>
      </c>
      <c r="I517" s="179" t="e">
        <f t="shared" si="9"/>
        <v>#DIV/0!</v>
      </c>
    </row>
    <row r="518" spans="1:9" ht="12.5">
      <c r="A518" s="9"/>
      <c r="B518" s="9"/>
      <c r="C518" s="9"/>
      <c r="D518" s="9"/>
      <c r="E518" s="9"/>
      <c r="F518" s="9"/>
      <c r="G518" s="179" t="e">
        <f t="shared" si="8"/>
        <v>#DIV/0!</v>
      </c>
      <c r="H518" s="135" t="e">
        <f t="shared" si="7"/>
        <v>#DIV/0!</v>
      </c>
      <c r="I518" s="179" t="e">
        <f t="shared" si="9"/>
        <v>#DIV/0!</v>
      </c>
    </row>
    <row r="519" spans="1:9" ht="12.5">
      <c r="A519" s="9"/>
      <c r="B519" s="9"/>
      <c r="C519" s="9"/>
      <c r="D519" s="9"/>
      <c r="E519" s="9"/>
      <c r="F519" s="9"/>
      <c r="G519" s="179" t="e">
        <f t="shared" si="8"/>
        <v>#DIV/0!</v>
      </c>
      <c r="H519" s="135" t="e">
        <f t="shared" si="7"/>
        <v>#DIV/0!</v>
      </c>
      <c r="I519" s="179" t="e">
        <f t="shared" si="9"/>
        <v>#DIV/0!</v>
      </c>
    </row>
    <row r="520" spans="1:9" ht="12.5">
      <c r="A520" s="9"/>
      <c r="B520" s="9"/>
      <c r="C520" s="9"/>
      <c r="D520" s="9"/>
      <c r="E520" s="9"/>
      <c r="F520" s="9"/>
      <c r="G520" s="179" t="e">
        <f t="shared" si="8"/>
        <v>#DIV/0!</v>
      </c>
      <c r="H520" s="135" t="e">
        <f t="shared" si="7"/>
        <v>#DIV/0!</v>
      </c>
      <c r="I520" s="179" t="e">
        <f t="shared" si="9"/>
        <v>#DIV/0!</v>
      </c>
    </row>
    <row r="521" spans="1:9" ht="12.5">
      <c r="A521" s="9"/>
      <c r="B521" s="9"/>
      <c r="C521" s="9"/>
      <c r="D521" s="9"/>
      <c r="E521" s="9"/>
      <c r="F521" s="9"/>
      <c r="G521" s="179" t="e">
        <f t="shared" si="8"/>
        <v>#DIV/0!</v>
      </c>
      <c r="H521" s="135" t="e">
        <f t="shared" si="7"/>
        <v>#DIV/0!</v>
      </c>
      <c r="I521" s="179" t="e">
        <f t="shared" si="9"/>
        <v>#DIV/0!</v>
      </c>
    </row>
    <row r="522" spans="1:9" ht="12.5">
      <c r="A522" s="9"/>
      <c r="B522" s="9"/>
      <c r="C522" s="9"/>
      <c r="D522" s="9"/>
      <c r="E522" s="9"/>
      <c r="F522" s="9"/>
      <c r="G522" s="179" t="e">
        <f t="shared" si="8"/>
        <v>#DIV/0!</v>
      </c>
      <c r="H522" s="135" t="e">
        <f t="shared" si="7"/>
        <v>#DIV/0!</v>
      </c>
      <c r="I522" s="179" t="e">
        <f t="shared" si="9"/>
        <v>#DIV/0!</v>
      </c>
    </row>
    <row r="523" spans="1:9" ht="12.5">
      <c r="A523" s="9"/>
      <c r="B523" s="9"/>
      <c r="C523" s="9"/>
      <c r="D523" s="9"/>
      <c r="E523" s="9"/>
      <c r="F523" s="9"/>
      <c r="G523" s="179" t="e">
        <f t="shared" si="8"/>
        <v>#DIV/0!</v>
      </c>
      <c r="H523" s="135" t="e">
        <f t="shared" si="7"/>
        <v>#DIV/0!</v>
      </c>
      <c r="I523" s="179" t="e">
        <f t="shared" si="9"/>
        <v>#DIV/0!</v>
      </c>
    </row>
    <row r="524" spans="1:9" ht="12.5">
      <c r="A524" s="9"/>
      <c r="B524" s="9"/>
      <c r="C524" s="9"/>
      <c r="D524" s="9"/>
      <c r="E524" s="9"/>
      <c r="F524" s="9"/>
      <c r="G524" s="179" t="e">
        <f t="shared" si="8"/>
        <v>#DIV/0!</v>
      </c>
      <c r="H524" s="135" t="e">
        <f t="shared" si="7"/>
        <v>#DIV/0!</v>
      </c>
      <c r="I524" s="179" t="e">
        <f t="shared" si="9"/>
        <v>#DIV/0!</v>
      </c>
    </row>
    <row r="525" spans="1:9" ht="12.5">
      <c r="A525" s="9"/>
      <c r="B525" s="9"/>
      <c r="C525" s="9"/>
      <c r="D525" s="9"/>
      <c r="E525" s="9"/>
      <c r="F525" s="9"/>
      <c r="G525" s="179" t="e">
        <f t="shared" si="8"/>
        <v>#DIV/0!</v>
      </c>
      <c r="H525" s="135" t="e">
        <f t="shared" si="7"/>
        <v>#DIV/0!</v>
      </c>
      <c r="I525" s="179" t="e">
        <f t="shared" si="9"/>
        <v>#DIV/0!</v>
      </c>
    </row>
    <row r="526" spans="1:9" ht="12.5">
      <c r="A526" s="9"/>
      <c r="B526" s="9"/>
      <c r="C526" s="9"/>
      <c r="D526" s="9"/>
      <c r="E526" s="9"/>
      <c r="F526" s="9"/>
      <c r="G526" s="179" t="e">
        <f t="shared" si="8"/>
        <v>#DIV/0!</v>
      </c>
      <c r="H526" s="135" t="e">
        <f t="shared" ref="H526:H780" si="10">E526/C526</f>
        <v>#DIV/0!</v>
      </c>
      <c r="I526" s="179" t="e">
        <f t="shared" si="9"/>
        <v>#DIV/0!</v>
      </c>
    </row>
    <row r="527" spans="1:9" ht="12.5">
      <c r="A527" s="9"/>
      <c r="B527" s="9"/>
      <c r="C527" s="9"/>
      <c r="D527" s="9"/>
      <c r="E527" s="9"/>
      <c r="F527" s="9"/>
      <c r="G527" s="179" t="e">
        <f t="shared" si="8"/>
        <v>#DIV/0!</v>
      </c>
      <c r="H527" s="135" t="e">
        <f t="shared" si="10"/>
        <v>#DIV/0!</v>
      </c>
      <c r="I527" s="179" t="e">
        <f t="shared" si="9"/>
        <v>#DIV/0!</v>
      </c>
    </row>
    <row r="528" spans="1:9" ht="12.5">
      <c r="A528" s="9"/>
      <c r="B528" s="9"/>
      <c r="C528" s="9"/>
      <c r="D528" s="9"/>
      <c r="E528" s="9"/>
      <c r="F528" s="9"/>
      <c r="G528" s="179" t="e">
        <f t="shared" si="8"/>
        <v>#DIV/0!</v>
      </c>
      <c r="H528" s="135" t="e">
        <f t="shared" si="10"/>
        <v>#DIV/0!</v>
      </c>
      <c r="I528" s="179" t="e">
        <f t="shared" si="9"/>
        <v>#DIV/0!</v>
      </c>
    </row>
    <row r="529" spans="1:9" ht="12.5">
      <c r="A529" s="9"/>
      <c r="B529" s="9"/>
      <c r="C529" s="9"/>
      <c r="D529" s="9"/>
      <c r="E529" s="9"/>
      <c r="F529" s="9"/>
      <c r="G529" s="179" t="e">
        <f t="shared" si="8"/>
        <v>#DIV/0!</v>
      </c>
      <c r="H529" s="135" t="e">
        <f t="shared" si="10"/>
        <v>#DIV/0!</v>
      </c>
      <c r="I529" s="179" t="e">
        <f t="shared" si="9"/>
        <v>#DIV/0!</v>
      </c>
    </row>
    <row r="530" spans="1:9" ht="12.5">
      <c r="A530" s="9"/>
      <c r="B530" s="9"/>
      <c r="C530" s="9"/>
      <c r="D530" s="9"/>
      <c r="E530" s="9"/>
      <c r="F530" s="9"/>
      <c r="G530" s="179" t="e">
        <f t="shared" si="8"/>
        <v>#DIV/0!</v>
      </c>
      <c r="H530" s="135" t="e">
        <f t="shared" si="10"/>
        <v>#DIV/0!</v>
      </c>
      <c r="I530" s="179" t="e">
        <f t="shared" si="9"/>
        <v>#DIV/0!</v>
      </c>
    </row>
    <row r="531" spans="1:9" ht="12.5">
      <c r="A531" s="9"/>
      <c r="B531" s="9"/>
      <c r="C531" s="9"/>
      <c r="D531" s="9"/>
      <c r="E531" s="9"/>
      <c r="F531" s="9"/>
      <c r="G531" s="179" t="e">
        <f t="shared" si="8"/>
        <v>#DIV/0!</v>
      </c>
      <c r="H531" s="135" t="e">
        <f t="shared" si="10"/>
        <v>#DIV/0!</v>
      </c>
      <c r="I531" s="179" t="e">
        <f t="shared" si="9"/>
        <v>#DIV/0!</v>
      </c>
    </row>
    <row r="532" spans="1:9" ht="12.5">
      <c r="A532" s="9"/>
      <c r="B532" s="9"/>
      <c r="C532" s="9"/>
      <c r="D532" s="9"/>
      <c r="E532" s="9"/>
      <c r="F532" s="9"/>
      <c r="G532" s="179" t="e">
        <f t="shared" si="8"/>
        <v>#DIV/0!</v>
      </c>
      <c r="H532" s="135" t="e">
        <f t="shared" si="10"/>
        <v>#DIV/0!</v>
      </c>
      <c r="I532" s="179" t="e">
        <f t="shared" si="9"/>
        <v>#DIV/0!</v>
      </c>
    </row>
    <row r="533" spans="1:9" ht="12.5">
      <c r="A533" s="9"/>
      <c r="B533" s="9"/>
      <c r="C533" s="9"/>
      <c r="D533" s="9"/>
      <c r="E533" s="9"/>
      <c r="F533" s="9"/>
      <c r="G533" s="179" t="e">
        <f t="shared" si="8"/>
        <v>#DIV/0!</v>
      </c>
      <c r="H533" s="135" t="e">
        <f t="shared" si="10"/>
        <v>#DIV/0!</v>
      </c>
      <c r="I533" s="179" t="e">
        <f t="shared" si="9"/>
        <v>#DIV/0!</v>
      </c>
    </row>
    <row r="534" spans="1:9" ht="12.5">
      <c r="A534" s="9"/>
      <c r="B534" s="9"/>
      <c r="C534" s="9"/>
      <c r="D534" s="9"/>
      <c r="E534" s="9"/>
      <c r="F534" s="9"/>
      <c r="G534" s="179" t="e">
        <f t="shared" si="8"/>
        <v>#DIV/0!</v>
      </c>
      <c r="H534" s="135" t="e">
        <f t="shared" si="10"/>
        <v>#DIV/0!</v>
      </c>
      <c r="I534" s="179" t="e">
        <f t="shared" si="9"/>
        <v>#DIV/0!</v>
      </c>
    </row>
    <row r="535" spans="1:9" ht="12.5">
      <c r="A535" s="9"/>
      <c r="B535" s="9"/>
      <c r="C535" s="9"/>
      <c r="D535" s="9"/>
      <c r="E535" s="9"/>
      <c r="F535" s="9"/>
      <c r="G535" s="179" t="e">
        <f t="shared" si="8"/>
        <v>#DIV/0!</v>
      </c>
      <c r="H535" s="135" t="e">
        <f t="shared" si="10"/>
        <v>#DIV/0!</v>
      </c>
      <c r="I535" s="179" t="e">
        <f t="shared" si="9"/>
        <v>#DIV/0!</v>
      </c>
    </row>
    <row r="536" spans="1:9" ht="12.5">
      <c r="A536" s="9"/>
      <c r="B536" s="9"/>
      <c r="C536" s="9"/>
      <c r="D536" s="9"/>
      <c r="E536" s="9"/>
      <c r="F536" s="9"/>
      <c r="G536" s="179" t="e">
        <f t="shared" si="8"/>
        <v>#DIV/0!</v>
      </c>
      <c r="H536" s="135" t="e">
        <f t="shared" si="10"/>
        <v>#DIV/0!</v>
      </c>
      <c r="I536" s="179" t="e">
        <f t="shared" si="9"/>
        <v>#DIV/0!</v>
      </c>
    </row>
    <row r="537" spans="1:9" ht="12.5">
      <c r="A537" s="9"/>
      <c r="B537" s="9"/>
      <c r="C537" s="9"/>
      <c r="D537" s="9"/>
      <c r="E537" s="9"/>
      <c r="F537" s="9"/>
      <c r="G537" s="179" t="e">
        <f t="shared" si="8"/>
        <v>#DIV/0!</v>
      </c>
      <c r="H537" s="135" t="e">
        <f t="shared" si="10"/>
        <v>#DIV/0!</v>
      </c>
      <c r="I537" s="179" t="e">
        <f t="shared" si="9"/>
        <v>#DIV/0!</v>
      </c>
    </row>
    <row r="538" spans="1:9" ht="12.5">
      <c r="A538" s="9"/>
      <c r="B538" s="9"/>
      <c r="C538" s="9"/>
      <c r="D538" s="9"/>
      <c r="E538" s="9"/>
      <c r="F538" s="9"/>
      <c r="G538" s="179" t="e">
        <f t="shared" si="8"/>
        <v>#DIV/0!</v>
      </c>
      <c r="H538" s="135" t="e">
        <f t="shared" si="10"/>
        <v>#DIV/0!</v>
      </c>
      <c r="I538" s="179" t="e">
        <f t="shared" si="9"/>
        <v>#DIV/0!</v>
      </c>
    </row>
    <row r="539" spans="1:9" ht="12.5">
      <c r="A539" s="9"/>
      <c r="B539" s="9"/>
      <c r="C539" s="9"/>
      <c r="D539" s="9"/>
      <c r="E539" s="9"/>
      <c r="F539" s="9"/>
      <c r="G539" s="179" t="e">
        <f t="shared" si="8"/>
        <v>#DIV/0!</v>
      </c>
      <c r="H539" s="135" t="e">
        <f t="shared" si="10"/>
        <v>#DIV/0!</v>
      </c>
      <c r="I539" s="179" t="e">
        <f t="shared" si="9"/>
        <v>#DIV/0!</v>
      </c>
    </row>
    <row r="540" spans="1:9" ht="12.5">
      <c r="A540" s="9"/>
      <c r="B540" s="9"/>
      <c r="C540" s="9"/>
      <c r="D540" s="9"/>
      <c r="E540" s="9"/>
      <c r="F540" s="9"/>
      <c r="G540" s="179" t="e">
        <f t="shared" si="8"/>
        <v>#DIV/0!</v>
      </c>
      <c r="H540" s="135" t="e">
        <f t="shared" si="10"/>
        <v>#DIV/0!</v>
      </c>
      <c r="I540" s="179" t="e">
        <f t="shared" si="9"/>
        <v>#DIV/0!</v>
      </c>
    </row>
    <row r="541" spans="1:9" ht="12.5">
      <c r="A541" s="9"/>
      <c r="B541" s="9"/>
      <c r="C541" s="9"/>
      <c r="D541" s="9"/>
      <c r="E541" s="9"/>
      <c r="F541" s="9"/>
      <c r="G541" s="179" t="e">
        <f t="shared" si="8"/>
        <v>#DIV/0!</v>
      </c>
      <c r="H541" s="135" t="e">
        <f t="shared" si="10"/>
        <v>#DIV/0!</v>
      </c>
      <c r="I541" s="179" t="e">
        <f t="shared" si="9"/>
        <v>#DIV/0!</v>
      </c>
    </row>
    <row r="542" spans="1:9" ht="12.5">
      <c r="A542" s="9"/>
      <c r="B542" s="9"/>
      <c r="C542" s="9"/>
      <c r="D542" s="9"/>
      <c r="E542" s="9"/>
      <c r="F542" s="9"/>
      <c r="G542" s="179" t="e">
        <f t="shared" si="8"/>
        <v>#DIV/0!</v>
      </c>
      <c r="H542" s="135" t="e">
        <f t="shared" si="10"/>
        <v>#DIV/0!</v>
      </c>
      <c r="I542" s="179" t="e">
        <f t="shared" si="9"/>
        <v>#DIV/0!</v>
      </c>
    </row>
    <row r="543" spans="1:9" ht="12.5">
      <c r="A543" s="9"/>
      <c r="B543" s="9"/>
      <c r="C543" s="9"/>
      <c r="D543" s="9"/>
      <c r="E543" s="9"/>
      <c r="F543" s="9"/>
      <c r="G543" s="179" t="e">
        <f t="shared" si="8"/>
        <v>#DIV/0!</v>
      </c>
      <c r="H543" s="135" t="e">
        <f t="shared" si="10"/>
        <v>#DIV/0!</v>
      </c>
      <c r="I543" s="179" t="e">
        <f t="shared" si="9"/>
        <v>#DIV/0!</v>
      </c>
    </row>
    <row r="544" spans="1:9" ht="12.5">
      <c r="A544" s="9"/>
      <c r="B544" s="9"/>
      <c r="C544" s="9"/>
      <c r="D544" s="9"/>
      <c r="E544" s="9"/>
      <c r="F544" s="9"/>
      <c r="G544" s="179" t="e">
        <f t="shared" si="8"/>
        <v>#DIV/0!</v>
      </c>
      <c r="H544" s="135" t="e">
        <f t="shared" si="10"/>
        <v>#DIV/0!</v>
      </c>
      <c r="I544" s="179" t="e">
        <f t="shared" si="9"/>
        <v>#DIV/0!</v>
      </c>
    </row>
    <row r="545" spans="1:9" ht="12.5">
      <c r="A545" s="9"/>
      <c r="B545" s="9"/>
      <c r="C545" s="9"/>
      <c r="D545" s="9"/>
      <c r="E545" s="9"/>
      <c r="F545" s="9"/>
      <c r="G545" s="179" t="e">
        <f t="shared" si="8"/>
        <v>#DIV/0!</v>
      </c>
      <c r="H545" s="135" t="e">
        <f t="shared" si="10"/>
        <v>#DIV/0!</v>
      </c>
      <c r="I545" s="179" t="e">
        <f t="shared" si="9"/>
        <v>#DIV/0!</v>
      </c>
    </row>
    <row r="546" spans="1:9" ht="12.5">
      <c r="A546" s="9"/>
      <c r="B546" s="9"/>
      <c r="C546" s="9"/>
      <c r="D546" s="9"/>
      <c r="E546" s="9"/>
      <c r="F546" s="9"/>
      <c r="G546" s="179" t="e">
        <f t="shared" si="8"/>
        <v>#DIV/0!</v>
      </c>
      <c r="H546" s="135" t="e">
        <f t="shared" si="10"/>
        <v>#DIV/0!</v>
      </c>
      <c r="I546" s="179" t="e">
        <f t="shared" si="9"/>
        <v>#DIV/0!</v>
      </c>
    </row>
    <row r="547" spans="1:9" ht="12.5">
      <c r="A547" s="9"/>
      <c r="B547" s="9"/>
      <c r="C547" s="9"/>
      <c r="D547" s="9"/>
      <c r="E547" s="9"/>
      <c r="F547" s="9"/>
      <c r="G547" s="179" t="e">
        <f t="shared" si="8"/>
        <v>#DIV/0!</v>
      </c>
      <c r="H547" s="135" t="e">
        <f t="shared" si="10"/>
        <v>#DIV/0!</v>
      </c>
      <c r="I547" s="179" t="e">
        <f t="shared" si="9"/>
        <v>#DIV/0!</v>
      </c>
    </row>
    <row r="548" spans="1:9" ht="12.5">
      <c r="A548" s="9"/>
      <c r="B548" s="9"/>
      <c r="C548" s="9"/>
      <c r="D548" s="9"/>
      <c r="E548" s="9"/>
      <c r="F548" s="9"/>
      <c r="G548" s="179" t="e">
        <f t="shared" si="8"/>
        <v>#DIV/0!</v>
      </c>
      <c r="H548" s="135" t="e">
        <f t="shared" si="10"/>
        <v>#DIV/0!</v>
      </c>
      <c r="I548" s="179" t="e">
        <f t="shared" si="9"/>
        <v>#DIV/0!</v>
      </c>
    </row>
    <row r="549" spans="1:9" ht="12.5">
      <c r="A549" s="9"/>
      <c r="B549" s="9"/>
      <c r="C549" s="9"/>
      <c r="D549" s="9"/>
      <c r="E549" s="9"/>
      <c r="F549" s="9"/>
      <c r="G549" s="179" t="e">
        <f t="shared" si="8"/>
        <v>#DIV/0!</v>
      </c>
      <c r="H549" s="135" t="e">
        <f t="shared" si="10"/>
        <v>#DIV/0!</v>
      </c>
      <c r="I549" s="179" t="e">
        <f t="shared" si="9"/>
        <v>#DIV/0!</v>
      </c>
    </row>
    <row r="550" spans="1:9" ht="12.5">
      <c r="A550" s="9"/>
      <c r="B550" s="9"/>
      <c r="C550" s="9"/>
      <c r="D550" s="9"/>
      <c r="E550" s="9"/>
      <c r="F550" s="9"/>
      <c r="G550" s="179" t="e">
        <f t="shared" si="8"/>
        <v>#DIV/0!</v>
      </c>
      <c r="H550" s="135" t="e">
        <f t="shared" si="10"/>
        <v>#DIV/0!</v>
      </c>
      <c r="I550" s="179" t="e">
        <f t="shared" si="9"/>
        <v>#DIV/0!</v>
      </c>
    </row>
    <row r="551" spans="1:9" ht="12.5">
      <c r="A551" s="9"/>
      <c r="B551" s="9"/>
      <c r="C551" s="9"/>
      <c r="D551" s="9"/>
      <c r="E551" s="9"/>
      <c r="F551" s="9"/>
      <c r="G551" s="179" t="e">
        <f t="shared" si="8"/>
        <v>#DIV/0!</v>
      </c>
      <c r="H551" s="135" t="e">
        <f t="shared" si="10"/>
        <v>#DIV/0!</v>
      </c>
      <c r="I551" s="179" t="e">
        <f t="shared" si="9"/>
        <v>#DIV/0!</v>
      </c>
    </row>
    <row r="552" spans="1:9" ht="12.5">
      <c r="A552" s="9"/>
      <c r="B552" s="9"/>
      <c r="C552" s="9"/>
      <c r="D552" s="9"/>
      <c r="E552" s="9"/>
      <c r="F552" s="9"/>
      <c r="G552" s="179" t="e">
        <f t="shared" si="8"/>
        <v>#DIV/0!</v>
      </c>
      <c r="H552" s="135" t="e">
        <f t="shared" si="10"/>
        <v>#DIV/0!</v>
      </c>
      <c r="I552" s="179" t="e">
        <f t="shared" si="9"/>
        <v>#DIV/0!</v>
      </c>
    </row>
    <row r="553" spans="1:9" ht="12.5">
      <c r="A553" s="9"/>
      <c r="B553" s="9"/>
      <c r="C553" s="9"/>
      <c r="D553" s="9"/>
      <c r="E553" s="9"/>
      <c r="F553" s="9"/>
      <c r="G553" s="179" t="e">
        <f t="shared" si="8"/>
        <v>#DIV/0!</v>
      </c>
      <c r="H553" s="135" t="e">
        <f t="shared" si="10"/>
        <v>#DIV/0!</v>
      </c>
      <c r="I553" s="179" t="e">
        <f t="shared" si="9"/>
        <v>#DIV/0!</v>
      </c>
    </row>
    <row r="554" spans="1:9" ht="12.5">
      <c r="A554" s="9"/>
      <c r="B554" s="9"/>
      <c r="C554" s="9"/>
      <c r="D554" s="9"/>
      <c r="E554" s="9"/>
      <c r="F554" s="9"/>
      <c r="G554" s="179" t="e">
        <f t="shared" si="8"/>
        <v>#DIV/0!</v>
      </c>
      <c r="H554" s="135" t="e">
        <f t="shared" si="10"/>
        <v>#DIV/0!</v>
      </c>
      <c r="I554" s="179" t="e">
        <f t="shared" si="9"/>
        <v>#DIV/0!</v>
      </c>
    </row>
    <row r="555" spans="1:9" ht="12.5">
      <c r="A555" s="9"/>
      <c r="B555" s="9"/>
      <c r="C555" s="9"/>
      <c r="D555" s="9"/>
      <c r="E555" s="9"/>
      <c r="F555" s="9"/>
      <c r="G555" s="179" t="e">
        <f t="shared" si="8"/>
        <v>#DIV/0!</v>
      </c>
      <c r="H555" s="135" t="e">
        <f t="shared" si="10"/>
        <v>#DIV/0!</v>
      </c>
      <c r="I555" s="179" t="e">
        <f t="shared" si="9"/>
        <v>#DIV/0!</v>
      </c>
    </row>
    <row r="556" spans="1:9" ht="12.5">
      <c r="A556" s="9"/>
      <c r="B556" s="9"/>
      <c r="C556" s="9"/>
      <c r="D556" s="9"/>
      <c r="E556" s="9"/>
      <c r="F556" s="9"/>
      <c r="G556" s="179" t="e">
        <f t="shared" si="8"/>
        <v>#DIV/0!</v>
      </c>
      <c r="H556" s="135" t="e">
        <f t="shared" si="10"/>
        <v>#DIV/0!</v>
      </c>
      <c r="I556" s="179" t="e">
        <f t="shared" si="9"/>
        <v>#DIV/0!</v>
      </c>
    </row>
    <row r="557" spans="1:9" ht="12.5">
      <c r="A557" s="9"/>
      <c r="B557" s="9"/>
      <c r="C557" s="9"/>
      <c r="D557" s="9"/>
      <c r="E557" s="9"/>
      <c r="F557" s="9"/>
      <c r="G557" s="179" t="e">
        <f t="shared" si="8"/>
        <v>#DIV/0!</v>
      </c>
      <c r="H557" s="135" t="e">
        <f t="shared" si="10"/>
        <v>#DIV/0!</v>
      </c>
      <c r="I557" s="179" t="e">
        <f t="shared" si="9"/>
        <v>#DIV/0!</v>
      </c>
    </row>
    <row r="558" spans="1:9" ht="12.5">
      <c r="A558" s="9"/>
      <c r="B558" s="9"/>
      <c r="C558" s="9"/>
      <c r="D558" s="9"/>
      <c r="E558" s="9"/>
      <c r="F558" s="9"/>
      <c r="G558" s="179" t="e">
        <f t="shared" si="8"/>
        <v>#DIV/0!</v>
      </c>
      <c r="H558" s="135" t="e">
        <f t="shared" si="10"/>
        <v>#DIV/0!</v>
      </c>
      <c r="I558" s="179" t="e">
        <f t="shared" si="9"/>
        <v>#DIV/0!</v>
      </c>
    </row>
    <row r="559" spans="1:9" ht="12.5">
      <c r="A559" s="9"/>
      <c r="B559" s="9"/>
      <c r="C559" s="9"/>
      <c r="D559" s="9"/>
      <c r="E559" s="9"/>
      <c r="F559" s="9"/>
      <c r="G559" s="179" t="e">
        <f t="shared" si="8"/>
        <v>#DIV/0!</v>
      </c>
      <c r="H559" s="135" t="e">
        <f t="shared" si="10"/>
        <v>#DIV/0!</v>
      </c>
      <c r="I559" s="179" t="e">
        <f t="shared" si="9"/>
        <v>#DIV/0!</v>
      </c>
    </row>
    <row r="560" spans="1:9" ht="12.5">
      <c r="A560" s="9"/>
      <c r="B560" s="9"/>
      <c r="C560" s="9"/>
      <c r="D560" s="9"/>
      <c r="E560" s="9"/>
      <c r="F560" s="9"/>
      <c r="G560" s="179" t="e">
        <f t="shared" si="8"/>
        <v>#DIV/0!</v>
      </c>
      <c r="H560" s="135" t="e">
        <f t="shared" si="10"/>
        <v>#DIV/0!</v>
      </c>
      <c r="I560" s="179" t="e">
        <f t="shared" si="9"/>
        <v>#DIV/0!</v>
      </c>
    </row>
    <row r="561" spans="1:9" ht="12.5">
      <c r="A561" s="9"/>
      <c r="B561" s="9"/>
      <c r="C561" s="9"/>
      <c r="D561" s="9"/>
      <c r="E561" s="9"/>
      <c r="F561" s="9"/>
      <c r="G561" s="179" t="e">
        <f t="shared" si="8"/>
        <v>#DIV/0!</v>
      </c>
      <c r="H561" s="135" t="e">
        <f t="shared" si="10"/>
        <v>#DIV/0!</v>
      </c>
      <c r="I561" s="179" t="e">
        <f t="shared" si="9"/>
        <v>#DIV/0!</v>
      </c>
    </row>
    <row r="562" spans="1:9" ht="12.5">
      <c r="A562" s="9"/>
      <c r="B562" s="9"/>
      <c r="C562" s="9"/>
      <c r="D562" s="9"/>
      <c r="E562" s="9"/>
      <c r="F562" s="9"/>
      <c r="G562" s="179" t="e">
        <f t="shared" si="8"/>
        <v>#DIV/0!</v>
      </c>
      <c r="H562" s="135" t="e">
        <f t="shared" si="10"/>
        <v>#DIV/0!</v>
      </c>
      <c r="I562" s="179" t="e">
        <f t="shared" si="9"/>
        <v>#DIV/0!</v>
      </c>
    </row>
    <row r="563" spans="1:9" ht="12.5">
      <c r="A563" s="9"/>
      <c r="B563" s="9"/>
      <c r="C563" s="9"/>
      <c r="D563" s="9"/>
      <c r="E563" s="9"/>
      <c r="F563" s="9"/>
      <c r="G563" s="179" t="e">
        <f t="shared" si="8"/>
        <v>#DIV/0!</v>
      </c>
      <c r="H563" s="135" t="e">
        <f t="shared" si="10"/>
        <v>#DIV/0!</v>
      </c>
      <c r="I563" s="179" t="e">
        <f t="shared" si="9"/>
        <v>#DIV/0!</v>
      </c>
    </row>
    <row r="564" spans="1:9" ht="12.5">
      <c r="A564" s="9"/>
      <c r="B564" s="9"/>
      <c r="C564" s="9"/>
      <c r="D564" s="9"/>
      <c r="E564" s="9"/>
      <c r="F564" s="9"/>
      <c r="G564" s="179" t="e">
        <f t="shared" si="8"/>
        <v>#DIV/0!</v>
      </c>
      <c r="H564" s="135" t="e">
        <f t="shared" si="10"/>
        <v>#DIV/0!</v>
      </c>
      <c r="I564" s="179" t="e">
        <f t="shared" si="9"/>
        <v>#DIV/0!</v>
      </c>
    </row>
    <row r="565" spans="1:9" ht="12.5">
      <c r="A565" s="9"/>
      <c r="B565" s="9"/>
      <c r="C565" s="9"/>
      <c r="D565" s="9"/>
      <c r="E565" s="9"/>
      <c r="F565" s="9"/>
      <c r="G565" s="179" t="e">
        <f t="shared" si="8"/>
        <v>#DIV/0!</v>
      </c>
      <c r="H565" s="135" t="e">
        <f t="shared" si="10"/>
        <v>#DIV/0!</v>
      </c>
      <c r="I565" s="179" t="e">
        <f t="shared" si="9"/>
        <v>#DIV/0!</v>
      </c>
    </row>
    <row r="566" spans="1:9" ht="12.5">
      <c r="A566" s="9"/>
      <c r="B566" s="9"/>
      <c r="C566" s="9"/>
      <c r="D566" s="9"/>
      <c r="E566" s="9"/>
      <c r="F566" s="9"/>
      <c r="G566" s="179" t="e">
        <f t="shared" si="8"/>
        <v>#DIV/0!</v>
      </c>
      <c r="H566" s="135" t="e">
        <f t="shared" si="10"/>
        <v>#DIV/0!</v>
      </c>
      <c r="I566" s="179" t="e">
        <f t="shared" si="9"/>
        <v>#DIV/0!</v>
      </c>
    </row>
    <row r="567" spans="1:9" ht="12.5">
      <c r="A567" s="9"/>
      <c r="B567" s="9"/>
      <c r="C567" s="9"/>
      <c r="D567" s="9"/>
      <c r="E567" s="9"/>
      <c r="F567" s="9"/>
      <c r="G567" s="179" t="e">
        <f t="shared" si="8"/>
        <v>#DIV/0!</v>
      </c>
      <c r="H567" s="135" t="e">
        <f t="shared" si="10"/>
        <v>#DIV/0!</v>
      </c>
      <c r="I567" s="179" t="e">
        <f t="shared" si="9"/>
        <v>#DIV/0!</v>
      </c>
    </row>
    <row r="568" spans="1:9" ht="12.5">
      <c r="A568" s="9"/>
      <c r="B568" s="9"/>
      <c r="C568" s="9"/>
      <c r="D568" s="9"/>
      <c r="E568" s="9"/>
      <c r="F568" s="9"/>
      <c r="G568" s="179" t="e">
        <f t="shared" si="8"/>
        <v>#DIV/0!</v>
      </c>
      <c r="H568" s="135" t="e">
        <f t="shared" si="10"/>
        <v>#DIV/0!</v>
      </c>
      <c r="I568" s="179" t="e">
        <f t="shared" si="9"/>
        <v>#DIV/0!</v>
      </c>
    </row>
    <row r="569" spans="1:9" ht="12.5">
      <c r="A569" s="9"/>
      <c r="B569" s="9"/>
      <c r="C569" s="9"/>
      <c r="D569" s="9"/>
      <c r="E569" s="9"/>
      <c r="F569" s="9"/>
      <c r="G569" s="179" t="e">
        <f t="shared" si="8"/>
        <v>#DIV/0!</v>
      </c>
      <c r="H569" s="135" t="e">
        <f t="shared" si="10"/>
        <v>#DIV/0!</v>
      </c>
      <c r="I569" s="179" t="e">
        <f t="shared" si="9"/>
        <v>#DIV/0!</v>
      </c>
    </row>
    <row r="570" spans="1:9" ht="12.5">
      <c r="A570" s="9"/>
      <c r="B570" s="9"/>
      <c r="C570" s="9"/>
      <c r="D570" s="9"/>
      <c r="E570" s="9"/>
      <c r="F570" s="9"/>
      <c r="G570" s="179" t="e">
        <f t="shared" si="8"/>
        <v>#DIV/0!</v>
      </c>
      <c r="H570" s="135" t="e">
        <f t="shared" si="10"/>
        <v>#DIV/0!</v>
      </c>
      <c r="I570" s="179" t="e">
        <f t="shared" si="9"/>
        <v>#DIV/0!</v>
      </c>
    </row>
    <row r="571" spans="1:9" ht="12.5">
      <c r="A571" s="9"/>
      <c r="B571" s="9"/>
      <c r="C571" s="9"/>
      <c r="D571" s="9"/>
      <c r="E571" s="9"/>
      <c r="F571" s="9"/>
      <c r="G571" s="179" t="e">
        <f t="shared" si="8"/>
        <v>#DIV/0!</v>
      </c>
      <c r="H571" s="135" t="e">
        <f t="shared" si="10"/>
        <v>#DIV/0!</v>
      </c>
      <c r="I571" s="179" t="e">
        <f t="shared" si="9"/>
        <v>#DIV/0!</v>
      </c>
    </row>
    <row r="572" spans="1:9" ht="12.5">
      <c r="A572" s="9"/>
      <c r="B572" s="9"/>
      <c r="C572" s="9"/>
      <c r="D572" s="9"/>
      <c r="E572" s="9"/>
      <c r="F572" s="9"/>
      <c r="G572" s="179" t="e">
        <f t="shared" si="8"/>
        <v>#DIV/0!</v>
      </c>
      <c r="H572" s="135" t="e">
        <f t="shared" si="10"/>
        <v>#DIV/0!</v>
      </c>
      <c r="I572" s="179" t="e">
        <f t="shared" si="9"/>
        <v>#DIV/0!</v>
      </c>
    </row>
    <row r="573" spans="1:9" ht="12.5">
      <c r="A573" s="9"/>
      <c r="B573" s="9"/>
      <c r="C573" s="9"/>
      <c r="D573" s="9"/>
      <c r="E573" s="9"/>
      <c r="F573" s="9"/>
      <c r="G573" s="179" t="e">
        <f t="shared" si="8"/>
        <v>#DIV/0!</v>
      </c>
      <c r="H573" s="135" t="e">
        <f t="shared" si="10"/>
        <v>#DIV/0!</v>
      </c>
      <c r="I573" s="179" t="e">
        <f t="shared" si="9"/>
        <v>#DIV/0!</v>
      </c>
    </row>
    <row r="574" spans="1:9" ht="12.5">
      <c r="A574" s="9"/>
      <c r="B574" s="9"/>
      <c r="C574" s="9"/>
      <c r="D574" s="9"/>
      <c r="E574" s="9"/>
      <c r="F574" s="9"/>
      <c r="G574" s="179" t="e">
        <f t="shared" si="8"/>
        <v>#DIV/0!</v>
      </c>
      <c r="H574" s="135" t="e">
        <f t="shared" si="10"/>
        <v>#DIV/0!</v>
      </c>
      <c r="I574" s="179" t="e">
        <f t="shared" si="9"/>
        <v>#DIV/0!</v>
      </c>
    </row>
    <row r="575" spans="1:9" ht="12.5">
      <c r="A575" s="9"/>
      <c r="B575" s="9"/>
      <c r="C575" s="9"/>
      <c r="D575" s="9"/>
      <c r="E575" s="9"/>
      <c r="F575" s="9"/>
      <c r="G575" s="179" t="e">
        <f t="shared" si="8"/>
        <v>#DIV/0!</v>
      </c>
      <c r="H575" s="135" t="e">
        <f t="shared" si="10"/>
        <v>#DIV/0!</v>
      </c>
      <c r="I575" s="179" t="e">
        <f t="shared" si="9"/>
        <v>#DIV/0!</v>
      </c>
    </row>
    <row r="576" spans="1:9" ht="12.5">
      <c r="A576" s="9"/>
      <c r="B576" s="9"/>
      <c r="C576" s="9"/>
      <c r="D576" s="9"/>
      <c r="E576" s="9"/>
      <c r="F576" s="9"/>
      <c r="G576" s="179" t="e">
        <f t="shared" si="8"/>
        <v>#DIV/0!</v>
      </c>
      <c r="H576" s="135" t="e">
        <f t="shared" si="10"/>
        <v>#DIV/0!</v>
      </c>
      <c r="I576" s="179" t="e">
        <f t="shared" si="9"/>
        <v>#DIV/0!</v>
      </c>
    </row>
    <row r="577" spans="1:9" ht="12.5">
      <c r="A577" s="9"/>
      <c r="B577" s="9"/>
      <c r="C577" s="9"/>
      <c r="D577" s="9"/>
      <c r="E577" s="9"/>
      <c r="F577" s="9"/>
      <c r="G577" s="179" t="e">
        <f t="shared" si="8"/>
        <v>#DIV/0!</v>
      </c>
      <c r="H577" s="135" t="e">
        <f t="shared" si="10"/>
        <v>#DIV/0!</v>
      </c>
      <c r="I577" s="179" t="e">
        <f t="shared" si="9"/>
        <v>#DIV/0!</v>
      </c>
    </row>
    <row r="578" spans="1:9" ht="12.5">
      <c r="A578" s="9"/>
      <c r="B578" s="9"/>
      <c r="C578" s="9"/>
      <c r="D578" s="9"/>
      <c r="E578" s="9"/>
      <c r="F578" s="9"/>
      <c r="G578" s="179" t="e">
        <f t="shared" si="8"/>
        <v>#DIV/0!</v>
      </c>
      <c r="H578" s="135" t="e">
        <f t="shared" si="10"/>
        <v>#DIV/0!</v>
      </c>
      <c r="I578" s="179" t="e">
        <f t="shared" si="9"/>
        <v>#DIV/0!</v>
      </c>
    </row>
    <row r="579" spans="1:9" ht="12.5">
      <c r="A579" s="9"/>
      <c r="B579" s="9"/>
      <c r="C579" s="9"/>
      <c r="D579" s="9"/>
      <c r="E579" s="9"/>
      <c r="F579" s="9"/>
      <c r="G579" s="179" t="e">
        <f t="shared" si="8"/>
        <v>#DIV/0!</v>
      </c>
      <c r="H579" s="135" t="e">
        <f t="shared" si="10"/>
        <v>#DIV/0!</v>
      </c>
      <c r="I579" s="179" t="e">
        <f t="shared" si="9"/>
        <v>#DIV/0!</v>
      </c>
    </row>
    <row r="580" spans="1:9" ht="12.5">
      <c r="A580" s="9"/>
      <c r="B580" s="9"/>
      <c r="C580" s="9"/>
      <c r="D580" s="9"/>
      <c r="E580" s="9"/>
      <c r="F580" s="9"/>
      <c r="G580" s="179" t="e">
        <f t="shared" si="8"/>
        <v>#DIV/0!</v>
      </c>
      <c r="H580" s="135" t="e">
        <f t="shared" si="10"/>
        <v>#DIV/0!</v>
      </c>
      <c r="I580" s="179" t="e">
        <f t="shared" si="9"/>
        <v>#DIV/0!</v>
      </c>
    </row>
    <row r="581" spans="1:9" ht="12.5">
      <c r="A581" s="9"/>
      <c r="B581" s="9"/>
      <c r="C581" s="9"/>
      <c r="D581" s="9"/>
      <c r="E581" s="9"/>
      <c r="F581" s="9"/>
      <c r="G581" s="179" t="e">
        <f t="shared" si="8"/>
        <v>#DIV/0!</v>
      </c>
      <c r="H581" s="135" t="e">
        <f t="shared" si="10"/>
        <v>#DIV/0!</v>
      </c>
      <c r="I581" s="179" t="e">
        <f t="shared" si="9"/>
        <v>#DIV/0!</v>
      </c>
    </row>
    <row r="582" spans="1:9" ht="12.5">
      <c r="A582" s="9"/>
      <c r="B582" s="9"/>
      <c r="C582" s="9"/>
      <c r="D582" s="9"/>
      <c r="E582" s="9"/>
      <c r="F582" s="9"/>
      <c r="G582" s="179" t="e">
        <f t="shared" si="8"/>
        <v>#DIV/0!</v>
      </c>
      <c r="H582" s="135" t="e">
        <f t="shared" si="10"/>
        <v>#DIV/0!</v>
      </c>
      <c r="I582" s="179" t="e">
        <f t="shared" si="9"/>
        <v>#DIV/0!</v>
      </c>
    </row>
    <row r="583" spans="1:9" ht="12.5">
      <c r="A583" s="9"/>
      <c r="B583" s="9"/>
      <c r="C583" s="9"/>
      <c r="D583" s="9"/>
      <c r="E583" s="9"/>
      <c r="F583" s="9"/>
      <c r="G583" s="179" t="e">
        <f t="shared" si="8"/>
        <v>#DIV/0!</v>
      </c>
      <c r="H583" s="135" t="e">
        <f t="shared" si="10"/>
        <v>#DIV/0!</v>
      </c>
      <c r="I583" s="179" t="e">
        <f t="shared" si="9"/>
        <v>#DIV/0!</v>
      </c>
    </row>
    <row r="584" spans="1:9" ht="12.5">
      <c r="A584" s="9"/>
      <c r="B584" s="9"/>
      <c r="C584" s="9"/>
      <c r="D584" s="9"/>
      <c r="E584" s="9"/>
      <c r="F584" s="9"/>
      <c r="G584" s="179" t="e">
        <f t="shared" si="8"/>
        <v>#DIV/0!</v>
      </c>
      <c r="H584" s="135" t="e">
        <f t="shared" si="10"/>
        <v>#DIV/0!</v>
      </c>
      <c r="I584" s="179" t="e">
        <f t="shared" si="9"/>
        <v>#DIV/0!</v>
      </c>
    </row>
    <row r="585" spans="1:9" ht="12.5">
      <c r="A585" s="9"/>
      <c r="B585" s="9"/>
      <c r="C585" s="9"/>
      <c r="D585" s="9"/>
      <c r="E585" s="9"/>
      <c r="F585" s="9"/>
      <c r="G585" s="179" t="e">
        <f t="shared" si="8"/>
        <v>#DIV/0!</v>
      </c>
      <c r="H585" s="135" t="e">
        <f t="shared" si="10"/>
        <v>#DIV/0!</v>
      </c>
      <c r="I585" s="179" t="e">
        <f t="shared" si="9"/>
        <v>#DIV/0!</v>
      </c>
    </row>
    <row r="586" spans="1:9" ht="12.5">
      <c r="A586" s="9"/>
      <c r="B586" s="9"/>
      <c r="C586" s="9"/>
      <c r="D586" s="9"/>
      <c r="E586" s="9"/>
      <c r="F586" s="9"/>
      <c r="G586" s="179" t="e">
        <f t="shared" si="8"/>
        <v>#DIV/0!</v>
      </c>
      <c r="H586" s="135" t="e">
        <f t="shared" si="10"/>
        <v>#DIV/0!</v>
      </c>
      <c r="I586" s="179" t="e">
        <f t="shared" si="9"/>
        <v>#DIV/0!</v>
      </c>
    </row>
    <row r="587" spans="1:9" ht="12.5">
      <c r="A587" s="9"/>
      <c r="B587" s="9"/>
      <c r="C587" s="9"/>
      <c r="D587" s="9"/>
      <c r="E587" s="9"/>
      <c r="F587" s="9"/>
      <c r="G587" s="179" t="e">
        <f t="shared" si="8"/>
        <v>#DIV/0!</v>
      </c>
      <c r="H587" s="135" t="e">
        <f t="shared" si="10"/>
        <v>#DIV/0!</v>
      </c>
      <c r="I587" s="179" t="e">
        <f t="shared" si="9"/>
        <v>#DIV/0!</v>
      </c>
    </row>
    <row r="588" spans="1:9" ht="12.5">
      <c r="A588" s="9"/>
      <c r="B588" s="9"/>
      <c r="C588" s="9"/>
      <c r="D588" s="9"/>
      <c r="E588" s="9"/>
      <c r="F588" s="9"/>
      <c r="G588" s="179" t="e">
        <f t="shared" si="8"/>
        <v>#DIV/0!</v>
      </c>
      <c r="H588" s="135" t="e">
        <f t="shared" si="10"/>
        <v>#DIV/0!</v>
      </c>
      <c r="I588" s="179" t="e">
        <f t="shared" si="9"/>
        <v>#DIV/0!</v>
      </c>
    </row>
    <row r="589" spans="1:9" ht="12.5">
      <c r="A589" s="9"/>
      <c r="B589" s="9"/>
      <c r="C589" s="9"/>
      <c r="D589" s="9"/>
      <c r="E589" s="9"/>
      <c r="F589" s="9"/>
      <c r="G589" s="179" t="e">
        <f t="shared" si="8"/>
        <v>#DIV/0!</v>
      </c>
      <c r="H589" s="135" t="e">
        <f t="shared" si="10"/>
        <v>#DIV/0!</v>
      </c>
      <c r="I589" s="179" t="e">
        <f t="shared" si="9"/>
        <v>#DIV/0!</v>
      </c>
    </row>
    <row r="590" spans="1:9" ht="12.5">
      <c r="A590" s="9"/>
      <c r="B590" s="9"/>
      <c r="C590" s="9"/>
      <c r="D590" s="9"/>
      <c r="E590" s="9"/>
      <c r="F590" s="9"/>
      <c r="G590" s="179" t="e">
        <f t="shared" si="8"/>
        <v>#DIV/0!</v>
      </c>
      <c r="H590" s="135" t="e">
        <f t="shared" si="10"/>
        <v>#DIV/0!</v>
      </c>
      <c r="I590" s="179" t="e">
        <f t="shared" si="9"/>
        <v>#DIV/0!</v>
      </c>
    </row>
    <row r="591" spans="1:9" ht="12.5">
      <c r="A591" s="9"/>
      <c r="B591" s="9"/>
      <c r="C591" s="9"/>
      <c r="D591" s="9"/>
      <c r="E591" s="9"/>
      <c r="F591" s="9"/>
      <c r="G591" s="179" t="e">
        <f t="shared" si="8"/>
        <v>#DIV/0!</v>
      </c>
      <c r="H591" s="135" t="e">
        <f t="shared" si="10"/>
        <v>#DIV/0!</v>
      </c>
      <c r="I591" s="179" t="e">
        <f t="shared" si="9"/>
        <v>#DIV/0!</v>
      </c>
    </row>
    <row r="592" spans="1:9" ht="12.5">
      <c r="A592" s="9"/>
      <c r="B592" s="9"/>
      <c r="C592" s="9"/>
      <c r="D592" s="9"/>
      <c r="E592" s="9"/>
      <c r="F592" s="9"/>
      <c r="G592" s="179" t="e">
        <f t="shared" si="8"/>
        <v>#DIV/0!</v>
      </c>
      <c r="H592" s="135" t="e">
        <f t="shared" si="10"/>
        <v>#DIV/0!</v>
      </c>
      <c r="I592" s="179" t="e">
        <f t="shared" si="9"/>
        <v>#DIV/0!</v>
      </c>
    </row>
    <row r="593" spans="1:9" ht="12.5">
      <c r="A593" s="9"/>
      <c r="B593" s="9"/>
      <c r="C593" s="9"/>
      <c r="D593" s="9"/>
      <c r="E593" s="9"/>
      <c r="F593" s="9"/>
      <c r="G593" s="179" t="e">
        <f t="shared" si="8"/>
        <v>#DIV/0!</v>
      </c>
      <c r="H593" s="135" t="e">
        <f t="shared" si="10"/>
        <v>#DIV/0!</v>
      </c>
      <c r="I593" s="179" t="e">
        <f t="shared" si="9"/>
        <v>#DIV/0!</v>
      </c>
    </row>
    <row r="594" spans="1:9" ht="12.5">
      <c r="A594" s="9"/>
      <c r="B594" s="9"/>
      <c r="C594" s="9"/>
      <c r="D594" s="9"/>
      <c r="E594" s="9"/>
      <c r="F594" s="9"/>
      <c r="G594" s="179" t="e">
        <f t="shared" si="8"/>
        <v>#DIV/0!</v>
      </c>
      <c r="H594" s="135" t="e">
        <f t="shared" si="10"/>
        <v>#DIV/0!</v>
      </c>
      <c r="I594" s="179" t="e">
        <f t="shared" si="9"/>
        <v>#DIV/0!</v>
      </c>
    </row>
    <row r="595" spans="1:9" ht="12.5">
      <c r="A595" s="9"/>
      <c r="B595" s="9"/>
      <c r="C595" s="9"/>
      <c r="D595" s="9"/>
      <c r="E595" s="9"/>
      <c r="F595" s="9"/>
      <c r="G595" s="179" t="e">
        <f t="shared" si="8"/>
        <v>#DIV/0!</v>
      </c>
      <c r="H595" s="135" t="e">
        <f t="shared" si="10"/>
        <v>#DIV/0!</v>
      </c>
      <c r="I595" s="179" t="e">
        <f t="shared" si="9"/>
        <v>#DIV/0!</v>
      </c>
    </row>
    <row r="596" spans="1:9" ht="12.5">
      <c r="A596" s="9"/>
      <c r="B596" s="9"/>
      <c r="C596" s="9"/>
      <c r="D596" s="9"/>
      <c r="E596" s="9"/>
      <c r="F596" s="9"/>
      <c r="G596" s="179" t="e">
        <f t="shared" si="8"/>
        <v>#DIV/0!</v>
      </c>
      <c r="H596" s="135" t="e">
        <f t="shared" si="10"/>
        <v>#DIV/0!</v>
      </c>
      <c r="I596" s="179" t="e">
        <f t="shared" si="9"/>
        <v>#DIV/0!</v>
      </c>
    </row>
    <row r="597" spans="1:9" ht="12.5">
      <c r="A597" s="9"/>
      <c r="B597" s="9"/>
      <c r="C597" s="9"/>
      <c r="D597" s="9"/>
      <c r="E597" s="9"/>
      <c r="F597" s="9"/>
      <c r="G597" s="179" t="e">
        <f t="shared" si="8"/>
        <v>#DIV/0!</v>
      </c>
      <c r="H597" s="135" t="e">
        <f t="shared" si="10"/>
        <v>#DIV/0!</v>
      </c>
      <c r="I597" s="179" t="e">
        <f t="shared" si="9"/>
        <v>#DIV/0!</v>
      </c>
    </row>
    <row r="598" spans="1:9" ht="12.5">
      <c r="A598" s="9"/>
      <c r="B598" s="9"/>
      <c r="C598" s="9"/>
      <c r="D598" s="9"/>
      <c r="E598" s="9"/>
      <c r="F598" s="9"/>
      <c r="G598" s="179" t="e">
        <f t="shared" si="8"/>
        <v>#DIV/0!</v>
      </c>
      <c r="H598" s="135" t="e">
        <f t="shared" si="10"/>
        <v>#DIV/0!</v>
      </c>
      <c r="I598" s="179" t="e">
        <f t="shared" si="9"/>
        <v>#DIV/0!</v>
      </c>
    </row>
    <row r="599" spans="1:9" ht="12.5">
      <c r="A599" s="9"/>
      <c r="B599" s="9"/>
      <c r="C599" s="9"/>
      <c r="D599" s="9"/>
      <c r="E599" s="9"/>
      <c r="F599" s="9"/>
      <c r="G599" s="179" t="e">
        <f t="shared" si="8"/>
        <v>#DIV/0!</v>
      </c>
      <c r="H599" s="135" t="e">
        <f t="shared" si="10"/>
        <v>#DIV/0!</v>
      </c>
      <c r="I599" s="179" t="e">
        <f t="shared" si="9"/>
        <v>#DIV/0!</v>
      </c>
    </row>
    <row r="600" spans="1:9" ht="12.5">
      <c r="A600" s="9"/>
      <c r="B600" s="9"/>
      <c r="C600" s="9"/>
      <c r="D600" s="9"/>
      <c r="E600" s="9"/>
      <c r="F600" s="9"/>
      <c r="G600" s="179" t="e">
        <f t="shared" si="8"/>
        <v>#DIV/0!</v>
      </c>
      <c r="H600" s="135" t="e">
        <f t="shared" si="10"/>
        <v>#DIV/0!</v>
      </c>
      <c r="I600" s="179" t="e">
        <f t="shared" si="9"/>
        <v>#DIV/0!</v>
      </c>
    </row>
    <row r="601" spans="1:9" ht="12.5">
      <c r="A601" s="9"/>
      <c r="B601" s="9"/>
      <c r="C601" s="9"/>
      <c r="D601" s="9"/>
      <c r="E601" s="9"/>
      <c r="F601" s="9"/>
      <c r="G601" s="179" t="e">
        <f t="shared" si="8"/>
        <v>#DIV/0!</v>
      </c>
      <c r="H601" s="135" t="e">
        <f t="shared" si="10"/>
        <v>#DIV/0!</v>
      </c>
      <c r="I601" s="179" t="e">
        <f t="shared" si="9"/>
        <v>#DIV/0!</v>
      </c>
    </row>
    <row r="602" spans="1:9" ht="12.5">
      <c r="A602" s="9"/>
      <c r="B602" s="9"/>
      <c r="C602" s="9"/>
      <c r="D602" s="9"/>
      <c r="E602" s="9"/>
      <c r="F602" s="9"/>
      <c r="G602" s="179" t="e">
        <f t="shared" si="8"/>
        <v>#DIV/0!</v>
      </c>
      <c r="H602" s="135" t="e">
        <f t="shared" si="10"/>
        <v>#DIV/0!</v>
      </c>
      <c r="I602" s="179" t="e">
        <f t="shared" si="9"/>
        <v>#DIV/0!</v>
      </c>
    </row>
    <row r="603" spans="1:9" ht="12.5">
      <c r="A603" s="9"/>
      <c r="B603" s="9"/>
      <c r="C603" s="9"/>
      <c r="D603" s="9"/>
      <c r="E603" s="9"/>
      <c r="F603" s="9"/>
      <c r="G603" s="179" t="e">
        <f t="shared" si="8"/>
        <v>#DIV/0!</v>
      </c>
      <c r="H603" s="135" t="e">
        <f t="shared" si="10"/>
        <v>#DIV/0!</v>
      </c>
      <c r="I603" s="179" t="e">
        <f t="shared" si="9"/>
        <v>#DIV/0!</v>
      </c>
    </row>
    <row r="604" spans="1:9" ht="12.5">
      <c r="A604" s="9"/>
      <c r="B604" s="9"/>
      <c r="C604" s="9"/>
      <c r="D604" s="9"/>
      <c r="E604" s="9"/>
      <c r="F604" s="9"/>
      <c r="G604" s="179" t="e">
        <f t="shared" si="8"/>
        <v>#DIV/0!</v>
      </c>
      <c r="H604" s="135" t="e">
        <f t="shared" si="10"/>
        <v>#DIV/0!</v>
      </c>
      <c r="I604" s="179" t="e">
        <f t="shared" si="9"/>
        <v>#DIV/0!</v>
      </c>
    </row>
    <row r="605" spans="1:9" ht="12.5">
      <c r="A605" s="9"/>
      <c r="B605" s="9"/>
      <c r="C605" s="9"/>
      <c r="D605" s="9"/>
      <c r="E605" s="9"/>
      <c r="F605" s="9"/>
      <c r="G605" s="179" t="e">
        <f t="shared" si="8"/>
        <v>#DIV/0!</v>
      </c>
      <c r="H605" s="135" t="e">
        <f t="shared" si="10"/>
        <v>#DIV/0!</v>
      </c>
      <c r="I605" s="179" t="e">
        <f t="shared" si="9"/>
        <v>#DIV/0!</v>
      </c>
    </row>
    <row r="606" spans="1:9" ht="12.5">
      <c r="A606" s="9"/>
      <c r="B606" s="9"/>
      <c r="C606" s="9"/>
      <c r="D606" s="9"/>
      <c r="E606" s="9"/>
      <c r="F606" s="9"/>
      <c r="G606" s="179" t="e">
        <f t="shared" si="8"/>
        <v>#DIV/0!</v>
      </c>
      <c r="H606" s="135" t="e">
        <f t="shared" si="10"/>
        <v>#DIV/0!</v>
      </c>
      <c r="I606" s="179" t="e">
        <f t="shared" si="9"/>
        <v>#DIV/0!</v>
      </c>
    </row>
    <row r="607" spans="1:9" ht="12.5">
      <c r="A607" s="9"/>
      <c r="B607" s="9"/>
      <c r="C607" s="9"/>
      <c r="D607" s="9"/>
      <c r="E607" s="9"/>
      <c r="F607" s="9"/>
      <c r="G607" s="179" t="e">
        <f t="shared" si="8"/>
        <v>#DIV/0!</v>
      </c>
      <c r="H607" s="135" t="e">
        <f t="shared" si="10"/>
        <v>#DIV/0!</v>
      </c>
      <c r="I607" s="179" t="e">
        <f t="shared" si="9"/>
        <v>#DIV/0!</v>
      </c>
    </row>
    <row r="608" spans="1:9" ht="12.5">
      <c r="A608" s="9"/>
      <c r="B608" s="9"/>
      <c r="C608" s="9"/>
      <c r="D608" s="9"/>
      <c r="E608" s="9"/>
      <c r="F608" s="9"/>
      <c r="G608" s="179" t="e">
        <f t="shared" si="8"/>
        <v>#DIV/0!</v>
      </c>
      <c r="H608" s="135" t="e">
        <f t="shared" si="10"/>
        <v>#DIV/0!</v>
      </c>
      <c r="I608" s="179" t="e">
        <f t="shared" si="9"/>
        <v>#DIV/0!</v>
      </c>
    </row>
    <row r="609" spans="1:9" ht="12.5">
      <c r="A609" s="9"/>
      <c r="B609" s="9"/>
      <c r="C609" s="9"/>
      <c r="D609" s="9"/>
      <c r="E609" s="9"/>
      <c r="F609" s="9"/>
      <c r="G609" s="179" t="e">
        <f t="shared" si="8"/>
        <v>#DIV/0!</v>
      </c>
      <c r="H609" s="135" t="e">
        <f t="shared" si="10"/>
        <v>#DIV/0!</v>
      </c>
      <c r="I609" s="179" t="e">
        <f t="shared" si="9"/>
        <v>#DIV/0!</v>
      </c>
    </row>
    <row r="610" spans="1:9" ht="12.5">
      <c r="A610" s="9"/>
      <c r="B610" s="9"/>
      <c r="C610" s="9"/>
      <c r="D610" s="9"/>
      <c r="E610" s="9"/>
      <c r="F610" s="9"/>
      <c r="G610" s="179" t="e">
        <f t="shared" si="8"/>
        <v>#DIV/0!</v>
      </c>
      <c r="H610" s="135" t="e">
        <f t="shared" si="10"/>
        <v>#DIV/0!</v>
      </c>
      <c r="I610" s="179" t="e">
        <f t="shared" si="9"/>
        <v>#DIV/0!</v>
      </c>
    </row>
    <row r="611" spans="1:9" ht="12.5">
      <c r="A611" s="9"/>
      <c r="B611" s="9"/>
      <c r="C611" s="9"/>
      <c r="D611" s="9"/>
      <c r="E611" s="9"/>
      <c r="F611" s="9"/>
      <c r="G611" s="179" t="e">
        <f t="shared" si="8"/>
        <v>#DIV/0!</v>
      </c>
      <c r="H611" s="135" t="e">
        <f t="shared" si="10"/>
        <v>#DIV/0!</v>
      </c>
      <c r="I611" s="179" t="e">
        <f t="shared" si="9"/>
        <v>#DIV/0!</v>
      </c>
    </row>
    <row r="612" spans="1:9" ht="12.5">
      <c r="A612" s="9"/>
      <c r="B612" s="9"/>
      <c r="C612" s="9"/>
      <c r="D612" s="9"/>
      <c r="E612" s="9"/>
      <c r="F612" s="9"/>
      <c r="G612" s="179" t="e">
        <f t="shared" si="8"/>
        <v>#DIV/0!</v>
      </c>
      <c r="H612" s="135" t="e">
        <f t="shared" si="10"/>
        <v>#DIV/0!</v>
      </c>
      <c r="I612" s="179" t="e">
        <f t="shared" si="9"/>
        <v>#DIV/0!</v>
      </c>
    </row>
    <row r="613" spans="1:9" ht="12.5">
      <c r="A613" s="9"/>
      <c r="B613" s="9"/>
      <c r="C613" s="9"/>
      <c r="D613" s="9"/>
      <c r="E613" s="9"/>
      <c r="F613" s="9"/>
      <c r="G613" s="179" t="e">
        <f t="shared" si="8"/>
        <v>#DIV/0!</v>
      </c>
      <c r="H613" s="135" t="e">
        <f t="shared" si="10"/>
        <v>#DIV/0!</v>
      </c>
      <c r="I613" s="179" t="e">
        <f t="shared" si="9"/>
        <v>#DIV/0!</v>
      </c>
    </row>
    <row r="614" spans="1:9" ht="12.5">
      <c r="A614" s="9"/>
      <c r="B614" s="9"/>
      <c r="C614" s="9"/>
      <c r="D614" s="9"/>
      <c r="E614" s="9"/>
      <c r="F614" s="9"/>
      <c r="G614" s="179" t="e">
        <f t="shared" si="8"/>
        <v>#DIV/0!</v>
      </c>
      <c r="H614" s="135" t="e">
        <f t="shared" si="10"/>
        <v>#DIV/0!</v>
      </c>
      <c r="I614" s="179" t="e">
        <f t="shared" si="9"/>
        <v>#DIV/0!</v>
      </c>
    </row>
    <row r="615" spans="1:9" ht="12.5">
      <c r="A615" s="9"/>
      <c r="B615" s="9"/>
      <c r="C615" s="9"/>
      <c r="D615" s="9"/>
      <c r="E615" s="9"/>
      <c r="F615" s="9"/>
      <c r="G615" s="179" t="e">
        <f t="shared" si="8"/>
        <v>#DIV/0!</v>
      </c>
      <c r="H615" s="135" t="e">
        <f t="shared" si="10"/>
        <v>#DIV/0!</v>
      </c>
      <c r="I615" s="179" t="e">
        <f t="shared" si="9"/>
        <v>#DIV/0!</v>
      </c>
    </row>
    <row r="616" spans="1:9" ht="12.5">
      <c r="A616" s="9"/>
      <c r="B616" s="9"/>
      <c r="C616" s="9"/>
      <c r="D616" s="9"/>
      <c r="E616" s="9"/>
      <c r="F616" s="9"/>
      <c r="G616" s="179" t="e">
        <f t="shared" si="8"/>
        <v>#DIV/0!</v>
      </c>
      <c r="H616" s="135" t="e">
        <f t="shared" si="10"/>
        <v>#DIV/0!</v>
      </c>
      <c r="I616" s="179" t="e">
        <f t="shared" si="9"/>
        <v>#DIV/0!</v>
      </c>
    </row>
    <row r="617" spans="1:9" ht="12.5">
      <c r="A617" s="9"/>
      <c r="B617" s="9"/>
      <c r="C617" s="9"/>
      <c r="D617" s="9"/>
      <c r="E617" s="9"/>
      <c r="F617" s="9"/>
      <c r="G617" s="179" t="e">
        <f t="shared" si="8"/>
        <v>#DIV/0!</v>
      </c>
      <c r="H617" s="135" t="e">
        <f t="shared" si="10"/>
        <v>#DIV/0!</v>
      </c>
      <c r="I617" s="179" t="e">
        <f t="shared" si="9"/>
        <v>#DIV/0!</v>
      </c>
    </row>
    <row r="618" spans="1:9" ht="12.5">
      <c r="A618" s="9"/>
      <c r="B618" s="9"/>
      <c r="C618" s="9"/>
      <c r="D618" s="9"/>
      <c r="E618" s="9"/>
      <c r="F618" s="9"/>
      <c r="G618" s="179" t="e">
        <f t="shared" si="8"/>
        <v>#DIV/0!</v>
      </c>
      <c r="H618" s="135" t="e">
        <f t="shared" si="10"/>
        <v>#DIV/0!</v>
      </c>
      <c r="I618" s="179" t="e">
        <f t="shared" si="9"/>
        <v>#DIV/0!</v>
      </c>
    </row>
    <row r="619" spans="1:9" ht="12.5">
      <c r="A619" s="9"/>
      <c r="B619" s="9"/>
      <c r="C619" s="9"/>
      <c r="D619" s="9"/>
      <c r="E619" s="9"/>
      <c r="F619" s="9"/>
      <c r="G619" s="179" t="e">
        <f t="shared" si="8"/>
        <v>#DIV/0!</v>
      </c>
      <c r="H619" s="135" t="e">
        <f t="shared" si="10"/>
        <v>#DIV/0!</v>
      </c>
      <c r="I619" s="179" t="e">
        <f t="shared" si="9"/>
        <v>#DIV/0!</v>
      </c>
    </row>
    <row r="620" spans="1:9" ht="12.5">
      <c r="A620" s="9"/>
      <c r="B620" s="9"/>
      <c r="C620" s="9"/>
      <c r="D620" s="9"/>
      <c r="E620" s="9"/>
      <c r="F620" s="9"/>
      <c r="G620" s="179" t="e">
        <f t="shared" si="8"/>
        <v>#DIV/0!</v>
      </c>
      <c r="H620" s="135" t="e">
        <f t="shared" si="10"/>
        <v>#DIV/0!</v>
      </c>
      <c r="I620" s="179" t="e">
        <f t="shared" si="9"/>
        <v>#DIV/0!</v>
      </c>
    </row>
    <row r="621" spans="1:9" ht="12.5">
      <c r="A621" s="9"/>
      <c r="B621" s="9"/>
      <c r="C621" s="9"/>
      <c r="D621" s="9"/>
      <c r="E621" s="9"/>
      <c r="F621" s="9"/>
      <c r="G621" s="179" t="e">
        <f t="shared" si="8"/>
        <v>#DIV/0!</v>
      </c>
      <c r="H621" s="135" t="e">
        <f t="shared" si="10"/>
        <v>#DIV/0!</v>
      </c>
      <c r="I621" s="179" t="e">
        <f t="shared" si="9"/>
        <v>#DIV/0!</v>
      </c>
    </row>
    <row r="622" spans="1:9" ht="12.5">
      <c r="A622" s="9"/>
      <c r="B622" s="9"/>
      <c r="C622" s="9"/>
      <c r="D622" s="9"/>
      <c r="E622" s="9"/>
      <c r="F622" s="9"/>
      <c r="G622" s="179" t="e">
        <f t="shared" si="8"/>
        <v>#DIV/0!</v>
      </c>
      <c r="H622" s="135" t="e">
        <f t="shared" si="10"/>
        <v>#DIV/0!</v>
      </c>
      <c r="I622" s="179" t="e">
        <f t="shared" si="9"/>
        <v>#DIV/0!</v>
      </c>
    </row>
    <row r="623" spans="1:9" ht="12.5">
      <c r="A623" s="9"/>
      <c r="B623" s="9"/>
      <c r="C623" s="9"/>
      <c r="D623" s="9"/>
      <c r="E623" s="9"/>
      <c r="F623" s="9"/>
      <c r="G623" s="179" t="e">
        <f t="shared" si="8"/>
        <v>#DIV/0!</v>
      </c>
      <c r="H623" s="135" t="e">
        <f t="shared" si="10"/>
        <v>#DIV/0!</v>
      </c>
      <c r="I623" s="179" t="e">
        <f t="shared" si="9"/>
        <v>#DIV/0!</v>
      </c>
    </row>
    <row r="624" spans="1:9" ht="12.5">
      <c r="A624" s="9"/>
      <c r="B624" s="9"/>
      <c r="C624" s="9"/>
      <c r="D624" s="9"/>
      <c r="E624" s="9"/>
      <c r="F624" s="9"/>
      <c r="G624" s="179" t="e">
        <f t="shared" si="8"/>
        <v>#DIV/0!</v>
      </c>
      <c r="H624" s="135" t="e">
        <f t="shared" si="10"/>
        <v>#DIV/0!</v>
      </c>
      <c r="I624" s="179" t="e">
        <f t="shared" si="9"/>
        <v>#DIV/0!</v>
      </c>
    </row>
    <row r="625" spans="1:9" ht="12.5">
      <c r="A625" s="9"/>
      <c r="B625" s="9"/>
      <c r="C625" s="9"/>
      <c r="D625" s="9"/>
      <c r="E625" s="9"/>
      <c r="F625" s="9"/>
      <c r="G625" s="179" t="e">
        <f t="shared" si="8"/>
        <v>#DIV/0!</v>
      </c>
      <c r="H625" s="135" t="e">
        <f t="shared" si="10"/>
        <v>#DIV/0!</v>
      </c>
      <c r="I625" s="179" t="e">
        <f t="shared" si="9"/>
        <v>#DIV/0!</v>
      </c>
    </row>
    <row r="626" spans="1:9" ht="12.5">
      <c r="A626" s="9"/>
      <c r="B626" s="9"/>
      <c r="C626" s="9"/>
      <c r="D626" s="9"/>
      <c r="E626" s="9"/>
      <c r="F626" s="9"/>
      <c r="G626" s="179" t="e">
        <f t="shared" si="8"/>
        <v>#DIV/0!</v>
      </c>
      <c r="H626" s="135" t="e">
        <f t="shared" si="10"/>
        <v>#DIV/0!</v>
      </c>
      <c r="I626" s="179" t="e">
        <f t="shared" si="9"/>
        <v>#DIV/0!</v>
      </c>
    </row>
    <row r="627" spans="1:9" ht="12.5">
      <c r="A627" s="9"/>
      <c r="B627" s="9"/>
      <c r="C627" s="9"/>
      <c r="D627" s="9"/>
      <c r="E627" s="9"/>
      <c r="F627" s="9"/>
      <c r="G627" s="179" t="e">
        <f t="shared" si="8"/>
        <v>#DIV/0!</v>
      </c>
      <c r="H627" s="135" t="e">
        <f t="shared" si="10"/>
        <v>#DIV/0!</v>
      </c>
      <c r="I627" s="179" t="e">
        <f t="shared" si="9"/>
        <v>#DIV/0!</v>
      </c>
    </row>
    <row r="628" spans="1:9" ht="12.5">
      <c r="A628" s="9"/>
      <c r="B628" s="9"/>
      <c r="C628" s="9"/>
      <c r="D628" s="9"/>
      <c r="E628" s="9"/>
      <c r="F628" s="9"/>
      <c r="G628" s="179" t="e">
        <f t="shared" si="8"/>
        <v>#DIV/0!</v>
      </c>
      <c r="H628" s="135" t="e">
        <f t="shared" si="10"/>
        <v>#DIV/0!</v>
      </c>
      <c r="I628" s="179" t="e">
        <f t="shared" si="9"/>
        <v>#DIV/0!</v>
      </c>
    </row>
    <row r="629" spans="1:9" ht="12.5">
      <c r="A629" s="9"/>
      <c r="B629" s="9"/>
      <c r="C629" s="9"/>
      <c r="D629" s="9"/>
      <c r="E629" s="9"/>
      <c r="F629" s="9"/>
      <c r="G629" s="179" t="e">
        <f t="shared" si="8"/>
        <v>#DIV/0!</v>
      </c>
      <c r="H629" s="135" t="e">
        <f t="shared" si="10"/>
        <v>#DIV/0!</v>
      </c>
      <c r="I629" s="179" t="e">
        <f t="shared" si="9"/>
        <v>#DIV/0!</v>
      </c>
    </row>
    <row r="630" spans="1:9" ht="12.5">
      <c r="A630" s="9"/>
      <c r="B630" s="9"/>
      <c r="C630" s="9"/>
      <c r="D630" s="9"/>
      <c r="E630" s="9"/>
      <c r="F630" s="9"/>
      <c r="G630" s="179" t="e">
        <f t="shared" si="8"/>
        <v>#DIV/0!</v>
      </c>
      <c r="H630" s="135" t="e">
        <f t="shared" si="10"/>
        <v>#DIV/0!</v>
      </c>
      <c r="I630" s="179" t="e">
        <f t="shared" si="9"/>
        <v>#DIV/0!</v>
      </c>
    </row>
    <row r="631" spans="1:9" ht="12.5">
      <c r="A631" s="9"/>
      <c r="B631" s="9"/>
      <c r="C631" s="9"/>
      <c r="D631" s="9"/>
      <c r="E631" s="9"/>
      <c r="F631" s="9"/>
      <c r="G631" s="179" t="e">
        <f t="shared" si="8"/>
        <v>#DIV/0!</v>
      </c>
      <c r="H631" s="135" t="e">
        <f t="shared" si="10"/>
        <v>#DIV/0!</v>
      </c>
      <c r="I631" s="179" t="e">
        <f t="shared" si="9"/>
        <v>#DIV/0!</v>
      </c>
    </row>
    <row r="632" spans="1:9" ht="12.5">
      <c r="A632" s="9"/>
      <c r="B632" s="9"/>
      <c r="C632" s="9"/>
      <c r="D632" s="9"/>
      <c r="E632" s="9"/>
      <c r="F632" s="9"/>
      <c r="G632" s="179" t="e">
        <f t="shared" si="8"/>
        <v>#DIV/0!</v>
      </c>
      <c r="H632" s="135" t="e">
        <f t="shared" si="10"/>
        <v>#DIV/0!</v>
      </c>
      <c r="I632" s="179" t="e">
        <f t="shared" si="9"/>
        <v>#DIV/0!</v>
      </c>
    </row>
    <row r="633" spans="1:9" ht="12.5">
      <c r="A633" s="9"/>
      <c r="B633" s="9"/>
      <c r="C633" s="9"/>
      <c r="D633" s="9"/>
      <c r="E633" s="9"/>
      <c r="F633" s="9"/>
      <c r="G633" s="179" t="e">
        <f t="shared" si="8"/>
        <v>#DIV/0!</v>
      </c>
      <c r="H633" s="135" t="e">
        <f t="shared" si="10"/>
        <v>#DIV/0!</v>
      </c>
      <c r="I633" s="179" t="e">
        <f t="shared" si="9"/>
        <v>#DIV/0!</v>
      </c>
    </row>
    <row r="634" spans="1:9" ht="12.5">
      <c r="A634" s="9"/>
      <c r="B634" s="9"/>
      <c r="C634" s="9"/>
      <c r="D634" s="9"/>
      <c r="E634" s="9"/>
      <c r="F634" s="9"/>
      <c r="G634" s="179" t="e">
        <f t="shared" si="8"/>
        <v>#DIV/0!</v>
      </c>
      <c r="H634" s="135" t="e">
        <f t="shared" si="10"/>
        <v>#DIV/0!</v>
      </c>
      <c r="I634" s="179" t="e">
        <f t="shared" si="9"/>
        <v>#DIV/0!</v>
      </c>
    </row>
    <row r="635" spans="1:9" ht="12.5">
      <c r="A635" s="9"/>
      <c r="B635" s="9"/>
      <c r="C635" s="9"/>
      <c r="D635" s="9"/>
      <c r="E635" s="9"/>
      <c r="F635" s="9"/>
      <c r="G635" s="179" t="e">
        <f t="shared" si="8"/>
        <v>#DIV/0!</v>
      </c>
      <c r="H635" s="135" t="e">
        <f t="shared" si="10"/>
        <v>#DIV/0!</v>
      </c>
      <c r="I635" s="179" t="e">
        <f t="shared" si="9"/>
        <v>#DIV/0!</v>
      </c>
    </row>
    <row r="636" spans="1:9" ht="12.5">
      <c r="A636" s="9"/>
      <c r="B636" s="9"/>
      <c r="C636" s="9"/>
      <c r="D636" s="9"/>
      <c r="E636" s="9"/>
      <c r="F636" s="9"/>
      <c r="G636" s="179" t="e">
        <f t="shared" si="8"/>
        <v>#DIV/0!</v>
      </c>
      <c r="H636" s="135" t="e">
        <f t="shared" si="10"/>
        <v>#DIV/0!</v>
      </c>
      <c r="I636" s="179" t="e">
        <f t="shared" si="9"/>
        <v>#DIV/0!</v>
      </c>
    </row>
    <row r="637" spans="1:9" ht="12.5">
      <c r="A637" s="9"/>
      <c r="B637" s="9"/>
      <c r="C637" s="9"/>
      <c r="D637" s="9"/>
      <c r="E637" s="9"/>
      <c r="F637" s="9"/>
      <c r="G637" s="179" t="e">
        <f t="shared" si="8"/>
        <v>#DIV/0!</v>
      </c>
      <c r="H637" s="135" t="e">
        <f t="shared" si="10"/>
        <v>#DIV/0!</v>
      </c>
      <c r="I637" s="179" t="e">
        <f t="shared" si="9"/>
        <v>#DIV/0!</v>
      </c>
    </row>
    <row r="638" spans="1:9" ht="12.5">
      <c r="A638" s="9"/>
      <c r="B638" s="9"/>
      <c r="C638" s="9"/>
      <c r="D638" s="9"/>
      <c r="E638" s="9"/>
      <c r="F638" s="9"/>
      <c r="G638" s="179" t="e">
        <f t="shared" si="8"/>
        <v>#DIV/0!</v>
      </c>
      <c r="H638" s="135" t="e">
        <f t="shared" si="10"/>
        <v>#DIV/0!</v>
      </c>
      <c r="I638" s="179" t="e">
        <f t="shared" si="9"/>
        <v>#DIV/0!</v>
      </c>
    </row>
    <row r="639" spans="1:9" ht="12.5">
      <c r="A639" s="9"/>
      <c r="B639" s="9"/>
      <c r="C639" s="9"/>
      <c r="D639" s="9"/>
      <c r="E639" s="9"/>
      <c r="F639" s="9"/>
      <c r="G639" s="179" t="e">
        <f t="shared" si="8"/>
        <v>#DIV/0!</v>
      </c>
      <c r="H639" s="135" t="e">
        <f t="shared" si="10"/>
        <v>#DIV/0!</v>
      </c>
      <c r="I639" s="179" t="e">
        <f t="shared" si="9"/>
        <v>#DIV/0!</v>
      </c>
    </row>
    <row r="640" spans="1:9" ht="12.5">
      <c r="A640" s="9"/>
      <c r="B640" s="9"/>
      <c r="C640" s="9"/>
      <c r="D640" s="9"/>
      <c r="E640" s="9"/>
      <c r="F640" s="9"/>
      <c r="G640" s="179" t="e">
        <f t="shared" si="8"/>
        <v>#DIV/0!</v>
      </c>
      <c r="H640" s="135" t="e">
        <f t="shared" si="10"/>
        <v>#DIV/0!</v>
      </c>
      <c r="I640" s="179" t="e">
        <f t="shared" si="9"/>
        <v>#DIV/0!</v>
      </c>
    </row>
    <row r="641" spans="1:9" ht="12.5">
      <c r="A641" s="9"/>
      <c r="B641" s="9"/>
      <c r="C641" s="9"/>
      <c r="D641" s="9"/>
      <c r="E641" s="9"/>
      <c r="F641" s="9"/>
      <c r="G641" s="179" t="e">
        <f t="shared" si="8"/>
        <v>#DIV/0!</v>
      </c>
      <c r="H641" s="135" t="e">
        <f t="shared" si="10"/>
        <v>#DIV/0!</v>
      </c>
      <c r="I641" s="179" t="e">
        <f t="shared" si="9"/>
        <v>#DIV/0!</v>
      </c>
    </row>
    <row r="642" spans="1:9" ht="12.5">
      <c r="A642" s="9"/>
      <c r="B642" s="9"/>
      <c r="C642" s="9"/>
      <c r="D642" s="9"/>
      <c r="E642" s="9"/>
      <c r="F642" s="9"/>
      <c r="G642" s="179" t="e">
        <f t="shared" si="8"/>
        <v>#DIV/0!</v>
      </c>
      <c r="H642" s="135" t="e">
        <f t="shared" si="10"/>
        <v>#DIV/0!</v>
      </c>
      <c r="I642" s="179" t="e">
        <f t="shared" si="9"/>
        <v>#DIV/0!</v>
      </c>
    </row>
    <row r="643" spans="1:9" ht="12.5">
      <c r="A643" s="9"/>
      <c r="B643" s="9"/>
      <c r="C643" s="9"/>
      <c r="D643" s="9"/>
      <c r="E643" s="9"/>
      <c r="F643" s="9"/>
      <c r="G643" s="179" t="e">
        <f t="shared" si="8"/>
        <v>#DIV/0!</v>
      </c>
      <c r="H643" s="135" t="e">
        <f t="shared" si="10"/>
        <v>#DIV/0!</v>
      </c>
      <c r="I643" s="179" t="e">
        <f t="shared" si="9"/>
        <v>#DIV/0!</v>
      </c>
    </row>
    <row r="644" spans="1:9" ht="12.5">
      <c r="A644" s="9"/>
      <c r="B644" s="9"/>
      <c r="C644" s="9"/>
      <c r="D644" s="9"/>
      <c r="E644" s="9"/>
      <c r="F644" s="9"/>
      <c r="G644" s="179" t="e">
        <f t="shared" si="8"/>
        <v>#DIV/0!</v>
      </c>
      <c r="H644" s="135" t="e">
        <f t="shared" si="10"/>
        <v>#DIV/0!</v>
      </c>
      <c r="I644" s="179" t="e">
        <f t="shared" si="9"/>
        <v>#DIV/0!</v>
      </c>
    </row>
    <row r="645" spans="1:9" ht="12.5">
      <c r="A645" s="9"/>
      <c r="B645" s="9"/>
      <c r="C645" s="9"/>
      <c r="D645" s="9"/>
      <c r="E645" s="9"/>
      <c r="F645" s="9"/>
      <c r="G645" s="179" t="e">
        <f t="shared" si="8"/>
        <v>#DIV/0!</v>
      </c>
      <c r="H645" s="135" t="e">
        <f t="shared" si="10"/>
        <v>#DIV/0!</v>
      </c>
      <c r="I645" s="179" t="e">
        <f t="shared" si="9"/>
        <v>#DIV/0!</v>
      </c>
    </row>
    <row r="646" spans="1:9" ht="12.5">
      <c r="A646" s="9"/>
      <c r="B646" s="9"/>
      <c r="C646" s="9"/>
      <c r="D646" s="9"/>
      <c r="E646" s="9"/>
      <c r="F646" s="9"/>
      <c r="G646" s="179" t="e">
        <f t="shared" si="8"/>
        <v>#DIV/0!</v>
      </c>
      <c r="H646" s="135" t="e">
        <f t="shared" si="10"/>
        <v>#DIV/0!</v>
      </c>
      <c r="I646" s="179" t="e">
        <f t="shared" si="9"/>
        <v>#DIV/0!</v>
      </c>
    </row>
    <row r="647" spans="1:9" ht="12.5">
      <c r="A647" s="9"/>
      <c r="B647" s="9"/>
      <c r="C647" s="9"/>
      <c r="D647" s="9"/>
      <c r="E647" s="9"/>
      <c r="F647" s="9"/>
      <c r="G647" s="179" t="e">
        <f t="shared" si="8"/>
        <v>#DIV/0!</v>
      </c>
      <c r="H647" s="135" t="e">
        <f t="shared" si="10"/>
        <v>#DIV/0!</v>
      </c>
      <c r="I647" s="179" t="e">
        <f t="shared" si="9"/>
        <v>#DIV/0!</v>
      </c>
    </row>
    <row r="648" spans="1:9" ht="12.5">
      <c r="A648" s="9"/>
      <c r="B648" s="9"/>
      <c r="C648" s="9"/>
      <c r="D648" s="9"/>
      <c r="E648" s="9"/>
      <c r="F648" s="9"/>
      <c r="G648" s="179" t="e">
        <f t="shared" si="8"/>
        <v>#DIV/0!</v>
      </c>
      <c r="H648" s="135" t="e">
        <f t="shared" si="10"/>
        <v>#DIV/0!</v>
      </c>
      <c r="I648" s="179" t="e">
        <f t="shared" si="9"/>
        <v>#DIV/0!</v>
      </c>
    </row>
    <row r="649" spans="1:9" ht="12.5">
      <c r="A649" s="9"/>
      <c r="B649" s="9"/>
      <c r="C649" s="9"/>
      <c r="D649" s="9"/>
      <c r="E649" s="9"/>
      <c r="F649" s="9"/>
      <c r="G649" s="179" t="e">
        <f t="shared" si="8"/>
        <v>#DIV/0!</v>
      </c>
      <c r="H649" s="135" t="e">
        <f t="shared" si="10"/>
        <v>#DIV/0!</v>
      </c>
      <c r="I649" s="179" t="e">
        <f t="shared" si="9"/>
        <v>#DIV/0!</v>
      </c>
    </row>
    <row r="650" spans="1:9" ht="12.5">
      <c r="A650" s="9"/>
      <c r="B650" s="9"/>
      <c r="C650" s="9"/>
      <c r="D650" s="9"/>
      <c r="E650" s="9"/>
      <c r="F650" s="9"/>
      <c r="G650" s="179" t="e">
        <f t="shared" si="8"/>
        <v>#DIV/0!</v>
      </c>
      <c r="H650" s="135" t="e">
        <f t="shared" si="10"/>
        <v>#DIV/0!</v>
      </c>
      <c r="I650" s="179" t="e">
        <f t="shared" si="9"/>
        <v>#DIV/0!</v>
      </c>
    </row>
    <row r="651" spans="1:9" ht="12.5">
      <c r="A651" s="9"/>
      <c r="B651" s="9"/>
      <c r="C651" s="9"/>
      <c r="D651" s="9"/>
      <c r="E651" s="9"/>
      <c r="F651" s="9"/>
      <c r="G651" s="179" t="e">
        <f t="shared" si="8"/>
        <v>#DIV/0!</v>
      </c>
      <c r="H651" s="135" t="e">
        <f t="shared" si="10"/>
        <v>#DIV/0!</v>
      </c>
      <c r="I651" s="179" t="e">
        <f t="shared" si="9"/>
        <v>#DIV/0!</v>
      </c>
    </row>
    <row r="652" spans="1:9" ht="12.5">
      <c r="A652" s="9"/>
      <c r="B652" s="9"/>
      <c r="C652" s="9"/>
      <c r="D652" s="9"/>
      <c r="E652" s="9"/>
      <c r="F652" s="9"/>
      <c r="G652" s="179" t="e">
        <f t="shared" si="8"/>
        <v>#DIV/0!</v>
      </c>
      <c r="H652" s="135" t="e">
        <f t="shared" si="10"/>
        <v>#DIV/0!</v>
      </c>
      <c r="I652" s="179" t="e">
        <f t="shared" si="9"/>
        <v>#DIV/0!</v>
      </c>
    </row>
    <row r="653" spans="1:9" ht="12.5">
      <c r="A653" s="9"/>
      <c r="B653" s="9"/>
      <c r="C653" s="9"/>
      <c r="D653" s="9"/>
      <c r="E653" s="9"/>
      <c r="F653" s="9"/>
      <c r="G653" s="179" t="e">
        <f t="shared" si="8"/>
        <v>#DIV/0!</v>
      </c>
      <c r="H653" s="135" t="e">
        <f t="shared" si="10"/>
        <v>#DIV/0!</v>
      </c>
      <c r="I653" s="179" t="e">
        <f t="shared" si="9"/>
        <v>#DIV/0!</v>
      </c>
    </row>
    <row r="654" spans="1:9" ht="12.5">
      <c r="A654" s="9"/>
      <c r="B654" s="9"/>
      <c r="C654" s="9"/>
      <c r="D654" s="9"/>
      <c r="E654" s="9"/>
      <c r="F654" s="9"/>
      <c r="G654" s="179" t="e">
        <f t="shared" si="8"/>
        <v>#DIV/0!</v>
      </c>
      <c r="H654" s="135" t="e">
        <f t="shared" si="10"/>
        <v>#DIV/0!</v>
      </c>
      <c r="I654" s="179" t="e">
        <f t="shared" si="9"/>
        <v>#DIV/0!</v>
      </c>
    </row>
    <row r="655" spans="1:9" ht="12.5">
      <c r="A655" s="9"/>
      <c r="B655" s="9"/>
      <c r="C655" s="9"/>
      <c r="D655" s="9"/>
      <c r="E655" s="9"/>
      <c r="F655" s="9"/>
      <c r="G655" s="179" t="e">
        <f t="shared" si="8"/>
        <v>#DIV/0!</v>
      </c>
      <c r="H655" s="135" t="e">
        <f t="shared" si="10"/>
        <v>#DIV/0!</v>
      </c>
      <c r="I655" s="179" t="e">
        <f t="shared" si="9"/>
        <v>#DIV/0!</v>
      </c>
    </row>
    <row r="656" spans="1:9" ht="12.5">
      <c r="A656" s="9"/>
      <c r="B656" s="9"/>
      <c r="C656" s="9"/>
      <c r="D656" s="9"/>
      <c r="E656" s="9"/>
      <c r="F656" s="9"/>
      <c r="G656" s="179" t="e">
        <f t="shared" si="8"/>
        <v>#DIV/0!</v>
      </c>
      <c r="H656" s="135" t="e">
        <f t="shared" si="10"/>
        <v>#DIV/0!</v>
      </c>
      <c r="I656" s="179" t="e">
        <f t="shared" si="9"/>
        <v>#DIV/0!</v>
      </c>
    </row>
    <row r="657" spans="1:9" ht="12.5">
      <c r="A657" s="9"/>
      <c r="B657" s="9"/>
      <c r="C657" s="9"/>
      <c r="D657" s="9"/>
      <c r="E657" s="9"/>
      <c r="F657" s="9"/>
      <c r="G657" s="179" t="e">
        <f t="shared" si="8"/>
        <v>#DIV/0!</v>
      </c>
      <c r="H657" s="135" t="e">
        <f t="shared" si="10"/>
        <v>#DIV/0!</v>
      </c>
      <c r="I657" s="179" t="e">
        <f t="shared" si="9"/>
        <v>#DIV/0!</v>
      </c>
    </row>
    <row r="658" spans="1:9" ht="12.5">
      <c r="A658" s="9"/>
      <c r="B658" s="9"/>
      <c r="C658" s="9"/>
      <c r="D658" s="9"/>
      <c r="E658" s="9"/>
      <c r="F658" s="9"/>
      <c r="G658" s="179" t="e">
        <f t="shared" si="8"/>
        <v>#DIV/0!</v>
      </c>
      <c r="H658" s="135" t="e">
        <f t="shared" si="10"/>
        <v>#DIV/0!</v>
      </c>
      <c r="I658" s="179" t="e">
        <f t="shared" si="9"/>
        <v>#DIV/0!</v>
      </c>
    </row>
    <row r="659" spans="1:9" ht="12.5">
      <c r="A659" s="9"/>
      <c r="B659" s="9"/>
      <c r="C659" s="9"/>
      <c r="D659" s="9"/>
      <c r="E659" s="9"/>
      <c r="F659" s="9"/>
      <c r="G659" s="179" t="e">
        <f t="shared" si="8"/>
        <v>#DIV/0!</v>
      </c>
      <c r="H659" s="135" t="e">
        <f t="shared" si="10"/>
        <v>#DIV/0!</v>
      </c>
      <c r="I659" s="179" t="e">
        <f t="shared" si="9"/>
        <v>#DIV/0!</v>
      </c>
    </row>
    <row r="660" spans="1:9" ht="12.5">
      <c r="A660" s="9"/>
      <c r="B660" s="9"/>
      <c r="C660" s="9"/>
      <c r="D660" s="9"/>
      <c r="E660" s="9"/>
      <c r="F660" s="9"/>
      <c r="G660" s="179" t="e">
        <f t="shared" si="8"/>
        <v>#DIV/0!</v>
      </c>
      <c r="H660" s="135" t="e">
        <f t="shared" si="10"/>
        <v>#DIV/0!</v>
      </c>
      <c r="I660" s="179" t="e">
        <f t="shared" si="9"/>
        <v>#DIV/0!</v>
      </c>
    </row>
    <row r="661" spans="1:9" ht="12.5">
      <c r="A661" s="9"/>
      <c r="B661" s="9"/>
      <c r="C661" s="9"/>
      <c r="D661" s="9"/>
      <c r="E661" s="9"/>
      <c r="F661" s="9"/>
      <c r="G661" s="179" t="e">
        <f t="shared" si="8"/>
        <v>#DIV/0!</v>
      </c>
      <c r="H661" s="135" t="e">
        <f t="shared" si="10"/>
        <v>#DIV/0!</v>
      </c>
      <c r="I661" s="179" t="e">
        <f t="shared" si="9"/>
        <v>#DIV/0!</v>
      </c>
    </row>
    <row r="662" spans="1:9" ht="12.5">
      <c r="A662" s="9"/>
      <c r="B662" s="9"/>
      <c r="C662" s="9"/>
      <c r="D662" s="9"/>
      <c r="E662" s="9"/>
      <c r="F662" s="9"/>
      <c r="G662" s="179" t="e">
        <f t="shared" si="8"/>
        <v>#DIV/0!</v>
      </c>
      <c r="H662" s="135" t="e">
        <f t="shared" si="10"/>
        <v>#DIV/0!</v>
      </c>
      <c r="I662" s="179" t="e">
        <f t="shared" si="9"/>
        <v>#DIV/0!</v>
      </c>
    </row>
    <row r="663" spans="1:9" ht="12.5">
      <c r="A663" s="9"/>
      <c r="B663" s="9"/>
      <c r="C663" s="9"/>
      <c r="D663" s="9"/>
      <c r="E663" s="9"/>
      <c r="F663" s="9"/>
      <c r="G663" s="179" t="e">
        <f t="shared" si="8"/>
        <v>#DIV/0!</v>
      </c>
      <c r="H663" s="135" t="e">
        <f t="shared" si="10"/>
        <v>#DIV/0!</v>
      </c>
      <c r="I663" s="179" t="e">
        <f t="shared" si="9"/>
        <v>#DIV/0!</v>
      </c>
    </row>
    <row r="664" spans="1:9" ht="12.5">
      <c r="A664" s="9"/>
      <c r="B664" s="9"/>
      <c r="C664" s="9"/>
      <c r="D664" s="9"/>
      <c r="E664" s="9"/>
      <c r="F664" s="9"/>
      <c r="G664" s="179" t="e">
        <f t="shared" si="8"/>
        <v>#DIV/0!</v>
      </c>
      <c r="H664" s="135" t="e">
        <f t="shared" si="10"/>
        <v>#DIV/0!</v>
      </c>
      <c r="I664" s="179" t="e">
        <f t="shared" si="9"/>
        <v>#DIV/0!</v>
      </c>
    </row>
    <row r="665" spans="1:9" ht="12.5">
      <c r="A665" s="9"/>
      <c r="B665" s="9"/>
      <c r="C665" s="9"/>
      <c r="D665" s="9"/>
      <c r="E665" s="9"/>
      <c r="F665" s="9"/>
      <c r="G665" s="179" t="e">
        <f t="shared" si="8"/>
        <v>#DIV/0!</v>
      </c>
      <c r="H665" s="135" t="e">
        <f t="shared" si="10"/>
        <v>#DIV/0!</v>
      </c>
      <c r="I665" s="179" t="e">
        <f t="shared" si="9"/>
        <v>#DIV/0!</v>
      </c>
    </row>
    <row r="666" spans="1:9" ht="12.5">
      <c r="A666" s="9"/>
      <c r="B666" s="9"/>
      <c r="C666" s="9"/>
      <c r="D666" s="9"/>
      <c r="E666" s="9"/>
      <c r="F666" s="9"/>
      <c r="G666" s="179" t="e">
        <f t="shared" si="8"/>
        <v>#DIV/0!</v>
      </c>
      <c r="H666" s="135" t="e">
        <f t="shared" si="10"/>
        <v>#DIV/0!</v>
      </c>
      <c r="I666" s="179" t="e">
        <f t="shared" si="9"/>
        <v>#DIV/0!</v>
      </c>
    </row>
    <row r="667" spans="1:9" ht="12.5">
      <c r="A667" s="9"/>
      <c r="B667" s="9"/>
      <c r="C667" s="9"/>
      <c r="D667" s="9"/>
      <c r="E667" s="9"/>
      <c r="F667" s="9"/>
      <c r="G667" s="179" t="e">
        <f t="shared" si="8"/>
        <v>#DIV/0!</v>
      </c>
      <c r="H667" s="135" t="e">
        <f t="shared" si="10"/>
        <v>#DIV/0!</v>
      </c>
      <c r="I667" s="179" t="e">
        <f t="shared" si="9"/>
        <v>#DIV/0!</v>
      </c>
    </row>
    <row r="668" spans="1:9" ht="12.5">
      <c r="A668" s="9"/>
      <c r="B668" s="9"/>
      <c r="C668" s="9"/>
      <c r="D668" s="9"/>
      <c r="E668" s="9"/>
      <c r="F668" s="9"/>
      <c r="G668" s="179" t="e">
        <f t="shared" si="8"/>
        <v>#DIV/0!</v>
      </c>
      <c r="H668" s="135" t="e">
        <f t="shared" si="10"/>
        <v>#DIV/0!</v>
      </c>
      <c r="I668" s="179" t="e">
        <f t="shared" si="9"/>
        <v>#DIV/0!</v>
      </c>
    </row>
    <row r="669" spans="1:9" ht="12.5">
      <c r="A669" s="9"/>
      <c r="B669" s="9"/>
      <c r="C669" s="9"/>
      <c r="D669" s="9"/>
      <c r="E669" s="9"/>
      <c r="F669" s="9"/>
      <c r="G669" s="179" t="e">
        <f t="shared" si="8"/>
        <v>#DIV/0!</v>
      </c>
      <c r="H669" s="135" t="e">
        <f t="shared" si="10"/>
        <v>#DIV/0!</v>
      </c>
      <c r="I669" s="179" t="e">
        <f t="shared" si="9"/>
        <v>#DIV/0!</v>
      </c>
    </row>
    <row r="670" spans="1:9" ht="12.5">
      <c r="A670" s="9"/>
      <c r="B670" s="9"/>
      <c r="C670" s="9"/>
      <c r="D670" s="9"/>
      <c r="E670" s="9"/>
      <c r="F670" s="9"/>
      <c r="G670" s="179" t="e">
        <f t="shared" si="8"/>
        <v>#DIV/0!</v>
      </c>
      <c r="H670" s="135" t="e">
        <f t="shared" si="10"/>
        <v>#DIV/0!</v>
      </c>
      <c r="I670" s="179" t="e">
        <f t="shared" si="9"/>
        <v>#DIV/0!</v>
      </c>
    </row>
    <row r="671" spans="1:9" ht="12.5">
      <c r="A671" s="9"/>
      <c r="B671" s="9"/>
      <c r="C671" s="9"/>
      <c r="D671" s="9"/>
      <c r="E671" s="9"/>
      <c r="F671" s="9"/>
      <c r="G671" s="179" t="e">
        <f t="shared" si="8"/>
        <v>#DIV/0!</v>
      </c>
      <c r="H671" s="135" t="e">
        <f t="shared" si="10"/>
        <v>#DIV/0!</v>
      </c>
      <c r="I671" s="179" t="e">
        <f t="shared" si="9"/>
        <v>#DIV/0!</v>
      </c>
    </row>
    <row r="672" spans="1:9" ht="12.5">
      <c r="A672" s="9"/>
      <c r="B672" s="9"/>
      <c r="C672" s="9"/>
      <c r="D672" s="9"/>
      <c r="E672" s="9"/>
      <c r="F672" s="9"/>
      <c r="G672" s="179" t="e">
        <f t="shared" si="8"/>
        <v>#DIV/0!</v>
      </c>
      <c r="H672" s="135" t="e">
        <f t="shared" si="10"/>
        <v>#DIV/0!</v>
      </c>
      <c r="I672" s="179" t="e">
        <f t="shared" si="9"/>
        <v>#DIV/0!</v>
      </c>
    </row>
    <row r="673" spans="1:9" ht="12.5">
      <c r="A673" s="9"/>
      <c r="B673" s="9"/>
      <c r="C673" s="9"/>
      <c r="D673" s="9"/>
      <c r="E673" s="9"/>
      <c r="F673" s="9"/>
      <c r="G673" s="179" t="e">
        <f t="shared" si="8"/>
        <v>#DIV/0!</v>
      </c>
      <c r="H673" s="135" t="e">
        <f t="shared" si="10"/>
        <v>#DIV/0!</v>
      </c>
      <c r="I673" s="179" t="e">
        <f t="shared" si="9"/>
        <v>#DIV/0!</v>
      </c>
    </row>
    <row r="674" spans="1:9" ht="12.5">
      <c r="A674" s="9"/>
      <c r="B674" s="9"/>
      <c r="C674" s="9"/>
      <c r="D674" s="9"/>
      <c r="E674" s="9"/>
      <c r="F674" s="9"/>
      <c r="G674" s="179" t="e">
        <f t="shared" si="8"/>
        <v>#DIV/0!</v>
      </c>
      <c r="H674" s="135" t="e">
        <f t="shared" si="10"/>
        <v>#DIV/0!</v>
      </c>
      <c r="I674" s="179" t="e">
        <f t="shared" si="9"/>
        <v>#DIV/0!</v>
      </c>
    </row>
    <row r="675" spans="1:9" ht="12.5">
      <c r="A675" s="9"/>
      <c r="B675" s="9"/>
      <c r="C675" s="9"/>
      <c r="D675" s="9"/>
      <c r="E675" s="9"/>
      <c r="F675" s="9"/>
      <c r="G675" s="179" t="e">
        <f t="shared" si="8"/>
        <v>#DIV/0!</v>
      </c>
      <c r="H675" s="135" t="e">
        <f t="shared" si="10"/>
        <v>#DIV/0!</v>
      </c>
      <c r="I675" s="179" t="e">
        <f t="shared" si="9"/>
        <v>#DIV/0!</v>
      </c>
    </row>
    <row r="676" spans="1:9" ht="12.5">
      <c r="A676" s="9"/>
      <c r="B676" s="9"/>
      <c r="C676" s="9"/>
      <c r="D676" s="9"/>
      <c r="E676" s="9"/>
      <c r="F676" s="9"/>
      <c r="G676" s="179" t="e">
        <f t="shared" si="8"/>
        <v>#DIV/0!</v>
      </c>
      <c r="H676" s="135" t="e">
        <f t="shared" si="10"/>
        <v>#DIV/0!</v>
      </c>
      <c r="I676" s="179" t="e">
        <f t="shared" si="9"/>
        <v>#DIV/0!</v>
      </c>
    </row>
    <row r="677" spans="1:9" ht="12.5">
      <c r="A677" s="9"/>
      <c r="B677" s="9"/>
      <c r="C677" s="9"/>
      <c r="D677" s="9"/>
      <c r="E677" s="9"/>
      <c r="F677" s="9"/>
      <c r="G677" s="179" t="e">
        <f t="shared" si="8"/>
        <v>#DIV/0!</v>
      </c>
      <c r="H677" s="135" t="e">
        <f t="shared" si="10"/>
        <v>#DIV/0!</v>
      </c>
      <c r="I677" s="179" t="e">
        <f t="shared" si="9"/>
        <v>#DIV/0!</v>
      </c>
    </row>
    <row r="678" spans="1:9" ht="12.5">
      <c r="A678" s="9"/>
      <c r="B678" s="9"/>
      <c r="C678" s="9"/>
      <c r="D678" s="9"/>
      <c r="E678" s="9"/>
      <c r="F678" s="9"/>
      <c r="G678" s="179" t="e">
        <f t="shared" si="8"/>
        <v>#DIV/0!</v>
      </c>
      <c r="H678" s="135" t="e">
        <f t="shared" si="10"/>
        <v>#DIV/0!</v>
      </c>
      <c r="I678" s="179" t="e">
        <f t="shared" si="9"/>
        <v>#DIV/0!</v>
      </c>
    </row>
    <row r="679" spans="1:9" ht="12.5">
      <c r="A679" s="9"/>
      <c r="B679" s="9"/>
      <c r="C679" s="9"/>
      <c r="D679" s="9"/>
      <c r="E679" s="9"/>
      <c r="F679" s="9"/>
      <c r="G679" s="179" t="e">
        <f t="shared" si="8"/>
        <v>#DIV/0!</v>
      </c>
      <c r="H679" s="135" t="e">
        <f t="shared" si="10"/>
        <v>#DIV/0!</v>
      </c>
      <c r="I679" s="179" t="e">
        <f t="shared" si="9"/>
        <v>#DIV/0!</v>
      </c>
    </row>
    <row r="680" spans="1:9" ht="12.5">
      <c r="A680" s="9"/>
      <c r="B680" s="9"/>
      <c r="C680" s="9"/>
      <c r="D680" s="9"/>
      <c r="E680" s="9"/>
      <c r="F680" s="9"/>
      <c r="G680" s="179" t="e">
        <f t="shared" si="8"/>
        <v>#DIV/0!</v>
      </c>
      <c r="H680" s="135" t="e">
        <f t="shared" si="10"/>
        <v>#DIV/0!</v>
      </c>
      <c r="I680" s="179" t="e">
        <f t="shared" si="9"/>
        <v>#DIV/0!</v>
      </c>
    </row>
    <row r="681" spans="1:9" ht="12.5">
      <c r="A681" s="9"/>
      <c r="B681" s="9"/>
      <c r="C681" s="9"/>
      <c r="D681" s="9"/>
      <c r="E681" s="9"/>
      <c r="F681" s="9"/>
      <c r="G681" s="179" t="e">
        <f t="shared" si="8"/>
        <v>#DIV/0!</v>
      </c>
      <c r="H681" s="135" t="e">
        <f t="shared" si="10"/>
        <v>#DIV/0!</v>
      </c>
      <c r="I681" s="179" t="e">
        <f t="shared" si="9"/>
        <v>#DIV/0!</v>
      </c>
    </row>
    <row r="682" spans="1:9" ht="12.5">
      <c r="A682" s="9"/>
      <c r="B682" s="9"/>
      <c r="C682" s="9"/>
      <c r="D682" s="9"/>
      <c r="E682" s="9"/>
      <c r="F682" s="9"/>
      <c r="G682" s="179" t="e">
        <f t="shared" si="8"/>
        <v>#DIV/0!</v>
      </c>
      <c r="H682" s="135" t="e">
        <f t="shared" si="10"/>
        <v>#DIV/0!</v>
      </c>
      <c r="I682" s="179" t="e">
        <f t="shared" si="9"/>
        <v>#DIV/0!</v>
      </c>
    </row>
    <row r="683" spans="1:9" ht="12.5">
      <c r="A683" s="9"/>
      <c r="B683" s="9"/>
      <c r="C683" s="9"/>
      <c r="D683" s="9"/>
      <c r="E683" s="9"/>
      <c r="F683" s="9"/>
      <c r="G683" s="179" t="e">
        <f t="shared" si="8"/>
        <v>#DIV/0!</v>
      </c>
      <c r="H683" s="135" t="e">
        <f t="shared" si="10"/>
        <v>#DIV/0!</v>
      </c>
      <c r="I683" s="179" t="e">
        <f t="shared" si="9"/>
        <v>#DIV/0!</v>
      </c>
    </row>
    <row r="684" spans="1:9" ht="12.5">
      <c r="A684" s="9"/>
      <c r="B684" s="9"/>
      <c r="C684" s="9"/>
      <c r="D684" s="9"/>
      <c r="E684" s="9"/>
      <c r="F684" s="9"/>
      <c r="G684" s="179" t="e">
        <f t="shared" si="8"/>
        <v>#DIV/0!</v>
      </c>
      <c r="H684" s="135" t="e">
        <f t="shared" si="10"/>
        <v>#DIV/0!</v>
      </c>
      <c r="I684" s="179" t="e">
        <f t="shared" si="9"/>
        <v>#DIV/0!</v>
      </c>
    </row>
    <row r="685" spans="1:9" ht="12.5">
      <c r="A685" s="9"/>
      <c r="B685" s="9"/>
      <c r="C685" s="9"/>
      <c r="D685" s="9"/>
      <c r="E685" s="9"/>
      <c r="F685" s="9"/>
      <c r="G685" s="179" t="e">
        <f t="shared" si="8"/>
        <v>#DIV/0!</v>
      </c>
      <c r="H685" s="135" t="e">
        <f t="shared" si="10"/>
        <v>#DIV/0!</v>
      </c>
      <c r="I685" s="179" t="e">
        <f t="shared" si="9"/>
        <v>#DIV/0!</v>
      </c>
    </row>
    <row r="686" spans="1:9" ht="12.5">
      <c r="A686" s="9"/>
      <c r="B686" s="9"/>
      <c r="C686" s="9"/>
      <c r="D686" s="9"/>
      <c r="E686" s="9"/>
      <c r="F686" s="9"/>
      <c r="G686" s="179" t="e">
        <f t="shared" si="8"/>
        <v>#DIV/0!</v>
      </c>
      <c r="H686" s="135" t="e">
        <f t="shared" si="10"/>
        <v>#DIV/0!</v>
      </c>
      <c r="I686" s="179" t="e">
        <f t="shared" si="9"/>
        <v>#DIV/0!</v>
      </c>
    </row>
    <row r="687" spans="1:9" ht="12.5">
      <c r="A687" s="9"/>
      <c r="B687" s="9"/>
      <c r="C687" s="9"/>
      <c r="D687" s="9"/>
      <c r="E687" s="9"/>
      <c r="F687" s="9"/>
      <c r="G687" s="179" t="e">
        <f t="shared" si="8"/>
        <v>#DIV/0!</v>
      </c>
      <c r="H687" s="135" t="e">
        <f t="shared" si="10"/>
        <v>#DIV/0!</v>
      </c>
      <c r="I687" s="179" t="e">
        <f t="shared" si="9"/>
        <v>#DIV/0!</v>
      </c>
    </row>
    <row r="688" spans="1:9" ht="12.5">
      <c r="A688" s="9"/>
      <c r="B688" s="9"/>
      <c r="C688" s="9"/>
      <c r="D688" s="9"/>
      <c r="E688" s="9"/>
      <c r="F688" s="9"/>
      <c r="G688" s="179" t="e">
        <f t="shared" si="8"/>
        <v>#DIV/0!</v>
      </c>
      <c r="H688" s="135" t="e">
        <f t="shared" si="10"/>
        <v>#DIV/0!</v>
      </c>
      <c r="I688" s="179" t="e">
        <f t="shared" si="9"/>
        <v>#DIV/0!</v>
      </c>
    </row>
    <row r="689" spans="1:9" ht="12.5">
      <c r="A689" s="9"/>
      <c r="B689" s="9"/>
      <c r="C689" s="9"/>
      <c r="D689" s="9"/>
      <c r="E689" s="9"/>
      <c r="F689" s="9"/>
      <c r="G689" s="179" t="e">
        <f t="shared" si="8"/>
        <v>#DIV/0!</v>
      </c>
      <c r="H689" s="135" t="e">
        <f t="shared" si="10"/>
        <v>#DIV/0!</v>
      </c>
      <c r="I689" s="179" t="e">
        <f t="shared" si="9"/>
        <v>#DIV/0!</v>
      </c>
    </row>
    <row r="690" spans="1:9" ht="12.5">
      <c r="A690" s="9"/>
      <c r="B690" s="9"/>
      <c r="C690" s="9"/>
      <c r="D690" s="9"/>
      <c r="E690" s="9"/>
      <c r="F690" s="9"/>
      <c r="G690" s="179" t="e">
        <f t="shared" si="8"/>
        <v>#DIV/0!</v>
      </c>
      <c r="H690" s="135" t="e">
        <f t="shared" si="10"/>
        <v>#DIV/0!</v>
      </c>
      <c r="I690" s="179" t="e">
        <f t="shared" si="9"/>
        <v>#DIV/0!</v>
      </c>
    </row>
    <row r="691" spans="1:9" ht="12.5">
      <c r="A691" s="9"/>
      <c r="B691" s="9"/>
      <c r="C691" s="9"/>
      <c r="D691" s="9"/>
      <c r="E691" s="9"/>
      <c r="F691" s="9"/>
      <c r="G691" s="179" t="e">
        <f t="shared" si="8"/>
        <v>#DIV/0!</v>
      </c>
      <c r="H691" s="135" t="e">
        <f t="shared" si="10"/>
        <v>#DIV/0!</v>
      </c>
      <c r="I691" s="179" t="e">
        <f t="shared" si="9"/>
        <v>#DIV/0!</v>
      </c>
    </row>
    <row r="692" spans="1:9" ht="12.5">
      <c r="A692" s="9"/>
      <c r="B692" s="9"/>
      <c r="C692" s="9"/>
      <c r="D692" s="9"/>
      <c r="E692" s="9"/>
      <c r="F692" s="9"/>
      <c r="G692" s="179" t="e">
        <f t="shared" si="8"/>
        <v>#DIV/0!</v>
      </c>
      <c r="H692" s="135" t="e">
        <f t="shared" si="10"/>
        <v>#DIV/0!</v>
      </c>
      <c r="I692" s="179" t="e">
        <f t="shared" si="9"/>
        <v>#DIV/0!</v>
      </c>
    </row>
    <row r="693" spans="1:9" ht="12.5">
      <c r="A693" s="9"/>
      <c r="B693" s="9"/>
      <c r="C693" s="9"/>
      <c r="D693" s="9"/>
      <c r="E693" s="9"/>
      <c r="F693" s="9"/>
      <c r="G693" s="179" t="e">
        <f t="shared" si="8"/>
        <v>#DIV/0!</v>
      </c>
      <c r="H693" s="135" t="e">
        <f t="shared" si="10"/>
        <v>#DIV/0!</v>
      </c>
      <c r="I693" s="179" t="e">
        <f t="shared" si="9"/>
        <v>#DIV/0!</v>
      </c>
    </row>
    <row r="694" spans="1:9" ht="12.5">
      <c r="A694" s="9"/>
      <c r="B694" s="9"/>
      <c r="C694" s="9"/>
      <c r="D694" s="9"/>
      <c r="E694" s="9"/>
      <c r="F694" s="9"/>
      <c r="G694" s="179" t="e">
        <f t="shared" si="8"/>
        <v>#DIV/0!</v>
      </c>
      <c r="H694" s="135" t="e">
        <f t="shared" si="10"/>
        <v>#DIV/0!</v>
      </c>
      <c r="I694" s="179" t="e">
        <f t="shared" si="9"/>
        <v>#DIV/0!</v>
      </c>
    </row>
    <row r="695" spans="1:9" ht="12.5">
      <c r="A695" s="9"/>
      <c r="B695" s="9"/>
      <c r="C695" s="9"/>
      <c r="D695" s="9"/>
      <c r="E695" s="9"/>
      <c r="F695" s="9"/>
      <c r="G695" s="179" t="e">
        <f t="shared" si="8"/>
        <v>#DIV/0!</v>
      </c>
      <c r="H695" s="135" t="e">
        <f t="shared" si="10"/>
        <v>#DIV/0!</v>
      </c>
      <c r="I695" s="179" t="e">
        <f t="shared" si="9"/>
        <v>#DIV/0!</v>
      </c>
    </row>
    <row r="696" spans="1:9" ht="12.5">
      <c r="A696" s="9"/>
      <c r="B696" s="9"/>
      <c r="C696" s="9"/>
      <c r="D696" s="9"/>
      <c r="E696" s="9"/>
      <c r="F696" s="9"/>
      <c r="G696" s="179" t="e">
        <f t="shared" si="8"/>
        <v>#DIV/0!</v>
      </c>
      <c r="H696" s="135" t="e">
        <f t="shared" si="10"/>
        <v>#DIV/0!</v>
      </c>
      <c r="I696" s="179" t="e">
        <f t="shared" si="9"/>
        <v>#DIV/0!</v>
      </c>
    </row>
    <row r="697" spans="1:9" ht="12.5">
      <c r="A697" s="9"/>
      <c r="B697" s="9"/>
      <c r="C697" s="9"/>
      <c r="D697" s="9"/>
      <c r="E697" s="9"/>
      <c r="F697" s="9"/>
      <c r="G697" s="179" t="e">
        <f t="shared" si="8"/>
        <v>#DIV/0!</v>
      </c>
      <c r="H697" s="135" t="e">
        <f t="shared" si="10"/>
        <v>#DIV/0!</v>
      </c>
      <c r="I697" s="179" t="e">
        <f t="shared" si="9"/>
        <v>#DIV/0!</v>
      </c>
    </row>
    <row r="698" spans="1:9" ht="12.5">
      <c r="A698" s="9"/>
      <c r="B698" s="9"/>
      <c r="C698" s="9"/>
      <c r="D698" s="9"/>
      <c r="E698" s="9"/>
      <c r="F698" s="9"/>
      <c r="G698" s="179" t="e">
        <f t="shared" si="8"/>
        <v>#DIV/0!</v>
      </c>
      <c r="H698" s="135" t="e">
        <f t="shared" si="10"/>
        <v>#DIV/0!</v>
      </c>
      <c r="I698" s="179" t="e">
        <f t="shared" si="9"/>
        <v>#DIV/0!</v>
      </c>
    </row>
    <row r="699" spans="1:9" ht="12.5">
      <c r="A699" s="9"/>
      <c r="B699" s="9"/>
      <c r="C699" s="9"/>
      <c r="D699" s="9"/>
      <c r="E699" s="9"/>
      <c r="F699" s="9"/>
      <c r="G699" s="179" t="e">
        <f t="shared" si="8"/>
        <v>#DIV/0!</v>
      </c>
      <c r="H699" s="135" t="e">
        <f t="shared" si="10"/>
        <v>#DIV/0!</v>
      </c>
      <c r="I699" s="179" t="e">
        <f t="shared" si="9"/>
        <v>#DIV/0!</v>
      </c>
    </row>
    <row r="700" spans="1:9" ht="12.5">
      <c r="A700" s="9"/>
      <c r="B700" s="9"/>
      <c r="C700" s="9"/>
      <c r="D700" s="9"/>
      <c r="E700" s="9"/>
      <c r="F700" s="9"/>
      <c r="G700" s="179" t="e">
        <f t="shared" si="8"/>
        <v>#DIV/0!</v>
      </c>
      <c r="H700" s="135" t="e">
        <f t="shared" si="10"/>
        <v>#DIV/0!</v>
      </c>
      <c r="I700" s="179" t="e">
        <f t="shared" si="9"/>
        <v>#DIV/0!</v>
      </c>
    </row>
    <row r="701" spans="1:9" ht="12.5">
      <c r="A701" s="9"/>
      <c r="B701" s="9"/>
      <c r="C701" s="9"/>
      <c r="D701" s="9"/>
      <c r="E701" s="9"/>
      <c r="F701" s="9"/>
      <c r="G701" s="179" t="e">
        <f t="shared" si="8"/>
        <v>#DIV/0!</v>
      </c>
      <c r="H701" s="135" t="e">
        <f t="shared" si="10"/>
        <v>#DIV/0!</v>
      </c>
      <c r="I701" s="179" t="e">
        <f t="shared" si="9"/>
        <v>#DIV/0!</v>
      </c>
    </row>
    <row r="702" spans="1:9" ht="12.5">
      <c r="A702" s="9"/>
      <c r="B702" s="9"/>
      <c r="C702" s="9"/>
      <c r="D702" s="9"/>
      <c r="E702" s="9"/>
      <c r="F702" s="9"/>
      <c r="G702" s="179" t="e">
        <f t="shared" si="8"/>
        <v>#DIV/0!</v>
      </c>
      <c r="H702" s="135" t="e">
        <f t="shared" si="10"/>
        <v>#DIV/0!</v>
      </c>
      <c r="I702" s="179" t="e">
        <f t="shared" si="9"/>
        <v>#DIV/0!</v>
      </c>
    </row>
    <row r="703" spans="1:9" ht="12.5">
      <c r="A703" s="9"/>
      <c r="B703" s="9"/>
      <c r="C703" s="9"/>
      <c r="D703" s="9"/>
      <c r="E703" s="9"/>
      <c r="F703" s="9"/>
      <c r="G703" s="179" t="e">
        <f t="shared" si="8"/>
        <v>#DIV/0!</v>
      </c>
      <c r="H703" s="135" t="e">
        <f t="shared" si="10"/>
        <v>#DIV/0!</v>
      </c>
      <c r="I703" s="179" t="e">
        <f t="shared" si="9"/>
        <v>#DIV/0!</v>
      </c>
    </row>
    <row r="704" spans="1:9" ht="12.5">
      <c r="A704" s="9"/>
      <c r="B704" s="9"/>
      <c r="C704" s="9"/>
      <c r="D704" s="9"/>
      <c r="E704" s="9"/>
      <c r="F704" s="9"/>
      <c r="G704" s="179" t="e">
        <f t="shared" si="8"/>
        <v>#DIV/0!</v>
      </c>
      <c r="H704" s="135" t="e">
        <f t="shared" si="10"/>
        <v>#DIV/0!</v>
      </c>
      <c r="I704" s="179" t="e">
        <f t="shared" si="9"/>
        <v>#DIV/0!</v>
      </c>
    </row>
    <row r="705" spans="1:9" ht="12.5">
      <c r="A705" s="9"/>
      <c r="B705" s="9"/>
      <c r="C705" s="9"/>
      <c r="D705" s="9"/>
      <c r="E705" s="9"/>
      <c r="F705" s="9"/>
      <c r="G705" s="179" t="e">
        <f t="shared" si="8"/>
        <v>#DIV/0!</v>
      </c>
      <c r="H705" s="135" t="e">
        <f t="shared" si="10"/>
        <v>#DIV/0!</v>
      </c>
      <c r="I705" s="179" t="e">
        <f t="shared" si="9"/>
        <v>#DIV/0!</v>
      </c>
    </row>
    <row r="706" spans="1:9" ht="12.5">
      <c r="A706" s="9"/>
      <c r="B706" s="9"/>
      <c r="C706" s="9"/>
      <c r="D706" s="9"/>
      <c r="E706" s="9"/>
      <c r="F706" s="9"/>
      <c r="G706" s="179" t="e">
        <f t="shared" si="8"/>
        <v>#DIV/0!</v>
      </c>
      <c r="H706" s="135" t="e">
        <f t="shared" si="10"/>
        <v>#DIV/0!</v>
      </c>
      <c r="I706" s="179" t="e">
        <f t="shared" si="9"/>
        <v>#DIV/0!</v>
      </c>
    </row>
    <row r="707" spans="1:9" ht="12.5">
      <c r="A707" s="9"/>
      <c r="B707" s="9"/>
      <c r="C707" s="9"/>
      <c r="D707" s="9"/>
      <c r="E707" s="9"/>
      <c r="F707" s="9"/>
      <c r="G707" s="179" t="e">
        <f t="shared" si="8"/>
        <v>#DIV/0!</v>
      </c>
      <c r="H707" s="135" t="e">
        <f t="shared" si="10"/>
        <v>#DIV/0!</v>
      </c>
      <c r="I707" s="179" t="e">
        <f t="shared" si="9"/>
        <v>#DIV/0!</v>
      </c>
    </row>
    <row r="708" spans="1:9" ht="12.5">
      <c r="A708" s="9"/>
      <c r="B708" s="9"/>
      <c r="C708" s="9"/>
      <c r="D708" s="9"/>
      <c r="E708" s="9"/>
      <c r="F708" s="9"/>
      <c r="G708" s="179" t="e">
        <f t="shared" si="8"/>
        <v>#DIV/0!</v>
      </c>
      <c r="H708" s="135" t="e">
        <f t="shared" si="10"/>
        <v>#DIV/0!</v>
      </c>
      <c r="I708" s="179" t="e">
        <f t="shared" si="9"/>
        <v>#DIV/0!</v>
      </c>
    </row>
    <row r="709" spans="1:9" ht="12.5">
      <c r="A709" s="9"/>
      <c r="B709" s="9"/>
      <c r="C709" s="9"/>
      <c r="D709" s="9"/>
      <c r="E709" s="9"/>
      <c r="F709" s="9"/>
      <c r="G709" s="179" t="e">
        <f t="shared" si="8"/>
        <v>#DIV/0!</v>
      </c>
      <c r="H709" s="135" t="e">
        <f t="shared" si="10"/>
        <v>#DIV/0!</v>
      </c>
      <c r="I709" s="179" t="e">
        <f t="shared" si="9"/>
        <v>#DIV/0!</v>
      </c>
    </row>
    <row r="710" spans="1:9" ht="12.5">
      <c r="A710" s="9"/>
      <c r="B710" s="9"/>
      <c r="C710" s="9"/>
      <c r="D710" s="9"/>
      <c r="E710" s="9"/>
      <c r="F710" s="9"/>
      <c r="G710" s="179" t="e">
        <f t="shared" si="8"/>
        <v>#DIV/0!</v>
      </c>
      <c r="H710" s="135" t="e">
        <f t="shared" si="10"/>
        <v>#DIV/0!</v>
      </c>
      <c r="I710" s="179" t="e">
        <f t="shared" si="9"/>
        <v>#DIV/0!</v>
      </c>
    </row>
    <row r="711" spans="1:9" ht="12.5">
      <c r="A711" s="9"/>
      <c r="B711" s="9"/>
      <c r="C711" s="9"/>
      <c r="D711" s="9"/>
      <c r="E711" s="9"/>
      <c r="F711" s="9"/>
      <c r="G711" s="179" t="e">
        <f t="shared" si="8"/>
        <v>#DIV/0!</v>
      </c>
      <c r="H711" s="135" t="e">
        <f t="shared" si="10"/>
        <v>#DIV/0!</v>
      </c>
      <c r="I711" s="179" t="e">
        <f t="shared" si="9"/>
        <v>#DIV/0!</v>
      </c>
    </row>
    <row r="712" spans="1:9" ht="12.5">
      <c r="A712" s="9"/>
      <c r="B712" s="9"/>
      <c r="C712" s="9"/>
      <c r="D712" s="9"/>
      <c r="E712" s="9"/>
      <c r="F712" s="9"/>
      <c r="G712" s="179" t="e">
        <f t="shared" si="8"/>
        <v>#DIV/0!</v>
      </c>
      <c r="H712" s="135" t="e">
        <f t="shared" si="10"/>
        <v>#DIV/0!</v>
      </c>
      <c r="I712" s="179" t="e">
        <f t="shared" si="9"/>
        <v>#DIV/0!</v>
      </c>
    </row>
    <row r="713" spans="1:9" ht="12.5">
      <c r="A713" s="9"/>
      <c r="B713" s="9"/>
      <c r="C713" s="9"/>
      <c r="D713" s="9"/>
      <c r="E713" s="9"/>
      <c r="F713" s="9"/>
      <c r="G713" s="179" t="e">
        <f t="shared" si="8"/>
        <v>#DIV/0!</v>
      </c>
      <c r="H713" s="135" t="e">
        <f t="shared" si="10"/>
        <v>#DIV/0!</v>
      </c>
      <c r="I713" s="179" t="e">
        <f t="shared" si="9"/>
        <v>#DIV/0!</v>
      </c>
    </row>
    <row r="714" spans="1:9" ht="12.5">
      <c r="A714" s="9"/>
      <c r="B714" s="9"/>
      <c r="C714" s="9"/>
      <c r="D714" s="9"/>
      <c r="E714" s="9"/>
      <c r="F714" s="9"/>
      <c r="G714" s="179" t="e">
        <f t="shared" si="8"/>
        <v>#DIV/0!</v>
      </c>
      <c r="H714" s="135" t="e">
        <f t="shared" si="10"/>
        <v>#DIV/0!</v>
      </c>
      <c r="I714" s="179" t="e">
        <f t="shared" si="9"/>
        <v>#DIV/0!</v>
      </c>
    </row>
    <row r="715" spans="1:9" ht="12.5">
      <c r="A715" s="9"/>
      <c r="B715" s="9"/>
      <c r="C715" s="9"/>
      <c r="D715" s="9"/>
      <c r="E715" s="9"/>
      <c r="F715" s="9"/>
      <c r="G715" s="179" t="e">
        <f t="shared" si="8"/>
        <v>#DIV/0!</v>
      </c>
      <c r="H715" s="135" t="e">
        <f t="shared" si="10"/>
        <v>#DIV/0!</v>
      </c>
      <c r="I715" s="179" t="e">
        <f t="shared" si="9"/>
        <v>#DIV/0!</v>
      </c>
    </row>
    <row r="716" spans="1:9" ht="12.5">
      <c r="A716" s="9"/>
      <c r="B716" s="9"/>
      <c r="C716" s="9"/>
      <c r="D716" s="9"/>
      <c r="E716" s="9"/>
      <c r="F716" s="9"/>
      <c r="G716" s="179" t="e">
        <f t="shared" si="8"/>
        <v>#DIV/0!</v>
      </c>
      <c r="H716" s="135" t="e">
        <f t="shared" si="10"/>
        <v>#DIV/0!</v>
      </c>
      <c r="I716" s="179" t="e">
        <f t="shared" si="9"/>
        <v>#DIV/0!</v>
      </c>
    </row>
    <row r="717" spans="1:9" ht="12.5">
      <c r="A717" s="9"/>
      <c r="B717" s="9"/>
      <c r="C717" s="9"/>
      <c r="D717" s="9"/>
      <c r="E717" s="9"/>
      <c r="F717" s="9"/>
      <c r="G717" s="179" t="e">
        <f t="shared" si="8"/>
        <v>#DIV/0!</v>
      </c>
      <c r="H717" s="135" t="e">
        <f t="shared" si="10"/>
        <v>#DIV/0!</v>
      </c>
      <c r="I717" s="179" t="e">
        <f t="shared" si="9"/>
        <v>#DIV/0!</v>
      </c>
    </row>
    <row r="718" spans="1:9" ht="12.5">
      <c r="A718" s="9"/>
      <c r="B718" s="9"/>
      <c r="C718" s="9"/>
      <c r="D718" s="9"/>
      <c r="E718" s="9"/>
      <c r="F718" s="9"/>
      <c r="G718" s="179" t="e">
        <f t="shared" si="8"/>
        <v>#DIV/0!</v>
      </c>
      <c r="H718" s="135" t="e">
        <f t="shared" si="10"/>
        <v>#DIV/0!</v>
      </c>
      <c r="I718" s="179" t="e">
        <f t="shared" si="9"/>
        <v>#DIV/0!</v>
      </c>
    </row>
    <row r="719" spans="1:9" ht="12.5">
      <c r="A719" s="9"/>
      <c r="B719" s="9"/>
      <c r="C719" s="9"/>
      <c r="D719" s="9"/>
      <c r="E719" s="9"/>
      <c r="F719" s="9"/>
      <c r="G719" s="179" t="e">
        <f t="shared" si="8"/>
        <v>#DIV/0!</v>
      </c>
      <c r="H719" s="135" t="e">
        <f t="shared" si="10"/>
        <v>#DIV/0!</v>
      </c>
      <c r="I719" s="179" t="e">
        <f t="shared" si="9"/>
        <v>#DIV/0!</v>
      </c>
    </row>
    <row r="720" spans="1:9" ht="12.5">
      <c r="A720" s="9"/>
      <c r="B720" s="9"/>
      <c r="C720" s="9"/>
      <c r="D720" s="9"/>
      <c r="E720" s="9"/>
      <c r="F720" s="9"/>
      <c r="G720" s="179" t="e">
        <f t="shared" si="8"/>
        <v>#DIV/0!</v>
      </c>
      <c r="H720" s="135" t="e">
        <f t="shared" si="10"/>
        <v>#DIV/0!</v>
      </c>
      <c r="I720" s="179" t="e">
        <f t="shared" si="9"/>
        <v>#DIV/0!</v>
      </c>
    </row>
    <row r="721" spans="1:9" ht="12.5">
      <c r="A721" s="9"/>
      <c r="B721" s="9"/>
      <c r="C721" s="9"/>
      <c r="D721" s="9"/>
      <c r="E721" s="9"/>
      <c r="F721" s="9"/>
      <c r="G721" s="179" t="e">
        <f t="shared" si="8"/>
        <v>#DIV/0!</v>
      </c>
      <c r="H721" s="135" t="e">
        <f t="shared" si="10"/>
        <v>#DIV/0!</v>
      </c>
      <c r="I721" s="179" t="e">
        <f t="shared" si="9"/>
        <v>#DIV/0!</v>
      </c>
    </row>
    <row r="722" spans="1:9" ht="12.5">
      <c r="A722" s="9"/>
      <c r="B722" s="9"/>
      <c r="C722" s="9"/>
      <c r="D722" s="9"/>
      <c r="E722" s="9"/>
      <c r="F722" s="9"/>
      <c r="G722" s="179" t="e">
        <f t="shared" si="8"/>
        <v>#DIV/0!</v>
      </c>
      <c r="H722" s="135" t="e">
        <f t="shared" si="10"/>
        <v>#DIV/0!</v>
      </c>
      <c r="I722" s="179" t="e">
        <f t="shared" si="9"/>
        <v>#DIV/0!</v>
      </c>
    </row>
    <row r="723" spans="1:9" ht="12.5">
      <c r="A723" s="9"/>
      <c r="B723" s="9"/>
      <c r="C723" s="9"/>
      <c r="D723" s="9"/>
      <c r="E723" s="9"/>
      <c r="F723" s="9"/>
      <c r="G723" s="179" t="e">
        <f t="shared" si="8"/>
        <v>#DIV/0!</v>
      </c>
      <c r="H723" s="135" t="e">
        <f t="shared" si="10"/>
        <v>#DIV/0!</v>
      </c>
      <c r="I723" s="179" t="e">
        <f t="shared" si="9"/>
        <v>#DIV/0!</v>
      </c>
    </row>
    <row r="724" spans="1:9" ht="12.5">
      <c r="A724" s="9"/>
      <c r="B724" s="9"/>
      <c r="C724" s="9"/>
      <c r="D724" s="9"/>
      <c r="E724" s="9"/>
      <c r="F724" s="9"/>
      <c r="G724" s="179" t="e">
        <f t="shared" si="8"/>
        <v>#DIV/0!</v>
      </c>
      <c r="H724" s="135" t="e">
        <f t="shared" si="10"/>
        <v>#DIV/0!</v>
      </c>
      <c r="I724" s="179" t="e">
        <f t="shared" si="9"/>
        <v>#DIV/0!</v>
      </c>
    </row>
    <row r="725" spans="1:9" ht="12.5">
      <c r="A725" s="9"/>
      <c r="B725" s="9"/>
      <c r="C725" s="9"/>
      <c r="D725" s="9"/>
      <c r="E725" s="9"/>
      <c r="F725" s="9"/>
      <c r="G725" s="179" t="e">
        <f t="shared" si="8"/>
        <v>#DIV/0!</v>
      </c>
      <c r="H725" s="135" t="e">
        <f t="shared" si="10"/>
        <v>#DIV/0!</v>
      </c>
      <c r="I725" s="179" t="e">
        <f t="shared" si="9"/>
        <v>#DIV/0!</v>
      </c>
    </row>
    <row r="726" spans="1:9" ht="12.5">
      <c r="A726" s="9"/>
      <c r="B726" s="9"/>
      <c r="C726" s="9"/>
      <c r="D726" s="9"/>
      <c r="E726" s="9"/>
      <c r="F726" s="9"/>
      <c r="G726" s="179" t="e">
        <f t="shared" si="8"/>
        <v>#DIV/0!</v>
      </c>
      <c r="H726" s="135" t="e">
        <f t="shared" si="10"/>
        <v>#DIV/0!</v>
      </c>
      <c r="I726" s="179" t="e">
        <f t="shared" si="9"/>
        <v>#DIV/0!</v>
      </c>
    </row>
    <row r="727" spans="1:9" ht="12.5">
      <c r="A727" s="9"/>
      <c r="B727" s="9"/>
      <c r="C727" s="9"/>
      <c r="D727" s="9"/>
      <c r="E727" s="9"/>
      <c r="F727" s="9"/>
      <c r="G727" s="179" t="e">
        <f t="shared" si="8"/>
        <v>#DIV/0!</v>
      </c>
      <c r="H727" s="135" t="e">
        <f t="shared" si="10"/>
        <v>#DIV/0!</v>
      </c>
      <c r="I727" s="179" t="e">
        <f t="shared" si="9"/>
        <v>#DIV/0!</v>
      </c>
    </row>
    <row r="728" spans="1:9" ht="12.5">
      <c r="A728" s="9"/>
      <c r="B728" s="9"/>
      <c r="C728" s="9"/>
      <c r="D728" s="9"/>
      <c r="E728" s="9"/>
      <c r="F728" s="9"/>
      <c r="G728" s="179" t="e">
        <f t="shared" si="8"/>
        <v>#DIV/0!</v>
      </c>
      <c r="H728" s="135" t="e">
        <f t="shared" si="10"/>
        <v>#DIV/0!</v>
      </c>
      <c r="I728" s="179" t="e">
        <f t="shared" si="9"/>
        <v>#DIV/0!</v>
      </c>
    </row>
    <row r="729" spans="1:9" ht="12.5">
      <c r="A729" s="9"/>
      <c r="B729" s="9"/>
      <c r="C729" s="9"/>
      <c r="D729" s="9"/>
      <c r="E729" s="9"/>
      <c r="F729" s="9"/>
      <c r="G729" s="179" t="e">
        <f t="shared" si="8"/>
        <v>#DIV/0!</v>
      </c>
      <c r="H729" s="135" t="e">
        <f t="shared" si="10"/>
        <v>#DIV/0!</v>
      </c>
      <c r="I729" s="179" t="e">
        <f t="shared" si="9"/>
        <v>#DIV/0!</v>
      </c>
    </row>
    <row r="730" spans="1:9" ht="12.5">
      <c r="A730" s="9"/>
      <c r="B730" s="9"/>
      <c r="C730" s="9"/>
      <c r="D730" s="9"/>
      <c r="E730" s="9"/>
      <c r="F730" s="9"/>
      <c r="G730" s="179" t="e">
        <f t="shared" si="8"/>
        <v>#DIV/0!</v>
      </c>
      <c r="H730" s="135" t="e">
        <f t="shared" si="10"/>
        <v>#DIV/0!</v>
      </c>
      <c r="I730" s="179" t="e">
        <f t="shared" si="9"/>
        <v>#DIV/0!</v>
      </c>
    </row>
    <row r="731" spans="1:9" ht="12.5">
      <c r="A731" s="9"/>
      <c r="B731" s="9"/>
      <c r="C731" s="9"/>
      <c r="D731" s="9"/>
      <c r="E731" s="9"/>
      <c r="F731" s="9"/>
      <c r="G731" s="179" t="e">
        <f t="shared" si="8"/>
        <v>#DIV/0!</v>
      </c>
      <c r="H731" s="135" t="e">
        <f t="shared" si="10"/>
        <v>#DIV/0!</v>
      </c>
      <c r="I731" s="179" t="e">
        <f t="shared" si="9"/>
        <v>#DIV/0!</v>
      </c>
    </row>
    <row r="732" spans="1:9" ht="12.5">
      <c r="A732" s="9"/>
      <c r="B732" s="9"/>
      <c r="C732" s="9"/>
      <c r="D732" s="9"/>
      <c r="E732" s="9"/>
      <c r="F732" s="9"/>
      <c r="G732" s="179" t="e">
        <f t="shared" si="8"/>
        <v>#DIV/0!</v>
      </c>
      <c r="H732" s="135" t="e">
        <f t="shared" si="10"/>
        <v>#DIV/0!</v>
      </c>
      <c r="I732" s="179" t="e">
        <f t="shared" si="9"/>
        <v>#DIV/0!</v>
      </c>
    </row>
    <row r="733" spans="1:9" ht="12.5">
      <c r="A733" s="9"/>
      <c r="B733" s="9"/>
      <c r="C733" s="9"/>
      <c r="D733" s="9"/>
      <c r="E733" s="9"/>
      <c r="F733" s="9"/>
      <c r="G733" s="179" t="e">
        <f t="shared" si="8"/>
        <v>#DIV/0!</v>
      </c>
      <c r="H733" s="135" t="e">
        <f t="shared" si="10"/>
        <v>#DIV/0!</v>
      </c>
      <c r="I733" s="179" t="e">
        <f t="shared" si="9"/>
        <v>#DIV/0!</v>
      </c>
    </row>
    <row r="734" spans="1:9" ht="12.5">
      <c r="A734" s="9"/>
      <c r="B734" s="9"/>
      <c r="C734" s="9"/>
      <c r="D734" s="9"/>
      <c r="E734" s="9"/>
      <c r="F734" s="9"/>
      <c r="G734" s="179" t="e">
        <f t="shared" si="8"/>
        <v>#DIV/0!</v>
      </c>
      <c r="H734" s="135" t="e">
        <f t="shared" si="10"/>
        <v>#DIV/0!</v>
      </c>
      <c r="I734" s="179" t="e">
        <f t="shared" si="9"/>
        <v>#DIV/0!</v>
      </c>
    </row>
    <row r="735" spans="1:9" ht="12.5">
      <c r="A735" s="9"/>
      <c r="B735" s="9"/>
      <c r="C735" s="9"/>
      <c r="D735" s="9"/>
      <c r="E735" s="9"/>
      <c r="F735" s="9"/>
      <c r="G735" s="179" t="e">
        <f t="shared" si="8"/>
        <v>#DIV/0!</v>
      </c>
      <c r="H735" s="135" t="e">
        <f t="shared" si="10"/>
        <v>#DIV/0!</v>
      </c>
      <c r="I735" s="179" t="e">
        <f t="shared" si="9"/>
        <v>#DIV/0!</v>
      </c>
    </row>
    <row r="736" spans="1:9" ht="12.5">
      <c r="A736" s="9"/>
      <c r="B736" s="9"/>
      <c r="C736" s="9"/>
      <c r="D736" s="9"/>
      <c r="E736" s="9"/>
      <c r="F736" s="9"/>
      <c r="G736" s="179" t="e">
        <f t="shared" si="8"/>
        <v>#DIV/0!</v>
      </c>
      <c r="H736" s="135" t="e">
        <f t="shared" si="10"/>
        <v>#DIV/0!</v>
      </c>
      <c r="I736" s="179" t="e">
        <f t="shared" si="9"/>
        <v>#DIV/0!</v>
      </c>
    </row>
    <row r="737" spans="1:9" ht="12.5">
      <c r="A737" s="9"/>
      <c r="B737" s="9"/>
      <c r="C737" s="9"/>
      <c r="D737" s="9"/>
      <c r="E737" s="9"/>
      <c r="F737" s="9"/>
      <c r="G737" s="179" t="e">
        <f t="shared" si="8"/>
        <v>#DIV/0!</v>
      </c>
      <c r="H737" s="135" t="e">
        <f t="shared" si="10"/>
        <v>#DIV/0!</v>
      </c>
      <c r="I737" s="179" t="e">
        <f t="shared" si="9"/>
        <v>#DIV/0!</v>
      </c>
    </row>
    <row r="738" spans="1:9" ht="12.5">
      <c r="A738" s="9"/>
      <c r="B738" s="9"/>
      <c r="C738" s="9"/>
      <c r="D738" s="9"/>
      <c r="E738" s="9"/>
      <c r="F738" s="9"/>
      <c r="G738" s="179" t="e">
        <f t="shared" si="8"/>
        <v>#DIV/0!</v>
      </c>
      <c r="H738" s="135" t="e">
        <f t="shared" si="10"/>
        <v>#DIV/0!</v>
      </c>
      <c r="I738" s="179" t="e">
        <f t="shared" si="9"/>
        <v>#DIV/0!</v>
      </c>
    </row>
    <row r="739" spans="1:9" ht="12.5">
      <c r="A739" s="9"/>
      <c r="B739" s="9"/>
      <c r="C739" s="9"/>
      <c r="D739" s="9"/>
      <c r="E739" s="9"/>
      <c r="F739" s="9"/>
      <c r="G739" s="179" t="e">
        <f t="shared" si="8"/>
        <v>#DIV/0!</v>
      </c>
      <c r="H739" s="135" t="e">
        <f t="shared" si="10"/>
        <v>#DIV/0!</v>
      </c>
      <c r="I739" s="179" t="e">
        <f t="shared" si="9"/>
        <v>#DIV/0!</v>
      </c>
    </row>
    <row r="740" spans="1:9" ht="12.5">
      <c r="A740" s="9"/>
      <c r="B740" s="9"/>
      <c r="C740" s="9"/>
      <c r="D740" s="9"/>
      <c r="E740" s="9"/>
      <c r="F740" s="9"/>
      <c r="G740" s="179" t="e">
        <f t="shared" si="8"/>
        <v>#DIV/0!</v>
      </c>
      <c r="H740" s="135" t="e">
        <f t="shared" si="10"/>
        <v>#DIV/0!</v>
      </c>
      <c r="I740" s="179" t="e">
        <f t="shared" si="9"/>
        <v>#DIV/0!</v>
      </c>
    </row>
    <row r="741" spans="1:9" ht="12.5">
      <c r="A741" s="9"/>
      <c r="B741" s="9"/>
      <c r="C741" s="9"/>
      <c r="D741" s="9"/>
      <c r="E741" s="9"/>
      <c r="F741" s="9"/>
      <c r="G741" s="179" t="e">
        <f t="shared" si="8"/>
        <v>#DIV/0!</v>
      </c>
      <c r="H741" s="135" t="e">
        <f t="shared" si="10"/>
        <v>#DIV/0!</v>
      </c>
      <c r="I741" s="179" t="e">
        <f t="shared" si="9"/>
        <v>#DIV/0!</v>
      </c>
    </row>
    <row r="742" spans="1:9" ht="12.5">
      <c r="A742" s="9"/>
      <c r="B742" s="9"/>
      <c r="C742" s="9"/>
      <c r="D742" s="9"/>
      <c r="E742" s="9"/>
      <c r="F742" s="9"/>
      <c r="G742" s="179" t="e">
        <f t="shared" si="8"/>
        <v>#DIV/0!</v>
      </c>
      <c r="H742" s="135" t="e">
        <f t="shared" si="10"/>
        <v>#DIV/0!</v>
      </c>
      <c r="I742" s="179" t="e">
        <f t="shared" si="9"/>
        <v>#DIV/0!</v>
      </c>
    </row>
    <row r="743" spans="1:9" ht="12.5">
      <c r="A743" s="9"/>
      <c r="B743" s="9"/>
      <c r="C743" s="9"/>
      <c r="D743" s="9"/>
      <c r="E743" s="9"/>
      <c r="F743" s="9"/>
      <c r="G743" s="179" t="e">
        <f t="shared" si="8"/>
        <v>#DIV/0!</v>
      </c>
      <c r="H743" s="135" t="e">
        <f t="shared" si="10"/>
        <v>#DIV/0!</v>
      </c>
      <c r="I743" s="179" t="e">
        <f t="shared" si="9"/>
        <v>#DIV/0!</v>
      </c>
    </row>
    <row r="744" spans="1:9" ht="12.5">
      <c r="A744" s="9"/>
      <c r="B744" s="9"/>
      <c r="C744" s="9"/>
      <c r="D744" s="9"/>
      <c r="E744" s="9"/>
      <c r="F744" s="9"/>
      <c r="G744" s="179" t="e">
        <f t="shared" si="8"/>
        <v>#DIV/0!</v>
      </c>
      <c r="H744" s="135" t="e">
        <f t="shared" si="10"/>
        <v>#DIV/0!</v>
      </c>
      <c r="I744" s="179" t="e">
        <f t="shared" si="9"/>
        <v>#DIV/0!</v>
      </c>
    </row>
    <row r="745" spans="1:9" ht="12.5">
      <c r="A745" s="9"/>
      <c r="B745" s="9"/>
      <c r="C745" s="9"/>
      <c r="D745" s="9"/>
      <c r="E745" s="9"/>
      <c r="F745" s="9"/>
      <c r="G745" s="179" t="e">
        <f t="shared" si="8"/>
        <v>#DIV/0!</v>
      </c>
      <c r="H745" s="135" t="e">
        <f t="shared" si="10"/>
        <v>#DIV/0!</v>
      </c>
      <c r="I745" s="179" t="e">
        <f t="shared" si="9"/>
        <v>#DIV/0!</v>
      </c>
    </row>
    <row r="746" spans="1:9" ht="12.5">
      <c r="A746" s="9"/>
      <c r="B746" s="9"/>
      <c r="C746" s="9"/>
      <c r="D746" s="9"/>
      <c r="E746" s="9"/>
      <c r="F746" s="9"/>
      <c r="G746" s="179" t="e">
        <f t="shared" si="8"/>
        <v>#DIV/0!</v>
      </c>
      <c r="H746" s="135" t="e">
        <f t="shared" si="10"/>
        <v>#DIV/0!</v>
      </c>
      <c r="I746" s="179" t="e">
        <f t="shared" si="9"/>
        <v>#DIV/0!</v>
      </c>
    </row>
    <row r="747" spans="1:9" ht="12.5">
      <c r="A747" s="9"/>
      <c r="B747" s="9"/>
      <c r="C747" s="9"/>
      <c r="D747" s="9"/>
      <c r="E747" s="9"/>
      <c r="F747" s="9"/>
      <c r="G747" s="179" t="e">
        <f t="shared" si="8"/>
        <v>#DIV/0!</v>
      </c>
      <c r="H747" s="135" t="e">
        <f t="shared" si="10"/>
        <v>#DIV/0!</v>
      </c>
      <c r="I747" s="179" t="e">
        <f t="shared" si="9"/>
        <v>#DIV/0!</v>
      </c>
    </row>
    <row r="748" spans="1:9" ht="12.5">
      <c r="A748" s="9"/>
      <c r="B748" s="9"/>
      <c r="C748" s="9"/>
      <c r="D748" s="9"/>
      <c r="E748" s="9"/>
      <c r="F748" s="9"/>
      <c r="G748" s="179" t="e">
        <f t="shared" si="8"/>
        <v>#DIV/0!</v>
      </c>
      <c r="H748" s="135" t="e">
        <f t="shared" si="10"/>
        <v>#DIV/0!</v>
      </c>
      <c r="I748" s="179" t="e">
        <f t="shared" si="9"/>
        <v>#DIV/0!</v>
      </c>
    </row>
    <row r="749" spans="1:9" ht="12.5">
      <c r="A749" s="9"/>
      <c r="B749" s="9"/>
      <c r="C749" s="9"/>
      <c r="D749" s="9"/>
      <c r="E749" s="9"/>
      <c r="F749" s="9"/>
      <c r="G749" s="179" t="e">
        <f t="shared" si="8"/>
        <v>#DIV/0!</v>
      </c>
      <c r="H749" s="135" t="e">
        <f t="shared" si="10"/>
        <v>#DIV/0!</v>
      </c>
      <c r="I749" s="179" t="e">
        <f t="shared" si="9"/>
        <v>#DIV/0!</v>
      </c>
    </row>
    <row r="750" spans="1:9" ht="12.5">
      <c r="A750" s="9"/>
      <c r="B750" s="9"/>
      <c r="C750" s="9"/>
      <c r="D750" s="9"/>
      <c r="E750" s="9"/>
      <c r="F750" s="9"/>
      <c r="G750" s="179" t="e">
        <f t="shared" si="8"/>
        <v>#DIV/0!</v>
      </c>
      <c r="H750" s="135" t="e">
        <f t="shared" si="10"/>
        <v>#DIV/0!</v>
      </c>
      <c r="I750" s="179" t="e">
        <f t="shared" si="9"/>
        <v>#DIV/0!</v>
      </c>
    </row>
    <row r="751" spans="1:9" ht="12.5">
      <c r="A751" s="9"/>
      <c r="B751" s="9"/>
      <c r="C751" s="9"/>
      <c r="D751" s="9"/>
      <c r="E751" s="9"/>
      <c r="F751" s="9"/>
      <c r="G751" s="179" t="e">
        <f t="shared" si="8"/>
        <v>#DIV/0!</v>
      </c>
      <c r="H751" s="135" t="e">
        <f t="shared" si="10"/>
        <v>#DIV/0!</v>
      </c>
      <c r="I751" s="179" t="e">
        <f t="shared" si="9"/>
        <v>#DIV/0!</v>
      </c>
    </row>
    <row r="752" spans="1:9" ht="12.5">
      <c r="A752" s="9"/>
      <c r="B752" s="9"/>
      <c r="C752" s="9"/>
      <c r="D752" s="9"/>
      <c r="E752" s="9"/>
      <c r="F752" s="9"/>
      <c r="G752" s="179" t="e">
        <f t="shared" si="8"/>
        <v>#DIV/0!</v>
      </c>
      <c r="H752" s="135" t="e">
        <f t="shared" si="10"/>
        <v>#DIV/0!</v>
      </c>
      <c r="I752" s="179" t="e">
        <f t="shared" si="9"/>
        <v>#DIV/0!</v>
      </c>
    </row>
    <row r="753" spans="1:9" ht="12.5">
      <c r="A753" s="9"/>
      <c r="B753" s="9"/>
      <c r="C753" s="9"/>
      <c r="D753" s="9"/>
      <c r="E753" s="9"/>
      <c r="F753" s="9"/>
      <c r="G753" s="179" t="e">
        <f t="shared" si="8"/>
        <v>#DIV/0!</v>
      </c>
      <c r="H753" s="135" t="e">
        <f t="shared" si="10"/>
        <v>#DIV/0!</v>
      </c>
      <c r="I753" s="179" t="e">
        <f t="shared" si="9"/>
        <v>#DIV/0!</v>
      </c>
    </row>
    <row r="754" spans="1:9" ht="12.5">
      <c r="A754" s="9"/>
      <c r="B754" s="9"/>
      <c r="C754" s="9"/>
      <c r="D754" s="9"/>
      <c r="E754" s="9"/>
      <c r="F754" s="9"/>
      <c r="G754" s="179" t="e">
        <f t="shared" si="8"/>
        <v>#DIV/0!</v>
      </c>
      <c r="H754" s="135" t="e">
        <f t="shared" si="10"/>
        <v>#DIV/0!</v>
      </c>
      <c r="I754" s="179" t="e">
        <f t="shared" si="9"/>
        <v>#DIV/0!</v>
      </c>
    </row>
    <row r="755" spans="1:9" ht="12.5">
      <c r="A755" s="9"/>
      <c r="B755" s="9"/>
      <c r="C755" s="9"/>
      <c r="D755" s="9"/>
      <c r="E755" s="9"/>
      <c r="F755" s="9"/>
      <c r="G755" s="179" t="e">
        <f t="shared" si="8"/>
        <v>#DIV/0!</v>
      </c>
      <c r="H755" s="135" t="e">
        <f t="shared" si="10"/>
        <v>#DIV/0!</v>
      </c>
      <c r="I755" s="179" t="e">
        <f t="shared" si="9"/>
        <v>#DIV/0!</v>
      </c>
    </row>
    <row r="756" spans="1:9" ht="12.5">
      <c r="A756" s="9"/>
      <c r="B756" s="9"/>
      <c r="C756" s="9"/>
      <c r="D756" s="9"/>
      <c r="E756" s="9"/>
      <c r="F756" s="9"/>
      <c r="G756" s="179" t="e">
        <f t="shared" si="8"/>
        <v>#DIV/0!</v>
      </c>
      <c r="H756" s="135" t="e">
        <f t="shared" si="10"/>
        <v>#DIV/0!</v>
      </c>
      <c r="I756" s="179" t="e">
        <f t="shared" si="9"/>
        <v>#DIV/0!</v>
      </c>
    </row>
    <row r="757" spans="1:9" ht="12.5">
      <c r="A757" s="9"/>
      <c r="B757" s="9"/>
      <c r="C757" s="9"/>
      <c r="D757" s="9"/>
      <c r="E757" s="9"/>
      <c r="F757" s="9"/>
      <c r="G757" s="179" t="e">
        <f t="shared" si="8"/>
        <v>#DIV/0!</v>
      </c>
      <c r="H757" s="135" t="e">
        <f t="shared" si="10"/>
        <v>#DIV/0!</v>
      </c>
      <c r="I757" s="179" t="e">
        <f t="shared" si="9"/>
        <v>#DIV/0!</v>
      </c>
    </row>
    <row r="758" spans="1:9" ht="12.5">
      <c r="A758" s="9"/>
      <c r="B758" s="9"/>
      <c r="C758" s="9"/>
      <c r="D758" s="9"/>
      <c r="E758" s="9"/>
      <c r="F758" s="9"/>
      <c r="G758" s="179" t="e">
        <f t="shared" si="8"/>
        <v>#DIV/0!</v>
      </c>
      <c r="H758" s="135" t="e">
        <f t="shared" si="10"/>
        <v>#DIV/0!</v>
      </c>
      <c r="I758" s="179" t="e">
        <f t="shared" si="9"/>
        <v>#DIV/0!</v>
      </c>
    </row>
    <row r="759" spans="1:9" ht="12.5">
      <c r="A759" s="9"/>
      <c r="B759" s="9"/>
      <c r="C759" s="9"/>
      <c r="D759" s="9"/>
      <c r="E759" s="9"/>
      <c r="F759" s="9"/>
      <c r="G759" s="179" t="e">
        <f t="shared" si="8"/>
        <v>#DIV/0!</v>
      </c>
      <c r="H759" s="135" t="e">
        <f t="shared" si="10"/>
        <v>#DIV/0!</v>
      </c>
      <c r="I759" s="179" t="e">
        <f t="shared" si="9"/>
        <v>#DIV/0!</v>
      </c>
    </row>
    <row r="760" spans="1:9" ht="12.5">
      <c r="A760" s="9"/>
      <c r="B760" s="9"/>
      <c r="C760" s="9"/>
      <c r="D760" s="9"/>
      <c r="E760" s="9"/>
      <c r="F760" s="9"/>
      <c r="G760" s="179" t="e">
        <f t="shared" si="8"/>
        <v>#DIV/0!</v>
      </c>
      <c r="H760" s="135" t="e">
        <f t="shared" si="10"/>
        <v>#DIV/0!</v>
      </c>
      <c r="I760" s="179" t="e">
        <f t="shared" si="9"/>
        <v>#DIV/0!</v>
      </c>
    </row>
    <row r="761" spans="1:9" ht="12.5">
      <c r="A761" s="9"/>
      <c r="B761" s="9"/>
      <c r="C761" s="9"/>
      <c r="D761" s="9"/>
      <c r="E761" s="9"/>
      <c r="F761" s="9"/>
      <c r="G761" s="179" t="e">
        <f t="shared" si="8"/>
        <v>#DIV/0!</v>
      </c>
      <c r="H761" s="135" t="e">
        <f t="shared" si="10"/>
        <v>#DIV/0!</v>
      </c>
      <c r="I761" s="179" t="e">
        <f t="shared" si="9"/>
        <v>#DIV/0!</v>
      </c>
    </row>
    <row r="762" spans="1:9" ht="12.5">
      <c r="A762" s="9"/>
      <c r="B762" s="9"/>
      <c r="C762" s="9"/>
      <c r="D762" s="9"/>
      <c r="E762" s="9"/>
      <c r="F762" s="9"/>
      <c r="G762" s="179" t="e">
        <f t="shared" si="8"/>
        <v>#DIV/0!</v>
      </c>
      <c r="H762" s="135" t="e">
        <f t="shared" si="10"/>
        <v>#DIV/0!</v>
      </c>
      <c r="I762" s="179" t="e">
        <f t="shared" si="9"/>
        <v>#DIV/0!</v>
      </c>
    </row>
    <row r="763" spans="1:9" ht="12.5">
      <c r="A763" s="9"/>
      <c r="B763" s="9"/>
      <c r="C763" s="9"/>
      <c r="D763" s="9"/>
      <c r="E763" s="9"/>
      <c r="F763" s="9"/>
      <c r="G763" s="179" t="e">
        <f t="shared" si="8"/>
        <v>#DIV/0!</v>
      </c>
      <c r="H763" s="135" t="e">
        <f t="shared" si="10"/>
        <v>#DIV/0!</v>
      </c>
      <c r="I763" s="179" t="e">
        <f t="shared" si="9"/>
        <v>#DIV/0!</v>
      </c>
    </row>
    <row r="764" spans="1:9" ht="12.5">
      <c r="A764" s="9"/>
      <c r="B764" s="9"/>
      <c r="C764" s="9"/>
      <c r="D764" s="9"/>
      <c r="E764" s="9"/>
      <c r="F764" s="9"/>
      <c r="G764" s="179" t="e">
        <f t="shared" si="8"/>
        <v>#DIV/0!</v>
      </c>
      <c r="H764" s="135" t="e">
        <f t="shared" si="10"/>
        <v>#DIV/0!</v>
      </c>
      <c r="I764" s="179" t="e">
        <f t="shared" si="9"/>
        <v>#DIV/0!</v>
      </c>
    </row>
    <row r="765" spans="1:9" ht="12.5">
      <c r="A765" s="9"/>
      <c r="B765" s="9"/>
      <c r="C765" s="9"/>
      <c r="D765" s="9"/>
      <c r="E765" s="9"/>
      <c r="F765" s="9"/>
      <c r="G765" s="179" t="e">
        <f t="shared" si="8"/>
        <v>#DIV/0!</v>
      </c>
      <c r="H765" s="135" t="e">
        <f t="shared" si="10"/>
        <v>#DIV/0!</v>
      </c>
      <c r="I765" s="179" t="e">
        <f t="shared" si="9"/>
        <v>#DIV/0!</v>
      </c>
    </row>
    <row r="766" spans="1:9" ht="12.5">
      <c r="A766" s="9"/>
      <c r="B766" s="9"/>
      <c r="C766" s="9"/>
      <c r="D766" s="9"/>
      <c r="E766" s="9"/>
      <c r="F766" s="9"/>
      <c r="G766" s="179" t="e">
        <f t="shared" si="8"/>
        <v>#DIV/0!</v>
      </c>
      <c r="H766" s="135" t="e">
        <f t="shared" si="10"/>
        <v>#DIV/0!</v>
      </c>
      <c r="I766" s="179" t="e">
        <f t="shared" si="9"/>
        <v>#DIV/0!</v>
      </c>
    </row>
    <row r="767" spans="1:9" ht="12.5">
      <c r="A767" s="9"/>
      <c r="B767" s="9"/>
      <c r="C767" s="9"/>
      <c r="D767" s="9"/>
      <c r="E767" s="9"/>
      <c r="F767" s="9"/>
      <c r="G767" s="179" t="e">
        <f t="shared" ref="G767:G1000" si="11">E767/D767</f>
        <v>#DIV/0!</v>
      </c>
      <c r="H767" s="135" t="e">
        <f t="shared" si="10"/>
        <v>#DIV/0!</v>
      </c>
      <c r="I767" s="179" t="e">
        <f t="shared" ref="I767:I1000" si="12">C767/D767</f>
        <v>#DIV/0!</v>
      </c>
    </row>
    <row r="768" spans="1:9" ht="12.5">
      <c r="A768" s="9"/>
      <c r="B768" s="9"/>
      <c r="C768" s="9"/>
      <c r="D768" s="9"/>
      <c r="E768" s="9"/>
      <c r="F768" s="9"/>
      <c r="G768" s="179" t="e">
        <f t="shared" si="11"/>
        <v>#DIV/0!</v>
      </c>
      <c r="H768" s="135" t="e">
        <f t="shared" si="10"/>
        <v>#DIV/0!</v>
      </c>
      <c r="I768" s="179" t="e">
        <f t="shared" si="12"/>
        <v>#DIV/0!</v>
      </c>
    </row>
    <row r="769" spans="1:9" ht="12.5">
      <c r="A769" s="9"/>
      <c r="B769" s="9"/>
      <c r="C769" s="9"/>
      <c r="D769" s="9"/>
      <c r="E769" s="9"/>
      <c r="F769" s="9"/>
      <c r="G769" s="179" t="e">
        <f t="shared" si="11"/>
        <v>#DIV/0!</v>
      </c>
      <c r="H769" s="135" t="e">
        <f t="shared" si="10"/>
        <v>#DIV/0!</v>
      </c>
      <c r="I769" s="179" t="e">
        <f t="shared" si="12"/>
        <v>#DIV/0!</v>
      </c>
    </row>
    <row r="770" spans="1:9" ht="12.5">
      <c r="A770" s="9"/>
      <c r="B770" s="9"/>
      <c r="C770" s="9"/>
      <c r="D770" s="9"/>
      <c r="E770" s="9"/>
      <c r="F770" s="9"/>
      <c r="G770" s="179" t="e">
        <f t="shared" si="11"/>
        <v>#DIV/0!</v>
      </c>
      <c r="H770" s="135" t="e">
        <f t="shared" si="10"/>
        <v>#DIV/0!</v>
      </c>
      <c r="I770" s="179" t="e">
        <f t="shared" si="12"/>
        <v>#DIV/0!</v>
      </c>
    </row>
    <row r="771" spans="1:9" ht="12.5">
      <c r="A771" s="9"/>
      <c r="B771" s="9"/>
      <c r="C771" s="9"/>
      <c r="D771" s="9"/>
      <c r="E771" s="9"/>
      <c r="F771" s="9"/>
      <c r="G771" s="179" t="e">
        <f t="shared" si="11"/>
        <v>#DIV/0!</v>
      </c>
      <c r="H771" s="135" t="e">
        <f t="shared" si="10"/>
        <v>#DIV/0!</v>
      </c>
      <c r="I771" s="179" t="e">
        <f t="shared" si="12"/>
        <v>#DIV/0!</v>
      </c>
    </row>
    <row r="772" spans="1:9" ht="12.5">
      <c r="A772" s="9"/>
      <c r="B772" s="9"/>
      <c r="C772" s="9"/>
      <c r="D772" s="9"/>
      <c r="E772" s="9"/>
      <c r="F772" s="9"/>
      <c r="G772" s="179" t="e">
        <f t="shared" si="11"/>
        <v>#DIV/0!</v>
      </c>
      <c r="H772" s="135" t="e">
        <f t="shared" si="10"/>
        <v>#DIV/0!</v>
      </c>
      <c r="I772" s="179" t="e">
        <f t="shared" si="12"/>
        <v>#DIV/0!</v>
      </c>
    </row>
    <row r="773" spans="1:9" ht="12.5">
      <c r="A773" s="9"/>
      <c r="B773" s="9"/>
      <c r="C773" s="9"/>
      <c r="D773" s="9"/>
      <c r="E773" s="9"/>
      <c r="F773" s="9"/>
      <c r="G773" s="179" t="e">
        <f t="shared" si="11"/>
        <v>#DIV/0!</v>
      </c>
      <c r="H773" s="135" t="e">
        <f t="shared" si="10"/>
        <v>#DIV/0!</v>
      </c>
      <c r="I773" s="179" t="e">
        <f t="shared" si="12"/>
        <v>#DIV/0!</v>
      </c>
    </row>
    <row r="774" spans="1:9" ht="12.5">
      <c r="A774" s="9"/>
      <c r="B774" s="9"/>
      <c r="C774" s="9"/>
      <c r="D774" s="9"/>
      <c r="E774" s="9"/>
      <c r="F774" s="9"/>
      <c r="G774" s="179" t="e">
        <f t="shared" si="11"/>
        <v>#DIV/0!</v>
      </c>
      <c r="H774" s="135" t="e">
        <f t="shared" si="10"/>
        <v>#DIV/0!</v>
      </c>
      <c r="I774" s="179" t="e">
        <f t="shared" si="12"/>
        <v>#DIV/0!</v>
      </c>
    </row>
    <row r="775" spans="1:9" ht="12.5">
      <c r="A775" s="9"/>
      <c r="B775" s="9"/>
      <c r="C775" s="9"/>
      <c r="D775" s="9"/>
      <c r="E775" s="9"/>
      <c r="F775" s="9"/>
      <c r="G775" s="179" t="e">
        <f t="shared" si="11"/>
        <v>#DIV/0!</v>
      </c>
      <c r="H775" s="135" t="e">
        <f t="shared" si="10"/>
        <v>#DIV/0!</v>
      </c>
      <c r="I775" s="179" t="e">
        <f t="shared" si="12"/>
        <v>#DIV/0!</v>
      </c>
    </row>
    <row r="776" spans="1:9" ht="12.5">
      <c r="A776" s="9"/>
      <c r="B776" s="9"/>
      <c r="C776" s="9"/>
      <c r="D776" s="9"/>
      <c r="E776" s="9"/>
      <c r="F776" s="9"/>
      <c r="G776" s="179" t="e">
        <f t="shared" si="11"/>
        <v>#DIV/0!</v>
      </c>
      <c r="H776" s="135" t="e">
        <f t="shared" si="10"/>
        <v>#DIV/0!</v>
      </c>
      <c r="I776" s="179" t="e">
        <f t="shared" si="12"/>
        <v>#DIV/0!</v>
      </c>
    </row>
    <row r="777" spans="1:9" ht="12.5">
      <c r="A777" s="9"/>
      <c r="B777" s="9"/>
      <c r="C777" s="9"/>
      <c r="D777" s="9"/>
      <c r="E777" s="9"/>
      <c r="F777" s="9"/>
      <c r="G777" s="179" t="e">
        <f t="shared" si="11"/>
        <v>#DIV/0!</v>
      </c>
      <c r="H777" s="135" t="e">
        <f t="shared" si="10"/>
        <v>#DIV/0!</v>
      </c>
      <c r="I777" s="179" t="e">
        <f t="shared" si="12"/>
        <v>#DIV/0!</v>
      </c>
    </row>
    <row r="778" spans="1:9" ht="12.5">
      <c r="A778" s="9"/>
      <c r="B778" s="9"/>
      <c r="C778" s="9"/>
      <c r="D778" s="9"/>
      <c r="E778" s="9"/>
      <c r="F778" s="9"/>
      <c r="G778" s="179" t="e">
        <f t="shared" si="11"/>
        <v>#DIV/0!</v>
      </c>
      <c r="H778" s="135" t="e">
        <f t="shared" si="10"/>
        <v>#DIV/0!</v>
      </c>
      <c r="I778" s="179" t="e">
        <f t="shared" si="12"/>
        <v>#DIV/0!</v>
      </c>
    </row>
    <row r="779" spans="1:9" ht="12.5">
      <c r="A779" s="9"/>
      <c r="B779" s="9"/>
      <c r="C779" s="9"/>
      <c r="D779" s="9"/>
      <c r="E779" s="9"/>
      <c r="F779" s="9"/>
      <c r="G779" s="179" t="e">
        <f t="shared" si="11"/>
        <v>#DIV/0!</v>
      </c>
      <c r="H779" s="135" t="e">
        <f t="shared" si="10"/>
        <v>#DIV/0!</v>
      </c>
      <c r="I779" s="179" t="e">
        <f t="shared" si="12"/>
        <v>#DIV/0!</v>
      </c>
    </row>
    <row r="780" spans="1:9" ht="12.5">
      <c r="A780" s="9"/>
      <c r="B780" s="9"/>
      <c r="C780" s="9"/>
      <c r="D780" s="9"/>
      <c r="E780" s="9"/>
      <c r="F780" s="9"/>
      <c r="G780" s="179" t="e">
        <f t="shared" si="11"/>
        <v>#DIV/0!</v>
      </c>
      <c r="H780" s="135" t="e">
        <f t="shared" si="10"/>
        <v>#DIV/0!</v>
      </c>
      <c r="I780" s="179" t="e">
        <f t="shared" si="12"/>
        <v>#DIV/0!</v>
      </c>
    </row>
    <row r="781" spans="1:9" ht="12.5">
      <c r="A781" s="9"/>
      <c r="B781" s="9"/>
      <c r="C781" s="9"/>
      <c r="D781" s="9"/>
      <c r="E781" s="9"/>
      <c r="F781" s="9"/>
      <c r="G781" s="179" t="e">
        <f t="shared" si="11"/>
        <v>#DIV/0!</v>
      </c>
      <c r="H781" s="135" t="e">
        <f t="shared" ref="H781:H1000" si="13">E781/C781</f>
        <v>#DIV/0!</v>
      </c>
      <c r="I781" s="179" t="e">
        <f t="shared" si="12"/>
        <v>#DIV/0!</v>
      </c>
    </row>
    <row r="782" spans="1:9" ht="12.5">
      <c r="A782" s="9"/>
      <c r="B782" s="9"/>
      <c r="C782" s="9"/>
      <c r="D782" s="9"/>
      <c r="E782" s="9"/>
      <c r="F782" s="9"/>
      <c r="G782" s="179" t="e">
        <f t="shared" si="11"/>
        <v>#DIV/0!</v>
      </c>
      <c r="H782" s="135" t="e">
        <f t="shared" si="13"/>
        <v>#DIV/0!</v>
      </c>
      <c r="I782" s="179" t="e">
        <f t="shared" si="12"/>
        <v>#DIV/0!</v>
      </c>
    </row>
    <row r="783" spans="1:9" ht="12.5">
      <c r="A783" s="9"/>
      <c r="B783" s="9"/>
      <c r="C783" s="9"/>
      <c r="D783" s="9"/>
      <c r="E783" s="9"/>
      <c r="F783" s="9"/>
      <c r="G783" s="179" t="e">
        <f t="shared" si="11"/>
        <v>#DIV/0!</v>
      </c>
      <c r="H783" s="135" t="e">
        <f t="shared" si="13"/>
        <v>#DIV/0!</v>
      </c>
      <c r="I783" s="179" t="e">
        <f t="shared" si="12"/>
        <v>#DIV/0!</v>
      </c>
    </row>
    <row r="784" spans="1:9" ht="12.5">
      <c r="A784" s="9"/>
      <c r="B784" s="9"/>
      <c r="C784" s="9"/>
      <c r="D784" s="9"/>
      <c r="E784" s="9"/>
      <c r="F784" s="9"/>
      <c r="G784" s="179" t="e">
        <f t="shared" si="11"/>
        <v>#DIV/0!</v>
      </c>
      <c r="H784" s="135" t="e">
        <f t="shared" si="13"/>
        <v>#DIV/0!</v>
      </c>
      <c r="I784" s="179" t="e">
        <f t="shared" si="12"/>
        <v>#DIV/0!</v>
      </c>
    </row>
    <row r="785" spans="1:9" ht="12.5">
      <c r="A785" s="9"/>
      <c r="B785" s="9"/>
      <c r="C785" s="9"/>
      <c r="D785" s="9"/>
      <c r="E785" s="9"/>
      <c r="F785" s="9"/>
      <c r="G785" s="179" t="e">
        <f t="shared" si="11"/>
        <v>#DIV/0!</v>
      </c>
      <c r="H785" s="135" t="e">
        <f t="shared" si="13"/>
        <v>#DIV/0!</v>
      </c>
      <c r="I785" s="179" t="e">
        <f t="shared" si="12"/>
        <v>#DIV/0!</v>
      </c>
    </row>
    <row r="786" spans="1:9" ht="12.5">
      <c r="A786" s="9"/>
      <c r="B786" s="9"/>
      <c r="C786" s="9"/>
      <c r="D786" s="9"/>
      <c r="E786" s="9"/>
      <c r="F786" s="9"/>
      <c r="G786" s="179" t="e">
        <f t="shared" si="11"/>
        <v>#DIV/0!</v>
      </c>
      <c r="H786" s="135" t="e">
        <f t="shared" si="13"/>
        <v>#DIV/0!</v>
      </c>
      <c r="I786" s="179" t="e">
        <f t="shared" si="12"/>
        <v>#DIV/0!</v>
      </c>
    </row>
    <row r="787" spans="1:9" ht="12.5">
      <c r="A787" s="9"/>
      <c r="B787" s="9"/>
      <c r="C787" s="9"/>
      <c r="D787" s="9"/>
      <c r="E787" s="9"/>
      <c r="F787" s="9"/>
      <c r="G787" s="179" t="e">
        <f t="shared" si="11"/>
        <v>#DIV/0!</v>
      </c>
      <c r="H787" s="135" t="e">
        <f t="shared" si="13"/>
        <v>#DIV/0!</v>
      </c>
      <c r="I787" s="179" t="e">
        <f t="shared" si="12"/>
        <v>#DIV/0!</v>
      </c>
    </row>
    <row r="788" spans="1:9" ht="12.5">
      <c r="A788" s="9"/>
      <c r="B788" s="9"/>
      <c r="C788" s="9"/>
      <c r="D788" s="9"/>
      <c r="E788" s="9"/>
      <c r="F788" s="9"/>
      <c r="G788" s="179" t="e">
        <f t="shared" si="11"/>
        <v>#DIV/0!</v>
      </c>
      <c r="H788" s="135" t="e">
        <f t="shared" si="13"/>
        <v>#DIV/0!</v>
      </c>
      <c r="I788" s="179" t="e">
        <f t="shared" si="12"/>
        <v>#DIV/0!</v>
      </c>
    </row>
    <row r="789" spans="1:9" ht="12.5">
      <c r="A789" s="9"/>
      <c r="B789" s="9"/>
      <c r="C789" s="9"/>
      <c r="D789" s="9"/>
      <c r="E789" s="9"/>
      <c r="F789" s="9"/>
      <c r="G789" s="179" t="e">
        <f t="shared" si="11"/>
        <v>#DIV/0!</v>
      </c>
      <c r="H789" s="135" t="e">
        <f t="shared" si="13"/>
        <v>#DIV/0!</v>
      </c>
      <c r="I789" s="179" t="e">
        <f t="shared" si="12"/>
        <v>#DIV/0!</v>
      </c>
    </row>
    <row r="790" spans="1:9" ht="12.5">
      <c r="A790" s="9"/>
      <c r="B790" s="9"/>
      <c r="C790" s="9"/>
      <c r="D790" s="9"/>
      <c r="E790" s="9"/>
      <c r="F790" s="9"/>
      <c r="G790" s="179" t="e">
        <f t="shared" si="11"/>
        <v>#DIV/0!</v>
      </c>
      <c r="H790" s="135" t="e">
        <f t="shared" si="13"/>
        <v>#DIV/0!</v>
      </c>
      <c r="I790" s="179" t="e">
        <f t="shared" si="12"/>
        <v>#DIV/0!</v>
      </c>
    </row>
    <row r="791" spans="1:9" ht="12.5">
      <c r="A791" s="9"/>
      <c r="B791" s="9"/>
      <c r="C791" s="9"/>
      <c r="D791" s="9"/>
      <c r="E791" s="9"/>
      <c r="F791" s="9"/>
      <c r="G791" s="179" t="e">
        <f t="shared" si="11"/>
        <v>#DIV/0!</v>
      </c>
      <c r="H791" s="135" t="e">
        <f t="shared" si="13"/>
        <v>#DIV/0!</v>
      </c>
      <c r="I791" s="179" t="e">
        <f t="shared" si="12"/>
        <v>#DIV/0!</v>
      </c>
    </row>
    <row r="792" spans="1:9" ht="12.5">
      <c r="A792" s="9"/>
      <c r="B792" s="9"/>
      <c r="C792" s="9"/>
      <c r="D792" s="9"/>
      <c r="E792" s="9"/>
      <c r="F792" s="9"/>
      <c r="G792" s="179" t="e">
        <f t="shared" si="11"/>
        <v>#DIV/0!</v>
      </c>
      <c r="H792" s="135" t="e">
        <f t="shared" si="13"/>
        <v>#DIV/0!</v>
      </c>
      <c r="I792" s="179" t="e">
        <f t="shared" si="12"/>
        <v>#DIV/0!</v>
      </c>
    </row>
    <row r="793" spans="1:9" ht="12.5">
      <c r="A793" s="9"/>
      <c r="B793" s="9"/>
      <c r="C793" s="9"/>
      <c r="D793" s="9"/>
      <c r="E793" s="9"/>
      <c r="F793" s="9"/>
      <c r="G793" s="179" t="e">
        <f t="shared" si="11"/>
        <v>#DIV/0!</v>
      </c>
      <c r="H793" s="135" t="e">
        <f t="shared" si="13"/>
        <v>#DIV/0!</v>
      </c>
      <c r="I793" s="179" t="e">
        <f t="shared" si="12"/>
        <v>#DIV/0!</v>
      </c>
    </row>
    <row r="794" spans="1:9" ht="12.5">
      <c r="A794" s="9"/>
      <c r="B794" s="9"/>
      <c r="C794" s="9"/>
      <c r="D794" s="9"/>
      <c r="E794" s="9"/>
      <c r="F794" s="9"/>
      <c r="G794" s="179" t="e">
        <f t="shared" si="11"/>
        <v>#DIV/0!</v>
      </c>
      <c r="H794" s="135" t="e">
        <f t="shared" si="13"/>
        <v>#DIV/0!</v>
      </c>
      <c r="I794" s="179" t="e">
        <f t="shared" si="12"/>
        <v>#DIV/0!</v>
      </c>
    </row>
    <row r="795" spans="1:9" ht="12.5">
      <c r="A795" s="9"/>
      <c r="B795" s="9"/>
      <c r="C795" s="9"/>
      <c r="D795" s="9"/>
      <c r="E795" s="9"/>
      <c r="F795" s="9"/>
      <c r="G795" s="179" t="e">
        <f t="shared" si="11"/>
        <v>#DIV/0!</v>
      </c>
      <c r="H795" s="135" t="e">
        <f t="shared" si="13"/>
        <v>#DIV/0!</v>
      </c>
      <c r="I795" s="179" t="e">
        <f t="shared" si="12"/>
        <v>#DIV/0!</v>
      </c>
    </row>
    <row r="796" spans="1:9" ht="12.5">
      <c r="A796" s="9"/>
      <c r="B796" s="9"/>
      <c r="C796" s="9"/>
      <c r="D796" s="9"/>
      <c r="E796" s="9"/>
      <c r="F796" s="9"/>
      <c r="G796" s="179" t="e">
        <f t="shared" si="11"/>
        <v>#DIV/0!</v>
      </c>
      <c r="H796" s="135" t="e">
        <f t="shared" si="13"/>
        <v>#DIV/0!</v>
      </c>
      <c r="I796" s="179" t="e">
        <f t="shared" si="12"/>
        <v>#DIV/0!</v>
      </c>
    </row>
    <row r="797" spans="1:9" ht="12.5">
      <c r="A797" s="9"/>
      <c r="B797" s="9"/>
      <c r="C797" s="9"/>
      <c r="D797" s="9"/>
      <c r="E797" s="9"/>
      <c r="F797" s="9"/>
      <c r="G797" s="179" t="e">
        <f t="shared" si="11"/>
        <v>#DIV/0!</v>
      </c>
      <c r="H797" s="135" t="e">
        <f t="shared" si="13"/>
        <v>#DIV/0!</v>
      </c>
      <c r="I797" s="179" t="e">
        <f t="shared" si="12"/>
        <v>#DIV/0!</v>
      </c>
    </row>
    <row r="798" spans="1:9" ht="12.5">
      <c r="A798" s="9"/>
      <c r="B798" s="9"/>
      <c r="C798" s="9"/>
      <c r="D798" s="9"/>
      <c r="E798" s="9"/>
      <c r="F798" s="9"/>
      <c r="G798" s="179" t="e">
        <f t="shared" si="11"/>
        <v>#DIV/0!</v>
      </c>
      <c r="H798" s="135" t="e">
        <f t="shared" si="13"/>
        <v>#DIV/0!</v>
      </c>
      <c r="I798" s="179" t="e">
        <f t="shared" si="12"/>
        <v>#DIV/0!</v>
      </c>
    </row>
    <row r="799" spans="1:9" ht="12.5">
      <c r="A799" s="9"/>
      <c r="B799" s="9"/>
      <c r="C799" s="9"/>
      <c r="D799" s="9"/>
      <c r="E799" s="9"/>
      <c r="F799" s="9"/>
      <c r="G799" s="179" t="e">
        <f t="shared" si="11"/>
        <v>#DIV/0!</v>
      </c>
      <c r="H799" s="135" t="e">
        <f t="shared" si="13"/>
        <v>#DIV/0!</v>
      </c>
      <c r="I799" s="179" t="e">
        <f t="shared" si="12"/>
        <v>#DIV/0!</v>
      </c>
    </row>
    <row r="800" spans="1:9" ht="12.5">
      <c r="A800" s="9"/>
      <c r="B800" s="9"/>
      <c r="C800" s="9"/>
      <c r="D800" s="9"/>
      <c r="E800" s="9"/>
      <c r="F800" s="9"/>
      <c r="G800" s="179" t="e">
        <f t="shared" si="11"/>
        <v>#DIV/0!</v>
      </c>
      <c r="H800" s="135" t="e">
        <f t="shared" si="13"/>
        <v>#DIV/0!</v>
      </c>
      <c r="I800" s="179" t="e">
        <f t="shared" si="12"/>
        <v>#DIV/0!</v>
      </c>
    </row>
    <row r="801" spans="1:9" ht="12.5">
      <c r="A801" s="9"/>
      <c r="B801" s="9"/>
      <c r="C801" s="9"/>
      <c r="D801" s="9"/>
      <c r="E801" s="9"/>
      <c r="F801" s="9"/>
      <c r="G801" s="179" t="e">
        <f t="shared" si="11"/>
        <v>#DIV/0!</v>
      </c>
      <c r="H801" s="135" t="e">
        <f t="shared" si="13"/>
        <v>#DIV/0!</v>
      </c>
      <c r="I801" s="179" t="e">
        <f t="shared" si="12"/>
        <v>#DIV/0!</v>
      </c>
    </row>
    <row r="802" spans="1:9" ht="12.5">
      <c r="A802" s="9"/>
      <c r="B802" s="9"/>
      <c r="C802" s="9"/>
      <c r="D802" s="9"/>
      <c r="E802" s="9"/>
      <c r="F802" s="9"/>
      <c r="G802" s="179" t="e">
        <f t="shared" si="11"/>
        <v>#DIV/0!</v>
      </c>
      <c r="H802" s="135" t="e">
        <f t="shared" si="13"/>
        <v>#DIV/0!</v>
      </c>
      <c r="I802" s="179" t="e">
        <f t="shared" si="12"/>
        <v>#DIV/0!</v>
      </c>
    </row>
    <row r="803" spans="1:9" ht="12.5">
      <c r="A803" s="9"/>
      <c r="B803" s="9"/>
      <c r="C803" s="9"/>
      <c r="D803" s="9"/>
      <c r="E803" s="9"/>
      <c r="F803" s="9"/>
      <c r="G803" s="179" t="e">
        <f t="shared" si="11"/>
        <v>#DIV/0!</v>
      </c>
      <c r="H803" s="135" t="e">
        <f t="shared" si="13"/>
        <v>#DIV/0!</v>
      </c>
      <c r="I803" s="179" t="e">
        <f t="shared" si="12"/>
        <v>#DIV/0!</v>
      </c>
    </row>
    <row r="804" spans="1:9" ht="12.5">
      <c r="A804" s="9"/>
      <c r="B804" s="9"/>
      <c r="C804" s="9"/>
      <c r="D804" s="9"/>
      <c r="E804" s="9"/>
      <c r="F804" s="9"/>
      <c r="G804" s="179" t="e">
        <f t="shared" si="11"/>
        <v>#DIV/0!</v>
      </c>
      <c r="H804" s="135" t="e">
        <f t="shared" si="13"/>
        <v>#DIV/0!</v>
      </c>
      <c r="I804" s="179" t="e">
        <f t="shared" si="12"/>
        <v>#DIV/0!</v>
      </c>
    </row>
    <row r="805" spans="1:9" ht="12.5">
      <c r="A805" s="9"/>
      <c r="B805" s="9"/>
      <c r="C805" s="9"/>
      <c r="D805" s="9"/>
      <c r="E805" s="9"/>
      <c r="F805" s="9"/>
      <c r="G805" s="179" t="e">
        <f t="shared" si="11"/>
        <v>#DIV/0!</v>
      </c>
      <c r="H805" s="135" t="e">
        <f t="shared" si="13"/>
        <v>#DIV/0!</v>
      </c>
      <c r="I805" s="179" t="e">
        <f t="shared" si="12"/>
        <v>#DIV/0!</v>
      </c>
    </row>
    <row r="806" spans="1:9" ht="12.5">
      <c r="A806" s="9"/>
      <c r="B806" s="9"/>
      <c r="C806" s="9"/>
      <c r="D806" s="9"/>
      <c r="E806" s="9"/>
      <c r="F806" s="9"/>
      <c r="G806" s="179" t="e">
        <f t="shared" si="11"/>
        <v>#DIV/0!</v>
      </c>
      <c r="H806" s="135" t="e">
        <f t="shared" si="13"/>
        <v>#DIV/0!</v>
      </c>
      <c r="I806" s="179" t="e">
        <f t="shared" si="12"/>
        <v>#DIV/0!</v>
      </c>
    </row>
    <row r="807" spans="1:9" ht="12.5">
      <c r="A807" s="9"/>
      <c r="B807" s="9"/>
      <c r="C807" s="9"/>
      <c r="D807" s="9"/>
      <c r="E807" s="9"/>
      <c r="F807" s="9"/>
      <c r="G807" s="179" t="e">
        <f t="shared" si="11"/>
        <v>#DIV/0!</v>
      </c>
      <c r="H807" s="135" t="e">
        <f t="shared" si="13"/>
        <v>#DIV/0!</v>
      </c>
      <c r="I807" s="179" t="e">
        <f t="shared" si="12"/>
        <v>#DIV/0!</v>
      </c>
    </row>
    <row r="808" spans="1:9" ht="12.5">
      <c r="A808" s="9"/>
      <c r="B808" s="9"/>
      <c r="C808" s="9"/>
      <c r="D808" s="9"/>
      <c r="E808" s="9"/>
      <c r="F808" s="9"/>
      <c r="G808" s="179" t="e">
        <f t="shared" si="11"/>
        <v>#DIV/0!</v>
      </c>
      <c r="H808" s="135" t="e">
        <f t="shared" si="13"/>
        <v>#DIV/0!</v>
      </c>
      <c r="I808" s="179" t="e">
        <f t="shared" si="12"/>
        <v>#DIV/0!</v>
      </c>
    </row>
    <row r="809" spans="1:9" ht="12.5">
      <c r="A809" s="9"/>
      <c r="B809" s="9"/>
      <c r="C809" s="9"/>
      <c r="D809" s="9"/>
      <c r="E809" s="9"/>
      <c r="F809" s="9"/>
      <c r="G809" s="179" t="e">
        <f t="shared" si="11"/>
        <v>#DIV/0!</v>
      </c>
      <c r="H809" s="135" t="e">
        <f t="shared" si="13"/>
        <v>#DIV/0!</v>
      </c>
      <c r="I809" s="179" t="e">
        <f t="shared" si="12"/>
        <v>#DIV/0!</v>
      </c>
    </row>
    <row r="810" spans="1:9" ht="12.5">
      <c r="A810" s="9"/>
      <c r="B810" s="9"/>
      <c r="C810" s="9"/>
      <c r="D810" s="9"/>
      <c r="E810" s="9"/>
      <c r="F810" s="9"/>
      <c r="G810" s="179" t="e">
        <f t="shared" si="11"/>
        <v>#DIV/0!</v>
      </c>
      <c r="H810" s="135" t="e">
        <f t="shared" si="13"/>
        <v>#DIV/0!</v>
      </c>
      <c r="I810" s="179" t="e">
        <f t="shared" si="12"/>
        <v>#DIV/0!</v>
      </c>
    </row>
    <row r="811" spans="1:9" ht="12.5">
      <c r="A811" s="9"/>
      <c r="B811" s="9"/>
      <c r="C811" s="9"/>
      <c r="D811" s="9"/>
      <c r="E811" s="9"/>
      <c r="F811" s="9"/>
      <c r="G811" s="179" t="e">
        <f t="shared" si="11"/>
        <v>#DIV/0!</v>
      </c>
      <c r="H811" s="135" t="e">
        <f t="shared" si="13"/>
        <v>#DIV/0!</v>
      </c>
      <c r="I811" s="179" t="e">
        <f t="shared" si="12"/>
        <v>#DIV/0!</v>
      </c>
    </row>
    <row r="812" spans="1:9" ht="12.5">
      <c r="A812" s="9"/>
      <c r="B812" s="9"/>
      <c r="C812" s="9"/>
      <c r="D812" s="9"/>
      <c r="E812" s="9"/>
      <c r="F812" s="9"/>
      <c r="G812" s="179" t="e">
        <f t="shared" si="11"/>
        <v>#DIV/0!</v>
      </c>
      <c r="H812" s="135" t="e">
        <f t="shared" si="13"/>
        <v>#DIV/0!</v>
      </c>
      <c r="I812" s="179" t="e">
        <f t="shared" si="12"/>
        <v>#DIV/0!</v>
      </c>
    </row>
    <row r="813" spans="1:9" ht="12.5">
      <c r="A813" s="9"/>
      <c r="B813" s="9"/>
      <c r="C813" s="9"/>
      <c r="D813" s="9"/>
      <c r="E813" s="9"/>
      <c r="F813" s="9"/>
      <c r="G813" s="179" t="e">
        <f t="shared" si="11"/>
        <v>#DIV/0!</v>
      </c>
      <c r="H813" s="135" t="e">
        <f t="shared" si="13"/>
        <v>#DIV/0!</v>
      </c>
      <c r="I813" s="179" t="e">
        <f t="shared" si="12"/>
        <v>#DIV/0!</v>
      </c>
    </row>
    <row r="814" spans="1:9" ht="12.5">
      <c r="A814" s="9"/>
      <c r="B814" s="9"/>
      <c r="C814" s="9"/>
      <c r="D814" s="9"/>
      <c r="E814" s="9"/>
      <c r="F814" s="9"/>
      <c r="G814" s="179" t="e">
        <f t="shared" si="11"/>
        <v>#DIV/0!</v>
      </c>
      <c r="H814" s="135" t="e">
        <f t="shared" si="13"/>
        <v>#DIV/0!</v>
      </c>
      <c r="I814" s="179" t="e">
        <f t="shared" si="12"/>
        <v>#DIV/0!</v>
      </c>
    </row>
    <row r="815" spans="1:9" ht="12.5">
      <c r="A815" s="9"/>
      <c r="B815" s="9"/>
      <c r="C815" s="9"/>
      <c r="D815" s="9"/>
      <c r="E815" s="9"/>
      <c r="F815" s="9"/>
      <c r="G815" s="179" t="e">
        <f t="shared" si="11"/>
        <v>#DIV/0!</v>
      </c>
      <c r="H815" s="135" t="e">
        <f t="shared" si="13"/>
        <v>#DIV/0!</v>
      </c>
      <c r="I815" s="179" t="e">
        <f t="shared" si="12"/>
        <v>#DIV/0!</v>
      </c>
    </row>
    <row r="816" spans="1:9" ht="12.5">
      <c r="A816" s="9"/>
      <c r="B816" s="9"/>
      <c r="C816" s="9"/>
      <c r="D816" s="9"/>
      <c r="E816" s="9"/>
      <c r="F816" s="9"/>
      <c r="G816" s="179" t="e">
        <f t="shared" si="11"/>
        <v>#DIV/0!</v>
      </c>
      <c r="H816" s="135" t="e">
        <f t="shared" si="13"/>
        <v>#DIV/0!</v>
      </c>
      <c r="I816" s="179" t="e">
        <f t="shared" si="12"/>
        <v>#DIV/0!</v>
      </c>
    </row>
    <row r="817" spans="1:9" ht="12.5">
      <c r="A817" s="9"/>
      <c r="B817" s="9"/>
      <c r="C817" s="9"/>
      <c r="D817" s="9"/>
      <c r="E817" s="9"/>
      <c r="F817" s="9"/>
      <c r="G817" s="179" t="e">
        <f t="shared" si="11"/>
        <v>#DIV/0!</v>
      </c>
      <c r="H817" s="135" t="e">
        <f t="shared" si="13"/>
        <v>#DIV/0!</v>
      </c>
      <c r="I817" s="179" t="e">
        <f t="shared" si="12"/>
        <v>#DIV/0!</v>
      </c>
    </row>
    <row r="818" spans="1:9" ht="12.5">
      <c r="A818" s="9"/>
      <c r="B818" s="9"/>
      <c r="C818" s="9"/>
      <c r="D818" s="9"/>
      <c r="E818" s="9"/>
      <c r="F818" s="9"/>
      <c r="G818" s="179" t="e">
        <f t="shared" si="11"/>
        <v>#DIV/0!</v>
      </c>
      <c r="H818" s="135" t="e">
        <f t="shared" si="13"/>
        <v>#DIV/0!</v>
      </c>
      <c r="I818" s="179" t="e">
        <f t="shared" si="12"/>
        <v>#DIV/0!</v>
      </c>
    </row>
    <row r="819" spans="1:9" ht="12.5">
      <c r="A819" s="9"/>
      <c r="B819" s="9"/>
      <c r="C819" s="9"/>
      <c r="D819" s="9"/>
      <c r="E819" s="9"/>
      <c r="F819" s="9"/>
      <c r="G819" s="179" t="e">
        <f t="shared" si="11"/>
        <v>#DIV/0!</v>
      </c>
      <c r="H819" s="135" t="e">
        <f t="shared" si="13"/>
        <v>#DIV/0!</v>
      </c>
      <c r="I819" s="179" t="e">
        <f t="shared" si="12"/>
        <v>#DIV/0!</v>
      </c>
    </row>
    <row r="820" spans="1:9" ht="12.5">
      <c r="A820" s="9"/>
      <c r="B820" s="9"/>
      <c r="C820" s="9"/>
      <c r="D820" s="9"/>
      <c r="E820" s="9"/>
      <c r="F820" s="9"/>
      <c r="G820" s="179" t="e">
        <f t="shared" si="11"/>
        <v>#DIV/0!</v>
      </c>
      <c r="H820" s="135" t="e">
        <f t="shared" si="13"/>
        <v>#DIV/0!</v>
      </c>
      <c r="I820" s="179" t="e">
        <f t="shared" si="12"/>
        <v>#DIV/0!</v>
      </c>
    </row>
    <row r="821" spans="1:9" ht="12.5">
      <c r="A821" s="9"/>
      <c r="B821" s="9"/>
      <c r="C821" s="9"/>
      <c r="D821" s="9"/>
      <c r="E821" s="9"/>
      <c r="F821" s="9"/>
      <c r="G821" s="179" t="e">
        <f t="shared" si="11"/>
        <v>#DIV/0!</v>
      </c>
      <c r="H821" s="135" t="e">
        <f t="shared" si="13"/>
        <v>#DIV/0!</v>
      </c>
      <c r="I821" s="179" t="e">
        <f t="shared" si="12"/>
        <v>#DIV/0!</v>
      </c>
    </row>
    <row r="822" spans="1:9" ht="12.5">
      <c r="A822" s="9"/>
      <c r="B822" s="9"/>
      <c r="C822" s="9"/>
      <c r="D822" s="9"/>
      <c r="E822" s="9"/>
      <c r="F822" s="9"/>
      <c r="G822" s="179" t="e">
        <f t="shared" si="11"/>
        <v>#DIV/0!</v>
      </c>
      <c r="H822" s="135" t="e">
        <f t="shared" si="13"/>
        <v>#DIV/0!</v>
      </c>
      <c r="I822" s="179" t="e">
        <f t="shared" si="12"/>
        <v>#DIV/0!</v>
      </c>
    </row>
    <row r="823" spans="1:9" ht="12.5">
      <c r="A823" s="9"/>
      <c r="B823" s="9"/>
      <c r="C823" s="9"/>
      <c r="D823" s="9"/>
      <c r="E823" s="9"/>
      <c r="F823" s="9"/>
      <c r="G823" s="179" t="e">
        <f t="shared" si="11"/>
        <v>#DIV/0!</v>
      </c>
      <c r="H823" s="135" t="e">
        <f t="shared" si="13"/>
        <v>#DIV/0!</v>
      </c>
      <c r="I823" s="179" t="e">
        <f t="shared" si="12"/>
        <v>#DIV/0!</v>
      </c>
    </row>
    <row r="824" spans="1:9" ht="12.5">
      <c r="A824" s="9"/>
      <c r="B824" s="9"/>
      <c r="C824" s="9"/>
      <c r="D824" s="9"/>
      <c r="E824" s="9"/>
      <c r="F824" s="9"/>
      <c r="G824" s="179" t="e">
        <f t="shared" si="11"/>
        <v>#DIV/0!</v>
      </c>
      <c r="H824" s="135" t="e">
        <f t="shared" si="13"/>
        <v>#DIV/0!</v>
      </c>
      <c r="I824" s="179" t="e">
        <f t="shared" si="12"/>
        <v>#DIV/0!</v>
      </c>
    </row>
    <row r="825" spans="1:9" ht="12.5">
      <c r="A825" s="9"/>
      <c r="B825" s="9"/>
      <c r="C825" s="9"/>
      <c r="D825" s="9"/>
      <c r="E825" s="9"/>
      <c r="F825" s="9"/>
      <c r="G825" s="179" t="e">
        <f t="shared" si="11"/>
        <v>#DIV/0!</v>
      </c>
      <c r="H825" s="135" t="e">
        <f t="shared" si="13"/>
        <v>#DIV/0!</v>
      </c>
      <c r="I825" s="179" t="e">
        <f t="shared" si="12"/>
        <v>#DIV/0!</v>
      </c>
    </row>
    <row r="826" spans="1:9" ht="12.5">
      <c r="A826" s="9"/>
      <c r="B826" s="9"/>
      <c r="C826" s="9"/>
      <c r="D826" s="9"/>
      <c r="E826" s="9"/>
      <c r="F826" s="9"/>
      <c r="G826" s="179" t="e">
        <f t="shared" si="11"/>
        <v>#DIV/0!</v>
      </c>
      <c r="H826" s="135" t="e">
        <f t="shared" si="13"/>
        <v>#DIV/0!</v>
      </c>
      <c r="I826" s="179" t="e">
        <f t="shared" si="12"/>
        <v>#DIV/0!</v>
      </c>
    </row>
    <row r="827" spans="1:9" ht="12.5">
      <c r="A827" s="9"/>
      <c r="B827" s="9"/>
      <c r="C827" s="9"/>
      <c r="D827" s="9"/>
      <c r="E827" s="9"/>
      <c r="F827" s="9"/>
      <c r="G827" s="179" t="e">
        <f t="shared" si="11"/>
        <v>#DIV/0!</v>
      </c>
      <c r="H827" s="135" t="e">
        <f t="shared" si="13"/>
        <v>#DIV/0!</v>
      </c>
      <c r="I827" s="179" t="e">
        <f t="shared" si="12"/>
        <v>#DIV/0!</v>
      </c>
    </row>
    <row r="828" spans="1:9" ht="12.5">
      <c r="A828" s="9"/>
      <c r="B828" s="9"/>
      <c r="C828" s="9"/>
      <c r="D828" s="9"/>
      <c r="E828" s="9"/>
      <c r="F828" s="9"/>
      <c r="G828" s="179" t="e">
        <f t="shared" si="11"/>
        <v>#DIV/0!</v>
      </c>
      <c r="H828" s="135" t="e">
        <f t="shared" si="13"/>
        <v>#DIV/0!</v>
      </c>
      <c r="I828" s="179" t="e">
        <f t="shared" si="12"/>
        <v>#DIV/0!</v>
      </c>
    </row>
    <row r="829" spans="1:9" ht="12.5">
      <c r="A829" s="9"/>
      <c r="B829" s="9"/>
      <c r="C829" s="9"/>
      <c r="D829" s="9"/>
      <c r="E829" s="9"/>
      <c r="F829" s="9"/>
      <c r="G829" s="179" t="e">
        <f t="shared" si="11"/>
        <v>#DIV/0!</v>
      </c>
      <c r="H829" s="135" t="e">
        <f t="shared" si="13"/>
        <v>#DIV/0!</v>
      </c>
      <c r="I829" s="179" t="e">
        <f t="shared" si="12"/>
        <v>#DIV/0!</v>
      </c>
    </row>
    <row r="830" spans="1:9" ht="12.5">
      <c r="A830" s="9"/>
      <c r="B830" s="9"/>
      <c r="C830" s="9"/>
      <c r="D830" s="9"/>
      <c r="E830" s="9"/>
      <c r="F830" s="9"/>
      <c r="G830" s="179" t="e">
        <f t="shared" si="11"/>
        <v>#DIV/0!</v>
      </c>
      <c r="H830" s="135" t="e">
        <f t="shared" si="13"/>
        <v>#DIV/0!</v>
      </c>
      <c r="I830" s="179" t="e">
        <f t="shared" si="12"/>
        <v>#DIV/0!</v>
      </c>
    </row>
    <row r="831" spans="1:9" ht="12.5">
      <c r="A831" s="9"/>
      <c r="B831" s="9"/>
      <c r="C831" s="9"/>
      <c r="D831" s="9"/>
      <c r="E831" s="9"/>
      <c r="F831" s="9"/>
      <c r="G831" s="179" t="e">
        <f t="shared" si="11"/>
        <v>#DIV/0!</v>
      </c>
      <c r="H831" s="135" t="e">
        <f t="shared" si="13"/>
        <v>#DIV/0!</v>
      </c>
      <c r="I831" s="179" t="e">
        <f t="shared" si="12"/>
        <v>#DIV/0!</v>
      </c>
    </row>
    <row r="832" spans="1:9" ht="12.5">
      <c r="A832" s="9"/>
      <c r="B832" s="9"/>
      <c r="C832" s="9"/>
      <c r="D832" s="9"/>
      <c r="E832" s="9"/>
      <c r="F832" s="9"/>
      <c r="G832" s="179" t="e">
        <f t="shared" si="11"/>
        <v>#DIV/0!</v>
      </c>
      <c r="H832" s="135" t="e">
        <f t="shared" si="13"/>
        <v>#DIV/0!</v>
      </c>
      <c r="I832" s="179" t="e">
        <f t="shared" si="12"/>
        <v>#DIV/0!</v>
      </c>
    </row>
    <row r="833" spans="1:9" ht="12.5">
      <c r="A833" s="9"/>
      <c r="B833" s="9"/>
      <c r="C833" s="9"/>
      <c r="D833" s="9"/>
      <c r="E833" s="9"/>
      <c r="F833" s="9"/>
      <c r="G833" s="179" t="e">
        <f t="shared" si="11"/>
        <v>#DIV/0!</v>
      </c>
      <c r="H833" s="135" t="e">
        <f t="shared" si="13"/>
        <v>#DIV/0!</v>
      </c>
      <c r="I833" s="179" t="e">
        <f t="shared" si="12"/>
        <v>#DIV/0!</v>
      </c>
    </row>
    <row r="834" spans="1:9" ht="12.5">
      <c r="A834" s="9"/>
      <c r="B834" s="9"/>
      <c r="C834" s="9"/>
      <c r="D834" s="9"/>
      <c r="E834" s="9"/>
      <c r="F834" s="9"/>
      <c r="G834" s="179" t="e">
        <f t="shared" si="11"/>
        <v>#DIV/0!</v>
      </c>
      <c r="H834" s="135" t="e">
        <f t="shared" si="13"/>
        <v>#DIV/0!</v>
      </c>
      <c r="I834" s="179" t="e">
        <f t="shared" si="12"/>
        <v>#DIV/0!</v>
      </c>
    </row>
    <row r="835" spans="1:9" ht="12.5">
      <c r="A835" s="9"/>
      <c r="B835" s="9"/>
      <c r="C835" s="9"/>
      <c r="D835" s="9"/>
      <c r="E835" s="9"/>
      <c r="F835" s="9"/>
      <c r="G835" s="179" t="e">
        <f t="shared" si="11"/>
        <v>#DIV/0!</v>
      </c>
      <c r="H835" s="135" t="e">
        <f t="shared" si="13"/>
        <v>#DIV/0!</v>
      </c>
      <c r="I835" s="179" t="e">
        <f t="shared" si="12"/>
        <v>#DIV/0!</v>
      </c>
    </row>
    <row r="836" spans="1:9" ht="12.5">
      <c r="A836" s="9"/>
      <c r="B836" s="9"/>
      <c r="C836" s="9"/>
      <c r="D836" s="9"/>
      <c r="E836" s="9"/>
      <c r="F836" s="9"/>
      <c r="G836" s="179" t="e">
        <f t="shared" si="11"/>
        <v>#DIV/0!</v>
      </c>
      <c r="H836" s="135" t="e">
        <f t="shared" si="13"/>
        <v>#DIV/0!</v>
      </c>
      <c r="I836" s="179" t="e">
        <f t="shared" si="12"/>
        <v>#DIV/0!</v>
      </c>
    </row>
    <row r="837" spans="1:9" ht="12.5">
      <c r="A837" s="9"/>
      <c r="B837" s="9"/>
      <c r="C837" s="9"/>
      <c r="D837" s="9"/>
      <c r="E837" s="9"/>
      <c r="F837" s="9"/>
      <c r="G837" s="179" t="e">
        <f t="shared" si="11"/>
        <v>#DIV/0!</v>
      </c>
      <c r="H837" s="135" t="e">
        <f t="shared" si="13"/>
        <v>#DIV/0!</v>
      </c>
      <c r="I837" s="179" t="e">
        <f t="shared" si="12"/>
        <v>#DIV/0!</v>
      </c>
    </row>
    <row r="838" spans="1:9" ht="12.5">
      <c r="A838" s="9"/>
      <c r="B838" s="9"/>
      <c r="C838" s="9"/>
      <c r="D838" s="9"/>
      <c r="E838" s="9"/>
      <c r="F838" s="9"/>
      <c r="G838" s="179" t="e">
        <f t="shared" si="11"/>
        <v>#DIV/0!</v>
      </c>
      <c r="H838" s="135" t="e">
        <f t="shared" si="13"/>
        <v>#DIV/0!</v>
      </c>
      <c r="I838" s="179" t="e">
        <f t="shared" si="12"/>
        <v>#DIV/0!</v>
      </c>
    </row>
    <row r="839" spans="1:9" ht="12.5">
      <c r="A839" s="9"/>
      <c r="B839" s="9"/>
      <c r="C839" s="9"/>
      <c r="D839" s="9"/>
      <c r="E839" s="9"/>
      <c r="F839" s="9"/>
      <c r="G839" s="179" t="e">
        <f t="shared" si="11"/>
        <v>#DIV/0!</v>
      </c>
      <c r="H839" s="135" t="e">
        <f t="shared" si="13"/>
        <v>#DIV/0!</v>
      </c>
      <c r="I839" s="179" t="e">
        <f t="shared" si="12"/>
        <v>#DIV/0!</v>
      </c>
    </row>
    <row r="840" spans="1:9" ht="12.5">
      <c r="A840" s="9"/>
      <c r="B840" s="9"/>
      <c r="C840" s="9"/>
      <c r="D840" s="9"/>
      <c r="E840" s="9"/>
      <c r="F840" s="9"/>
      <c r="G840" s="179" t="e">
        <f t="shared" si="11"/>
        <v>#DIV/0!</v>
      </c>
      <c r="H840" s="135" t="e">
        <f t="shared" si="13"/>
        <v>#DIV/0!</v>
      </c>
      <c r="I840" s="179" t="e">
        <f t="shared" si="12"/>
        <v>#DIV/0!</v>
      </c>
    </row>
    <row r="841" spans="1:9" ht="12.5">
      <c r="A841" s="9"/>
      <c r="B841" s="9"/>
      <c r="C841" s="9"/>
      <c r="D841" s="9"/>
      <c r="E841" s="9"/>
      <c r="F841" s="9"/>
      <c r="G841" s="179" t="e">
        <f t="shared" si="11"/>
        <v>#DIV/0!</v>
      </c>
      <c r="H841" s="135" t="e">
        <f t="shared" si="13"/>
        <v>#DIV/0!</v>
      </c>
      <c r="I841" s="179" t="e">
        <f t="shared" si="12"/>
        <v>#DIV/0!</v>
      </c>
    </row>
    <row r="842" spans="1:9" ht="12.5">
      <c r="A842" s="9"/>
      <c r="B842" s="9"/>
      <c r="C842" s="9"/>
      <c r="D842" s="9"/>
      <c r="E842" s="9"/>
      <c r="F842" s="9"/>
      <c r="G842" s="179" t="e">
        <f t="shared" si="11"/>
        <v>#DIV/0!</v>
      </c>
      <c r="H842" s="135" t="e">
        <f t="shared" si="13"/>
        <v>#DIV/0!</v>
      </c>
      <c r="I842" s="179" t="e">
        <f t="shared" si="12"/>
        <v>#DIV/0!</v>
      </c>
    </row>
    <row r="843" spans="1:9" ht="12.5">
      <c r="A843" s="9"/>
      <c r="B843" s="9"/>
      <c r="C843" s="9"/>
      <c r="D843" s="9"/>
      <c r="E843" s="9"/>
      <c r="F843" s="9"/>
      <c r="G843" s="179" t="e">
        <f t="shared" si="11"/>
        <v>#DIV/0!</v>
      </c>
      <c r="H843" s="135" t="e">
        <f t="shared" si="13"/>
        <v>#DIV/0!</v>
      </c>
      <c r="I843" s="179" t="e">
        <f t="shared" si="12"/>
        <v>#DIV/0!</v>
      </c>
    </row>
    <row r="844" spans="1:9" ht="12.5">
      <c r="A844" s="9"/>
      <c r="B844" s="9"/>
      <c r="C844" s="9"/>
      <c r="D844" s="9"/>
      <c r="E844" s="9"/>
      <c r="F844" s="9"/>
      <c r="G844" s="179" t="e">
        <f t="shared" si="11"/>
        <v>#DIV/0!</v>
      </c>
      <c r="H844" s="135" t="e">
        <f t="shared" si="13"/>
        <v>#DIV/0!</v>
      </c>
      <c r="I844" s="179" t="e">
        <f t="shared" si="12"/>
        <v>#DIV/0!</v>
      </c>
    </row>
    <row r="845" spans="1:9" ht="12.5">
      <c r="A845" s="9"/>
      <c r="B845" s="9"/>
      <c r="C845" s="9"/>
      <c r="D845" s="9"/>
      <c r="E845" s="9"/>
      <c r="F845" s="9"/>
      <c r="G845" s="179" t="e">
        <f t="shared" si="11"/>
        <v>#DIV/0!</v>
      </c>
      <c r="H845" s="135" t="e">
        <f t="shared" si="13"/>
        <v>#DIV/0!</v>
      </c>
      <c r="I845" s="179" t="e">
        <f t="shared" si="12"/>
        <v>#DIV/0!</v>
      </c>
    </row>
    <row r="846" spans="1:9" ht="12.5">
      <c r="A846" s="9"/>
      <c r="B846" s="9"/>
      <c r="C846" s="9"/>
      <c r="D846" s="9"/>
      <c r="E846" s="9"/>
      <c r="F846" s="9"/>
      <c r="G846" s="179" t="e">
        <f t="shared" si="11"/>
        <v>#DIV/0!</v>
      </c>
      <c r="H846" s="135" t="e">
        <f t="shared" si="13"/>
        <v>#DIV/0!</v>
      </c>
      <c r="I846" s="179" t="e">
        <f t="shared" si="12"/>
        <v>#DIV/0!</v>
      </c>
    </row>
    <row r="847" spans="1:9" ht="12.5">
      <c r="A847" s="9"/>
      <c r="B847" s="9"/>
      <c r="C847" s="9"/>
      <c r="D847" s="9"/>
      <c r="E847" s="9"/>
      <c r="F847" s="9"/>
      <c r="G847" s="179" t="e">
        <f t="shared" si="11"/>
        <v>#DIV/0!</v>
      </c>
      <c r="H847" s="135" t="e">
        <f t="shared" si="13"/>
        <v>#DIV/0!</v>
      </c>
      <c r="I847" s="179" t="e">
        <f t="shared" si="12"/>
        <v>#DIV/0!</v>
      </c>
    </row>
    <row r="848" spans="1:9" ht="12.5">
      <c r="A848" s="9"/>
      <c r="B848" s="9"/>
      <c r="C848" s="9"/>
      <c r="D848" s="9"/>
      <c r="E848" s="9"/>
      <c r="F848" s="9"/>
      <c r="G848" s="179" t="e">
        <f t="shared" si="11"/>
        <v>#DIV/0!</v>
      </c>
      <c r="H848" s="135" t="e">
        <f t="shared" si="13"/>
        <v>#DIV/0!</v>
      </c>
      <c r="I848" s="179" t="e">
        <f t="shared" si="12"/>
        <v>#DIV/0!</v>
      </c>
    </row>
    <row r="849" spans="1:9" ht="12.5">
      <c r="A849" s="9"/>
      <c r="B849" s="9"/>
      <c r="C849" s="9"/>
      <c r="D849" s="9"/>
      <c r="E849" s="9"/>
      <c r="F849" s="9"/>
      <c r="G849" s="179" t="e">
        <f t="shared" si="11"/>
        <v>#DIV/0!</v>
      </c>
      <c r="H849" s="135" t="e">
        <f t="shared" si="13"/>
        <v>#DIV/0!</v>
      </c>
      <c r="I849" s="179" t="e">
        <f t="shared" si="12"/>
        <v>#DIV/0!</v>
      </c>
    </row>
    <row r="850" spans="1:9" ht="12.5">
      <c r="A850" s="9"/>
      <c r="B850" s="9"/>
      <c r="C850" s="9"/>
      <c r="D850" s="9"/>
      <c r="E850" s="9"/>
      <c r="F850" s="9"/>
      <c r="G850" s="179" t="e">
        <f t="shared" si="11"/>
        <v>#DIV/0!</v>
      </c>
      <c r="H850" s="135" t="e">
        <f t="shared" si="13"/>
        <v>#DIV/0!</v>
      </c>
      <c r="I850" s="179" t="e">
        <f t="shared" si="12"/>
        <v>#DIV/0!</v>
      </c>
    </row>
    <row r="851" spans="1:9" ht="12.5">
      <c r="A851" s="9"/>
      <c r="B851" s="9"/>
      <c r="C851" s="9"/>
      <c r="D851" s="9"/>
      <c r="E851" s="9"/>
      <c r="F851" s="9"/>
      <c r="G851" s="179" t="e">
        <f t="shared" si="11"/>
        <v>#DIV/0!</v>
      </c>
      <c r="H851" s="135" t="e">
        <f t="shared" si="13"/>
        <v>#DIV/0!</v>
      </c>
      <c r="I851" s="179" t="e">
        <f t="shared" si="12"/>
        <v>#DIV/0!</v>
      </c>
    </row>
    <row r="852" spans="1:9" ht="12.5">
      <c r="A852" s="9"/>
      <c r="B852" s="9"/>
      <c r="C852" s="9"/>
      <c r="D852" s="9"/>
      <c r="E852" s="9"/>
      <c r="F852" s="9"/>
      <c r="G852" s="179" t="e">
        <f t="shared" si="11"/>
        <v>#DIV/0!</v>
      </c>
      <c r="H852" s="135" t="e">
        <f t="shared" si="13"/>
        <v>#DIV/0!</v>
      </c>
      <c r="I852" s="179" t="e">
        <f t="shared" si="12"/>
        <v>#DIV/0!</v>
      </c>
    </row>
    <row r="853" spans="1:9" ht="12.5">
      <c r="A853" s="9"/>
      <c r="B853" s="9"/>
      <c r="C853" s="9"/>
      <c r="D853" s="9"/>
      <c r="E853" s="9"/>
      <c r="F853" s="9"/>
      <c r="G853" s="179" t="e">
        <f t="shared" si="11"/>
        <v>#DIV/0!</v>
      </c>
      <c r="H853" s="135" t="e">
        <f t="shared" si="13"/>
        <v>#DIV/0!</v>
      </c>
      <c r="I853" s="179" t="e">
        <f t="shared" si="12"/>
        <v>#DIV/0!</v>
      </c>
    </row>
    <row r="854" spans="1:9" ht="12.5">
      <c r="A854" s="9"/>
      <c r="B854" s="9"/>
      <c r="C854" s="9"/>
      <c r="D854" s="9"/>
      <c r="E854" s="9"/>
      <c r="F854" s="9"/>
      <c r="G854" s="179" t="e">
        <f t="shared" si="11"/>
        <v>#DIV/0!</v>
      </c>
      <c r="H854" s="135" t="e">
        <f t="shared" si="13"/>
        <v>#DIV/0!</v>
      </c>
      <c r="I854" s="179" t="e">
        <f t="shared" si="12"/>
        <v>#DIV/0!</v>
      </c>
    </row>
    <row r="855" spans="1:9" ht="12.5">
      <c r="A855" s="9"/>
      <c r="B855" s="9"/>
      <c r="C855" s="9"/>
      <c r="D855" s="9"/>
      <c r="E855" s="9"/>
      <c r="F855" s="9"/>
      <c r="G855" s="179" t="e">
        <f t="shared" si="11"/>
        <v>#DIV/0!</v>
      </c>
      <c r="H855" s="135" t="e">
        <f t="shared" si="13"/>
        <v>#DIV/0!</v>
      </c>
      <c r="I855" s="179" t="e">
        <f t="shared" si="12"/>
        <v>#DIV/0!</v>
      </c>
    </row>
    <row r="856" spans="1:9" ht="12.5">
      <c r="A856" s="9"/>
      <c r="B856" s="9"/>
      <c r="C856" s="9"/>
      <c r="D856" s="9"/>
      <c r="E856" s="9"/>
      <c r="F856" s="9"/>
      <c r="G856" s="179" t="e">
        <f t="shared" si="11"/>
        <v>#DIV/0!</v>
      </c>
      <c r="H856" s="135" t="e">
        <f t="shared" si="13"/>
        <v>#DIV/0!</v>
      </c>
      <c r="I856" s="179" t="e">
        <f t="shared" si="12"/>
        <v>#DIV/0!</v>
      </c>
    </row>
    <row r="857" spans="1:9" ht="12.5">
      <c r="A857" s="9"/>
      <c r="B857" s="9"/>
      <c r="C857" s="9"/>
      <c r="D857" s="9"/>
      <c r="E857" s="9"/>
      <c r="F857" s="9"/>
      <c r="G857" s="179" t="e">
        <f t="shared" si="11"/>
        <v>#DIV/0!</v>
      </c>
      <c r="H857" s="135" t="e">
        <f t="shared" si="13"/>
        <v>#DIV/0!</v>
      </c>
      <c r="I857" s="179" t="e">
        <f t="shared" si="12"/>
        <v>#DIV/0!</v>
      </c>
    </row>
    <row r="858" spans="1:9" ht="12.5">
      <c r="A858" s="9"/>
      <c r="B858" s="9"/>
      <c r="C858" s="9"/>
      <c r="D858" s="9"/>
      <c r="E858" s="9"/>
      <c r="F858" s="9"/>
      <c r="G858" s="179" t="e">
        <f t="shared" si="11"/>
        <v>#DIV/0!</v>
      </c>
      <c r="H858" s="135" t="e">
        <f t="shared" si="13"/>
        <v>#DIV/0!</v>
      </c>
      <c r="I858" s="179" t="e">
        <f t="shared" si="12"/>
        <v>#DIV/0!</v>
      </c>
    </row>
    <row r="859" spans="1:9" ht="12.5">
      <c r="A859" s="9"/>
      <c r="B859" s="9"/>
      <c r="C859" s="9"/>
      <c r="D859" s="9"/>
      <c r="E859" s="9"/>
      <c r="F859" s="9"/>
      <c r="G859" s="179" t="e">
        <f t="shared" si="11"/>
        <v>#DIV/0!</v>
      </c>
      <c r="H859" s="135" t="e">
        <f t="shared" si="13"/>
        <v>#DIV/0!</v>
      </c>
      <c r="I859" s="179" t="e">
        <f t="shared" si="12"/>
        <v>#DIV/0!</v>
      </c>
    </row>
    <row r="860" spans="1:9" ht="12.5">
      <c r="A860" s="9"/>
      <c r="B860" s="9"/>
      <c r="C860" s="9"/>
      <c r="D860" s="9"/>
      <c r="E860" s="9"/>
      <c r="F860" s="9"/>
      <c r="G860" s="179" t="e">
        <f t="shared" si="11"/>
        <v>#DIV/0!</v>
      </c>
      <c r="H860" s="135" t="e">
        <f t="shared" si="13"/>
        <v>#DIV/0!</v>
      </c>
      <c r="I860" s="179" t="e">
        <f t="shared" si="12"/>
        <v>#DIV/0!</v>
      </c>
    </row>
    <row r="861" spans="1:9" ht="12.5">
      <c r="A861" s="9"/>
      <c r="B861" s="9"/>
      <c r="C861" s="9"/>
      <c r="D861" s="9"/>
      <c r="E861" s="9"/>
      <c r="F861" s="9"/>
      <c r="G861" s="179" t="e">
        <f t="shared" si="11"/>
        <v>#DIV/0!</v>
      </c>
      <c r="H861" s="135" t="e">
        <f t="shared" si="13"/>
        <v>#DIV/0!</v>
      </c>
      <c r="I861" s="179" t="e">
        <f t="shared" si="12"/>
        <v>#DIV/0!</v>
      </c>
    </row>
    <row r="862" spans="1:9" ht="12.5">
      <c r="A862" s="9"/>
      <c r="B862" s="9"/>
      <c r="C862" s="9"/>
      <c r="D862" s="9"/>
      <c r="E862" s="9"/>
      <c r="F862" s="9"/>
      <c r="G862" s="179" t="e">
        <f t="shared" si="11"/>
        <v>#DIV/0!</v>
      </c>
      <c r="H862" s="135" t="e">
        <f t="shared" si="13"/>
        <v>#DIV/0!</v>
      </c>
      <c r="I862" s="179" t="e">
        <f t="shared" si="12"/>
        <v>#DIV/0!</v>
      </c>
    </row>
    <row r="863" spans="1:9" ht="12.5">
      <c r="A863" s="9"/>
      <c r="B863" s="9"/>
      <c r="C863" s="9"/>
      <c r="D863" s="9"/>
      <c r="E863" s="9"/>
      <c r="F863" s="9"/>
      <c r="G863" s="179" t="e">
        <f t="shared" si="11"/>
        <v>#DIV/0!</v>
      </c>
      <c r="H863" s="135" t="e">
        <f t="shared" si="13"/>
        <v>#DIV/0!</v>
      </c>
      <c r="I863" s="179" t="e">
        <f t="shared" si="12"/>
        <v>#DIV/0!</v>
      </c>
    </row>
    <row r="864" spans="1:9" ht="12.5">
      <c r="A864" s="9"/>
      <c r="B864" s="9"/>
      <c r="C864" s="9"/>
      <c r="D864" s="9"/>
      <c r="E864" s="9"/>
      <c r="F864" s="9"/>
      <c r="G864" s="179" t="e">
        <f t="shared" si="11"/>
        <v>#DIV/0!</v>
      </c>
      <c r="H864" s="135" t="e">
        <f t="shared" si="13"/>
        <v>#DIV/0!</v>
      </c>
      <c r="I864" s="179" t="e">
        <f t="shared" si="12"/>
        <v>#DIV/0!</v>
      </c>
    </row>
    <row r="865" spans="1:9" ht="12.5">
      <c r="A865" s="9"/>
      <c r="B865" s="9"/>
      <c r="C865" s="9"/>
      <c r="D865" s="9"/>
      <c r="E865" s="9"/>
      <c r="F865" s="9"/>
      <c r="G865" s="179" t="e">
        <f t="shared" si="11"/>
        <v>#DIV/0!</v>
      </c>
      <c r="H865" s="135" t="e">
        <f t="shared" si="13"/>
        <v>#DIV/0!</v>
      </c>
      <c r="I865" s="179" t="e">
        <f t="shared" si="12"/>
        <v>#DIV/0!</v>
      </c>
    </row>
    <row r="866" spans="1:9" ht="12.5">
      <c r="A866" s="9"/>
      <c r="B866" s="9"/>
      <c r="C866" s="9"/>
      <c r="D866" s="9"/>
      <c r="E866" s="9"/>
      <c r="F866" s="9"/>
      <c r="G866" s="179" t="e">
        <f t="shared" si="11"/>
        <v>#DIV/0!</v>
      </c>
      <c r="H866" s="135" t="e">
        <f t="shared" si="13"/>
        <v>#DIV/0!</v>
      </c>
      <c r="I866" s="179" t="e">
        <f t="shared" si="12"/>
        <v>#DIV/0!</v>
      </c>
    </row>
    <row r="867" spans="1:9" ht="12.5">
      <c r="A867" s="9"/>
      <c r="B867" s="9"/>
      <c r="C867" s="9"/>
      <c r="D867" s="9"/>
      <c r="E867" s="9"/>
      <c r="F867" s="9"/>
      <c r="G867" s="179" t="e">
        <f t="shared" si="11"/>
        <v>#DIV/0!</v>
      </c>
      <c r="H867" s="135" t="e">
        <f t="shared" si="13"/>
        <v>#DIV/0!</v>
      </c>
      <c r="I867" s="179" t="e">
        <f t="shared" si="12"/>
        <v>#DIV/0!</v>
      </c>
    </row>
    <row r="868" spans="1:9" ht="12.5">
      <c r="A868" s="9"/>
      <c r="B868" s="9"/>
      <c r="C868" s="9"/>
      <c r="D868" s="9"/>
      <c r="E868" s="9"/>
      <c r="F868" s="9"/>
      <c r="G868" s="179" t="e">
        <f t="shared" si="11"/>
        <v>#DIV/0!</v>
      </c>
      <c r="H868" s="135" t="e">
        <f t="shared" si="13"/>
        <v>#DIV/0!</v>
      </c>
      <c r="I868" s="179" t="e">
        <f t="shared" si="12"/>
        <v>#DIV/0!</v>
      </c>
    </row>
    <row r="869" spans="1:9" ht="12.5">
      <c r="A869" s="9"/>
      <c r="B869" s="9"/>
      <c r="C869" s="9"/>
      <c r="D869" s="9"/>
      <c r="E869" s="9"/>
      <c r="F869" s="9"/>
      <c r="G869" s="179" t="e">
        <f t="shared" si="11"/>
        <v>#DIV/0!</v>
      </c>
      <c r="H869" s="135" t="e">
        <f t="shared" si="13"/>
        <v>#DIV/0!</v>
      </c>
      <c r="I869" s="179" t="e">
        <f t="shared" si="12"/>
        <v>#DIV/0!</v>
      </c>
    </row>
    <row r="870" spans="1:9" ht="12.5">
      <c r="A870" s="9"/>
      <c r="B870" s="9"/>
      <c r="C870" s="9"/>
      <c r="D870" s="9"/>
      <c r="E870" s="9"/>
      <c r="F870" s="9"/>
      <c r="G870" s="179" t="e">
        <f t="shared" si="11"/>
        <v>#DIV/0!</v>
      </c>
      <c r="H870" s="135" t="e">
        <f t="shared" si="13"/>
        <v>#DIV/0!</v>
      </c>
      <c r="I870" s="179" t="e">
        <f t="shared" si="12"/>
        <v>#DIV/0!</v>
      </c>
    </row>
    <row r="871" spans="1:9" ht="12.5">
      <c r="A871" s="9"/>
      <c r="B871" s="9"/>
      <c r="C871" s="9"/>
      <c r="D871" s="9"/>
      <c r="E871" s="9"/>
      <c r="F871" s="9"/>
      <c r="G871" s="179" t="e">
        <f t="shared" si="11"/>
        <v>#DIV/0!</v>
      </c>
      <c r="H871" s="135" t="e">
        <f t="shared" si="13"/>
        <v>#DIV/0!</v>
      </c>
      <c r="I871" s="179" t="e">
        <f t="shared" si="12"/>
        <v>#DIV/0!</v>
      </c>
    </row>
    <row r="872" spans="1:9" ht="12.5">
      <c r="A872" s="9"/>
      <c r="B872" s="9"/>
      <c r="C872" s="9"/>
      <c r="D872" s="9"/>
      <c r="E872" s="9"/>
      <c r="F872" s="9"/>
      <c r="G872" s="179" t="e">
        <f t="shared" si="11"/>
        <v>#DIV/0!</v>
      </c>
      <c r="H872" s="135" t="e">
        <f t="shared" si="13"/>
        <v>#DIV/0!</v>
      </c>
      <c r="I872" s="179" t="e">
        <f t="shared" si="12"/>
        <v>#DIV/0!</v>
      </c>
    </row>
    <row r="873" spans="1:9" ht="12.5">
      <c r="A873" s="9"/>
      <c r="B873" s="9"/>
      <c r="C873" s="9"/>
      <c r="D873" s="9"/>
      <c r="E873" s="9"/>
      <c r="F873" s="9"/>
      <c r="G873" s="179" t="e">
        <f t="shared" si="11"/>
        <v>#DIV/0!</v>
      </c>
      <c r="H873" s="135" t="e">
        <f t="shared" si="13"/>
        <v>#DIV/0!</v>
      </c>
      <c r="I873" s="179" t="e">
        <f t="shared" si="12"/>
        <v>#DIV/0!</v>
      </c>
    </row>
    <row r="874" spans="1:9" ht="12.5">
      <c r="A874" s="9"/>
      <c r="B874" s="9"/>
      <c r="C874" s="9"/>
      <c r="D874" s="9"/>
      <c r="E874" s="9"/>
      <c r="F874" s="9"/>
      <c r="G874" s="179" t="e">
        <f t="shared" si="11"/>
        <v>#DIV/0!</v>
      </c>
      <c r="H874" s="135" t="e">
        <f t="shared" si="13"/>
        <v>#DIV/0!</v>
      </c>
      <c r="I874" s="179" t="e">
        <f t="shared" si="12"/>
        <v>#DIV/0!</v>
      </c>
    </row>
    <row r="875" spans="1:9" ht="12.5">
      <c r="A875" s="9"/>
      <c r="B875" s="9"/>
      <c r="C875" s="9"/>
      <c r="D875" s="9"/>
      <c r="E875" s="9"/>
      <c r="F875" s="9"/>
      <c r="G875" s="179" t="e">
        <f t="shared" si="11"/>
        <v>#DIV/0!</v>
      </c>
      <c r="H875" s="135" t="e">
        <f t="shared" si="13"/>
        <v>#DIV/0!</v>
      </c>
      <c r="I875" s="179" t="e">
        <f t="shared" si="12"/>
        <v>#DIV/0!</v>
      </c>
    </row>
    <row r="876" spans="1:9" ht="12.5">
      <c r="A876" s="9"/>
      <c r="B876" s="9"/>
      <c r="C876" s="9"/>
      <c r="D876" s="9"/>
      <c r="E876" s="9"/>
      <c r="F876" s="9"/>
      <c r="G876" s="179" t="e">
        <f t="shared" si="11"/>
        <v>#DIV/0!</v>
      </c>
      <c r="H876" s="135" t="e">
        <f t="shared" si="13"/>
        <v>#DIV/0!</v>
      </c>
      <c r="I876" s="179" t="e">
        <f t="shared" si="12"/>
        <v>#DIV/0!</v>
      </c>
    </row>
    <row r="877" spans="1:9" ht="12.5">
      <c r="A877" s="9"/>
      <c r="B877" s="9"/>
      <c r="C877" s="9"/>
      <c r="D877" s="9"/>
      <c r="E877" s="9"/>
      <c r="F877" s="9"/>
      <c r="G877" s="179" t="e">
        <f t="shared" si="11"/>
        <v>#DIV/0!</v>
      </c>
      <c r="H877" s="135" t="e">
        <f t="shared" si="13"/>
        <v>#DIV/0!</v>
      </c>
      <c r="I877" s="179" t="e">
        <f t="shared" si="12"/>
        <v>#DIV/0!</v>
      </c>
    </row>
    <row r="878" spans="1:9" ht="12.5">
      <c r="A878" s="9"/>
      <c r="B878" s="9"/>
      <c r="C878" s="9"/>
      <c r="D878" s="9"/>
      <c r="E878" s="9"/>
      <c r="F878" s="9"/>
      <c r="G878" s="179" t="e">
        <f t="shared" si="11"/>
        <v>#DIV/0!</v>
      </c>
      <c r="H878" s="135" t="e">
        <f t="shared" si="13"/>
        <v>#DIV/0!</v>
      </c>
      <c r="I878" s="179" t="e">
        <f t="shared" si="12"/>
        <v>#DIV/0!</v>
      </c>
    </row>
    <row r="879" spans="1:9" ht="12.5">
      <c r="A879" s="9"/>
      <c r="B879" s="9"/>
      <c r="C879" s="9"/>
      <c r="D879" s="9"/>
      <c r="E879" s="9"/>
      <c r="F879" s="9"/>
      <c r="G879" s="179" t="e">
        <f t="shared" si="11"/>
        <v>#DIV/0!</v>
      </c>
      <c r="H879" s="135" t="e">
        <f t="shared" si="13"/>
        <v>#DIV/0!</v>
      </c>
      <c r="I879" s="179" t="e">
        <f t="shared" si="12"/>
        <v>#DIV/0!</v>
      </c>
    </row>
    <row r="880" spans="1:9" ht="12.5">
      <c r="A880" s="9"/>
      <c r="B880" s="9"/>
      <c r="C880" s="9"/>
      <c r="D880" s="9"/>
      <c r="E880" s="9"/>
      <c r="F880" s="9"/>
      <c r="G880" s="179" t="e">
        <f t="shared" si="11"/>
        <v>#DIV/0!</v>
      </c>
      <c r="H880" s="135" t="e">
        <f t="shared" si="13"/>
        <v>#DIV/0!</v>
      </c>
      <c r="I880" s="179" t="e">
        <f t="shared" si="12"/>
        <v>#DIV/0!</v>
      </c>
    </row>
    <row r="881" spans="1:9" ht="12.5">
      <c r="A881" s="9"/>
      <c r="B881" s="9"/>
      <c r="C881" s="9"/>
      <c r="D881" s="9"/>
      <c r="E881" s="9"/>
      <c r="F881" s="9"/>
      <c r="G881" s="179" t="e">
        <f t="shared" si="11"/>
        <v>#DIV/0!</v>
      </c>
      <c r="H881" s="135" t="e">
        <f t="shared" si="13"/>
        <v>#DIV/0!</v>
      </c>
      <c r="I881" s="179" t="e">
        <f t="shared" si="12"/>
        <v>#DIV/0!</v>
      </c>
    </row>
    <row r="882" spans="1:9" ht="12.5">
      <c r="A882" s="9"/>
      <c r="B882" s="9"/>
      <c r="C882" s="9"/>
      <c r="D882" s="9"/>
      <c r="E882" s="9"/>
      <c r="F882" s="9"/>
      <c r="G882" s="179" t="e">
        <f t="shared" si="11"/>
        <v>#DIV/0!</v>
      </c>
      <c r="H882" s="135" t="e">
        <f t="shared" si="13"/>
        <v>#DIV/0!</v>
      </c>
      <c r="I882" s="179" t="e">
        <f t="shared" si="12"/>
        <v>#DIV/0!</v>
      </c>
    </row>
    <row r="883" spans="1:9" ht="12.5">
      <c r="A883" s="9"/>
      <c r="B883" s="9"/>
      <c r="C883" s="9"/>
      <c r="D883" s="9"/>
      <c r="E883" s="9"/>
      <c r="F883" s="9"/>
      <c r="G883" s="179" t="e">
        <f t="shared" si="11"/>
        <v>#DIV/0!</v>
      </c>
      <c r="H883" s="135" t="e">
        <f t="shared" si="13"/>
        <v>#DIV/0!</v>
      </c>
      <c r="I883" s="179" t="e">
        <f t="shared" si="12"/>
        <v>#DIV/0!</v>
      </c>
    </row>
    <row r="884" spans="1:9" ht="12.5">
      <c r="A884" s="9"/>
      <c r="B884" s="9"/>
      <c r="C884" s="9"/>
      <c r="D884" s="9"/>
      <c r="E884" s="9"/>
      <c r="F884" s="9"/>
      <c r="G884" s="179" t="e">
        <f t="shared" si="11"/>
        <v>#DIV/0!</v>
      </c>
      <c r="H884" s="135" t="e">
        <f t="shared" si="13"/>
        <v>#DIV/0!</v>
      </c>
      <c r="I884" s="179" t="e">
        <f t="shared" si="12"/>
        <v>#DIV/0!</v>
      </c>
    </row>
    <row r="885" spans="1:9" ht="12.5">
      <c r="A885" s="9"/>
      <c r="B885" s="9"/>
      <c r="C885" s="9"/>
      <c r="D885" s="9"/>
      <c r="E885" s="9"/>
      <c r="F885" s="9"/>
      <c r="G885" s="179" t="e">
        <f t="shared" si="11"/>
        <v>#DIV/0!</v>
      </c>
      <c r="H885" s="135" t="e">
        <f t="shared" si="13"/>
        <v>#DIV/0!</v>
      </c>
      <c r="I885" s="179" t="e">
        <f t="shared" si="12"/>
        <v>#DIV/0!</v>
      </c>
    </row>
    <row r="886" spans="1:9" ht="12.5">
      <c r="A886" s="9"/>
      <c r="B886" s="9"/>
      <c r="C886" s="9"/>
      <c r="D886" s="9"/>
      <c r="E886" s="9"/>
      <c r="F886" s="9"/>
      <c r="G886" s="179" t="e">
        <f t="shared" si="11"/>
        <v>#DIV/0!</v>
      </c>
      <c r="H886" s="135" t="e">
        <f t="shared" si="13"/>
        <v>#DIV/0!</v>
      </c>
      <c r="I886" s="179" t="e">
        <f t="shared" si="12"/>
        <v>#DIV/0!</v>
      </c>
    </row>
    <row r="887" spans="1:9" ht="12.5">
      <c r="A887" s="9"/>
      <c r="B887" s="9"/>
      <c r="C887" s="9"/>
      <c r="D887" s="9"/>
      <c r="E887" s="9"/>
      <c r="F887" s="9"/>
      <c r="G887" s="179" t="e">
        <f t="shared" si="11"/>
        <v>#DIV/0!</v>
      </c>
      <c r="H887" s="135" t="e">
        <f t="shared" si="13"/>
        <v>#DIV/0!</v>
      </c>
      <c r="I887" s="179" t="e">
        <f t="shared" si="12"/>
        <v>#DIV/0!</v>
      </c>
    </row>
    <row r="888" spans="1:9" ht="12.5">
      <c r="A888" s="9"/>
      <c r="B888" s="9"/>
      <c r="C888" s="9"/>
      <c r="D888" s="9"/>
      <c r="E888" s="9"/>
      <c r="F888" s="9"/>
      <c r="G888" s="179" t="e">
        <f t="shared" si="11"/>
        <v>#DIV/0!</v>
      </c>
      <c r="H888" s="135" t="e">
        <f t="shared" si="13"/>
        <v>#DIV/0!</v>
      </c>
      <c r="I888" s="179" t="e">
        <f t="shared" si="12"/>
        <v>#DIV/0!</v>
      </c>
    </row>
    <row r="889" spans="1:9" ht="12.5">
      <c r="A889" s="9"/>
      <c r="B889" s="9"/>
      <c r="C889" s="9"/>
      <c r="D889" s="9"/>
      <c r="E889" s="9"/>
      <c r="F889" s="9"/>
      <c r="G889" s="179" t="e">
        <f t="shared" si="11"/>
        <v>#DIV/0!</v>
      </c>
      <c r="H889" s="135" t="e">
        <f t="shared" si="13"/>
        <v>#DIV/0!</v>
      </c>
      <c r="I889" s="179" t="e">
        <f t="shared" si="12"/>
        <v>#DIV/0!</v>
      </c>
    </row>
    <row r="890" spans="1:9" ht="12.5">
      <c r="A890" s="9"/>
      <c r="B890" s="9"/>
      <c r="C890" s="9"/>
      <c r="D890" s="9"/>
      <c r="E890" s="9"/>
      <c r="F890" s="9"/>
      <c r="G890" s="179" t="e">
        <f t="shared" si="11"/>
        <v>#DIV/0!</v>
      </c>
      <c r="H890" s="135" t="e">
        <f t="shared" si="13"/>
        <v>#DIV/0!</v>
      </c>
      <c r="I890" s="179" t="e">
        <f t="shared" si="12"/>
        <v>#DIV/0!</v>
      </c>
    </row>
    <row r="891" spans="1:9" ht="12.5">
      <c r="A891" s="9"/>
      <c r="B891" s="9"/>
      <c r="C891" s="9"/>
      <c r="D891" s="9"/>
      <c r="E891" s="9"/>
      <c r="F891" s="9"/>
      <c r="G891" s="179" t="e">
        <f t="shared" si="11"/>
        <v>#DIV/0!</v>
      </c>
      <c r="H891" s="135" t="e">
        <f t="shared" si="13"/>
        <v>#DIV/0!</v>
      </c>
      <c r="I891" s="179" t="e">
        <f t="shared" si="12"/>
        <v>#DIV/0!</v>
      </c>
    </row>
    <row r="892" spans="1:9" ht="12.5">
      <c r="A892" s="9"/>
      <c r="B892" s="9"/>
      <c r="C892" s="9"/>
      <c r="D892" s="9"/>
      <c r="E892" s="9"/>
      <c r="F892" s="9"/>
      <c r="G892" s="179" t="e">
        <f t="shared" si="11"/>
        <v>#DIV/0!</v>
      </c>
      <c r="H892" s="135" t="e">
        <f t="shared" si="13"/>
        <v>#DIV/0!</v>
      </c>
      <c r="I892" s="179" t="e">
        <f t="shared" si="12"/>
        <v>#DIV/0!</v>
      </c>
    </row>
    <row r="893" spans="1:9" ht="12.5">
      <c r="A893" s="9"/>
      <c r="B893" s="9"/>
      <c r="C893" s="9"/>
      <c r="D893" s="9"/>
      <c r="E893" s="9"/>
      <c r="F893" s="9"/>
      <c r="G893" s="179" t="e">
        <f t="shared" si="11"/>
        <v>#DIV/0!</v>
      </c>
      <c r="H893" s="135" t="e">
        <f t="shared" si="13"/>
        <v>#DIV/0!</v>
      </c>
      <c r="I893" s="179" t="e">
        <f t="shared" si="12"/>
        <v>#DIV/0!</v>
      </c>
    </row>
    <row r="894" spans="1:9" ht="12.5">
      <c r="A894" s="9"/>
      <c r="B894" s="9"/>
      <c r="C894" s="9"/>
      <c r="D894" s="9"/>
      <c r="E894" s="9"/>
      <c r="F894" s="9"/>
      <c r="G894" s="179" t="e">
        <f t="shared" si="11"/>
        <v>#DIV/0!</v>
      </c>
      <c r="H894" s="135" t="e">
        <f t="shared" si="13"/>
        <v>#DIV/0!</v>
      </c>
      <c r="I894" s="179" t="e">
        <f t="shared" si="12"/>
        <v>#DIV/0!</v>
      </c>
    </row>
    <row r="895" spans="1:9" ht="12.5">
      <c r="A895" s="9"/>
      <c r="B895" s="9"/>
      <c r="C895" s="9"/>
      <c r="D895" s="9"/>
      <c r="E895" s="9"/>
      <c r="F895" s="9"/>
      <c r="G895" s="179" t="e">
        <f t="shared" si="11"/>
        <v>#DIV/0!</v>
      </c>
      <c r="H895" s="135" t="e">
        <f t="shared" si="13"/>
        <v>#DIV/0!</v>
      </c>
      <c r="I895" s="179" t="e">
        <f t="shared" si="12"/>
        <v>#DIV/0!</v>
      </c>
    </row>
    <row r="896" spans="1:9" ht="12.5">
      <c r="A896" s="9"/>
      <c r="B896" s="9"/>
      <c r="C896" s="9"/>
      <c r="D896" s="9"/>
      <c r="E896" s="9"/>
      <c r="F896" s="9"/>
      <c r="G896" s="179" t="e">
        <f t="shared" si="11"/>
        <v>#DIV/0!</v>
      </c>
      <c r="H896" s="135" t="e">
        <f t="shared" si="13"/>
        <v>#DIV/0!</v>
      </c>
      <c r="I896" s="179" t="e">
        <f t="shared" si="12"/>
        <v>#DIV/0!</v>
      </c>
    </row>
    <row r="897" spans="1:9" ht="12.5">
      <c r="A897" s="9"/>
      <c r="B897" s="9"/>
      <c r="C897" s="9"/>
      <c r="D897" s="9"/>
      <c r="E897" s="9"/>
      <c r="F897" s="9"/>
      <c r="G897" s="179" t="e">
        <f t="shared" si="11"/>
        <v>#DIV/0!</v>
      </c>
      <c r="H897" s="135" t="e">
        <f t="shared" si="13"/>
        <v>#DIV/0!</v>
      </c>
      <c r="I897" s="179" t="e">
        <f t="shared" si="12"/>
        <v>#DIV/0!</v>
      </c>
    </row>
    <row r="898" spans="1:9" ht="12.5">
      <c r="A898" s="9"/>
      <c r="B898" s="9"/>
      <c r="C898" s="9"/>
      <c r="D898" s="9"/>
      <c r="E898" s="9"/>
      <c r="F898" s="9"/>
      <c r="G898" s="179" t="e">
        <f t="shared" si="11"/>
        <v>#DIV/0!</v>
      </c>
      <c r="H898" s="135" t="e">
        <f t="shared" si="13"/>
        <v>#DIV/0!</v>
      </c>
      <c r="I898" s="179" t="e">
        <f t="shared" si="12"/>
        <v>#DIV/0!</v>
      </c>
    </row>
    <row r="899" spans="1:9" ht="12.5">
      <c r="A899" s="9"/>
      <c r="B899" s="9"/>
      <c r="C899" s="9"/>
      <c r="D899" s="9"/>
      <c r="E899" s="9"/>
      <c r="F899" s="9"/>
      <c r="G899" s="179" t="e">
        <f t="shared" si="11"/>
        <v>#DIV/0!</v>
      </c>
      <c r="H899" s="135" t="e">
        <f t="shared" si="13"/>
        <v>#DIV/0!</v>
      </c>
      <c r="I899" s="179" t="e">
        <f t="shared" si="12"/>
        <v>#DIV/0!</v>
      </c>
    </row>
    <row r="900" spans="1:9" ht="12.5">
      <c r="A900" s="9"/>
      <c r="B900" s="9"/>
      <c r="C900" s="9"/>
      <c r="D900" s="9"/>
      <c r="E900" s="9"/>
      <c r="F900" s="9"/>
      <c r="G900" s="179" t="e">
        <f t="shared" si="11"/>
        <v>#DIV/0!</v>
      </c>
      <c r="H900" s="135" t="e">
        <f t="shared" si="13"/>
        <v>#DIV/0!</v>
      </c>
      <c r="I900" s="179" t="e">
        <f t="shared" si="12"/>
        <v>#DIV/0!</v>
      </c>
    </row>
    <row r="901" spans="1:9" ht="12.5">
      <c r="A901" s="9"/>
      <c r="B901" s="9"/>
      <c r="C901" s="9"/>
      <c r="D901" s="9"/>
      <c r="E901" s="9"/>
      <c r="F901" s="9"/>
      <c r="G901" s="179" t="e">
        <f t="shared" si="11"/>
        <v>#DIV/0!</v>
      </c>
      <c r="H901" s="135" t="e">
        <f t="shared" si="13"/>
        <v>#DIV/0!</v>
      </c>
      <c r="I901" s="179" t="e">
        <f t="shared" si="12"/>
        <v>#DIV/0!</v>
      </c>
    </row>
    <row r="902" spans="1:9" ht="12.5">
      <c r="A902" s="9"/>
      <c r="B902" s="9"/>
      <c r="C902" s="9"/>
      <c r="D902" s="9"/>
      <c r="E902" s="9"/>
      <c r="F902" s="9"/>
      <c r="G902" s="179" t="e">
        <f t="shared" si="11"/>
        <v>#DIV/0!</v>
      </c>
      <c r="H902" s="135" t="e">
        <f t="shared" si="13"/>
        <v>#DIV/0!</v>
      </c>
      <c r="I902" s="179" t="e">
        <f t="shared" si="12"/>
        <v>#DIV/0!</v>
      </c>
    </row>
    <row r="903" spans="1:9" ht="12.5">
      <c r="A903" s="9"/>
      <c r="B903" s="9"/>
      <c r="C903" s="9"/>
      <c r="D903" s="9"/>
      <c r="E903" s="9"/>
      <c r="F903" s="9"/>
      <c r="G903" s="179" t="e">
        <f t="shared" si="11"/>
        <v>#DIV/0!</v>
      </c>
      <c r="H903" s="135" t="e">
        <f t="shared" si="13"/>
        <v>#DIV/0!</v>
      </c>
      <c r="I903" s="179" t="e">
        <f t="shared" si="12"/>
        <v>#DIV/0!</v>
      </c>
    </row>
    <row r="904" spans="1:9" ht="12.5">
      <c r="A904" s="9"/>
      <c r="B904" s="9"/>
      <c r="C904" s="9"/>
      <c r="D904" s="9"/>
      <c r="E904" s="9"/>
      <c r="F904" s="9"/>
      <c r="G904" s="179" t="e">
        <f t="shared" si="11"/>
        <v>#DIV/0!</v>
      </c>
      <c r="H904" s="135" t="e">
        <f t="shared" si="13"/>
        <v>#DIV/0!</v>
      </c>
      <c r="I904" s="179" t="e">
        <f t="shared" si="12"/>
        <v>#DIV/0!</v>
      </c>
    </row>
    <row r="905" spans="1:9" ht="12.5">
      <c r="A905" s="9"/>
      <c r="B905" s="9"/>
      <c r="C905" s="9"/>
      <c r="D905" s="9"/>
      <c r="E905" s="9"/>
      <c r="F905" s="9"/>
      <c r="G905" s="179" t="e">
        <f t="shared" si="11"/>
        <v>#DIV/0!</v>
      </c>
      <c r="H905" s="135" t="e">
        <f t="shared" si="13"/>
        <v>#DIV/0!</v>
      </c>
      <c r="I905" s="179" t="e">
        <f t="shared" si="12"/>
        <v>#DIV/0!</v>
      </c>
    </row>
    <row r="906" spans="1:9" ht="12.5">
      <c r="A906" s="9"/>
      <c r="B906" s="9"/>
      <c r="C906" s="9"/>
      <c r="D906" s="9"/>
      <c r="E906" s="9"/>
      <c r="F906" s="9"/>
      <c r="G906" s="179" t="e">
        <f t="shared" si="11"/>
        <v>#DIV/0!</v>
      </c>
      <c r="H906" s="135" t="e">
        <f t="shared" si="13"/>
        <v>#DIV/0!</v>
      </c>
      <c r="I906" s="179" t="e">
        <f t="shared" si="12"/>
        <v>#DIV/0!</v>
      </c>
    </row>
    <row r="907" spans="1:9" ht="12.5">
      <c r="A907" s="9"/>
      <c r="B907" s="9"/>
      <c r="C907" s="9"/>
      <c r="D907" s="9"/>
      <c r="E907" s="9"/>
      <c r="F907" s="9"/>
      <c r="G907" s="179" t="e">
        <f t="shared" si="11"/>
        <v>#DIV/0!</v>
      </c>
      <c r="H907" s="135" t="e">
        <f t="shared" si="13"/>
        <v>#DIV/0!</v>
      </c>
      <c r="I907" s="179" t="e">
        <f t="shared" si="12"/>
        <v>#DIV/0!</v>
      </c>
    </row>
    <row r="908" spans="1:9" ht="12.5">
      <c r="A908" s="9"/>
      <c r="B908" s="9"/>
      <c r="C908" s="9"/>
      <c r="D908" s="9"/>
      <c r="E908" s="9"/>
      <c r="F908" s="9"/>
      <c r="G908" s="179" t="e">
        <f t="shared" si="11"/>
        <v>#DIV/0!</v>
      </c>
      <c r="H908" s="135" t="e">
        <f t="shared" si="13"/>
        <v>#DIV/0!</v>
      </c>
      <c r="I908" s="179" t="e">
        <f t="shared" si="12"/>
        <v>#DIV/0!</v>
      </c>
    </row>
    <row r="909" spans="1:9" ht="12.5">
      <c r="A909" s="9"/>
      <c r="B909" s="9"/>
      <c r="C909" s="9"/>
      <c r="D909" s="9"/>
      <c r="E909" s="9"/>
      <c r="F909" s="9"/>
      <c r="G909" s="179" t="e">
        <f t="shared" si="11"/>
        <v>#DIV/0!</v>
      </c>
      <c r="H909" s="135" t="e">
        <f t="shared" si="13"/>
        <v>#DIV/0!</v>
      </c>
      <c r="I909" s="179" t="e">
        <f t="shared" si="12"/>
        <v>#DIV/0!</v>
      </c>
    </row>
    <row r="910" spans="1:9" ht="12.5">
      <c r="A910" s="9"/>
      <c r="B910" s="9"/>
      <c r="C910" s="9"/>
      <c r="D910" s="9"/>
      <c r="E910" s="9"/>
      <c r="F910" s="9"/>
      <c r="G910" s="179" t="e">
        <f t="shared" si="11"/>
        <v>#DIV/0!</v>
      </c>
      <c r="H910" s="135" t="e">
        <f t="shared" si="13"/>
        <v>#DIV/0!</v>
      </c>
      <c r="I910" s="179" t="e">
        <f t="shared" si="12"/>
        <v>#DIV/0!</v>
      </c>
    </row>
    <row r="911" spans="1:9" ht="12.5">
      <c r="A911" s="9"/>
      <c r="B911" s="9"/>
      <c r="C911" s="9"/>
      <c r="D911" s="9"/>
      <c r="E911" s="9"/>
      <c r="F911" s="9"/>
      <c r="G911" s="179" t="e">
        <f t="shared" si="11"/>
        <v>#DIV/0!</v>
      </c>
      <c r="H911" s="135" t="e">
        <f t="shared" si="13"/>
        <v>#DIV/0!</v>
      </c>
      <c r="I911" s="179" t="e">
        <f t="shared" si="12"/>
        <v>#DIV/0!</v>
      </c>
    </row>
    <row r="912" spans="1:9" ht="12.5">
      <c r="A912" s="9"/>
      <c r="B912" s="9"/>
      <c r="C912" s="9"/>
      <c r="D912" s="9"/>
      <c r="E912" s="9"/>
      <c r="F912" s="9"/>
      <c r="G912" s="179" t="e">
        <f t="shared" si="11"/>
        <v>#DIV/0!</v>
      </c>
      <c r="H912" s="135" t="e">
        <f t="shared" si="13"/>
        <v>#DIV/0!</v>
      </c>
      <c r="I912" s="179" t="e">
        <f t="shared" si="12"/>
        <v>#DIV/0!</v>
      </c>
    </row>
    <row r="913" spans="1:9" ht="12.5">
      <c r="A913" s="9"/>
      <c r="B913" s="9"/>
      <c r="C913" s="9"/>
      <c r="D913" s="9"/>
      <c r="E913" s="9"/>
      <c r="F913" s="9"/>
      <c r="G913" s="179" t="e">
        <f t="shared" si="11"/>
        <v>#DIV/0!</v>
      </c>
      <c r="H913" s="135" t="e">
        <f t="shared" si="13"/>
        <v>#DIV/0!</v>
      </c>
      <c r="I913" s="179" t="e">
        <f t="shared" si="12"/>
        <v>#DIV/0!</v>
      </c>
    </row>
    <row r="914" spans="1:9" ht="12.5">
      <c r="A914" s="9"/>
      <c r="B914" s="9"/>
      <c r="C914" s="9"/>
      <c r="D914" s="9"/>
      <c r="E914" s="9"/>
      <c r="F914" s="9"/>
      <c r="G914" s="179" t="e">
        <f t="shared" si="11"/>
        <v>#DIV/0!</v>
      </c>
      <c r="H914" s="135" t="e">
        <f t="shared" si="13"/>
        <v>#DIV/0!</v>
      </c>
      <c r="I914" s="179" t="e">
        <f t="shared" si="12"/>
        <v>#DIV/0!</v>
      </c>
    </row>
    <row r="915" spans="1:9" ht="12.5">
      <c r="A915" s="9"/>
      <c r="B915" s="9"/>
      <c r="C915" s="9"/>
      <c r="D915" s="9"/>
      <c r="E915" s="9"/>
      <c r="F915" s="9"/>
      <c r="G915" s="179" t="e">
        <f t="shared" si="11"/>
        <v>#DIV/0!</v>
      </c>
      <c r="H915" s="135" t="e">
        <f t="shared" si="13"/>
        <v>#DIV/0!</v>
      </c>
      <c r="I915" s="179" t="e">
        <f t="shared" si="12"/>
        <v>#DIV/0!</v>
      </c>
    </row>
    <row r="916" spans="1:9" ht="12.5">
      <c r="A916" s="9"/>
      <c r="B916" s="9"/>
      <c r="C916" s="9"/>
      <c r="D916" s="9"/>
      <c r="E916" s="9"/>
      <c r="F916" s="9"/>
      <c r="G916" s="179" t="e">
        <f t="shared" si="11"/>
        <v>#DIV/0!</v>
      </c>
      <c r="H916" s="135" t="e">
        <f t="shared" si="13"/>
        <v>#DIV/0!</v>
      </c>
      <c r="I916" s="179" t="e">
        <f t="shared" si="12"/>
        <v>#DIV/0!</v>
      </c>
    </row>
    <row r="917" spans="1:9" ht="12.5">
      <c r="A917" s="9"/>
      <c r="B917" s="9"/>
      <c r="C917" s="9"/>
      <c r="D917" s="9"/>
      <c r="E917" s="9"/>
      <c r="F917" s="9"/>
      <c r="G917" s="179" t="e">
        <f t="shared" si="11"/>
        <v>#DIV/0!</v>
      </c>
      <c r="H917" s="135" t="e">
        <f t="shared" si="13"/>
        <v>#DIV/0!</v>
      </c>
      <c r="I917" s="179" t="e">
        <f t="shared" si="12"/>
        <v>#DIV/0!</v>
      </c>
    </row>
    <row r="918" spans="1:9" ht="12.5">
      <c r="A918" s="9"/>
      <c r="B918" s="9"/>
      <c r="C918" s="9"/>
      <c r="D918" s="9"/>
      <c r="E918" s="9"/>
      <c r="F918" s="9"/>
      <c r="G918" s="179" t="e">
        <f t="shared" si="11"/>
        <v>#DIV/0!</v>
      </c>
      <c r="H918" s="135" t="e">
        <f t="shared" si="13"/>
        <v>#DIV/0!</v>
      </c>
      <c r="I918" s="179" t="e">
        <f t="shared" si="12"/>
        <v>#DIV/0!</v>
      </c>
    </row>
    <row r="919" spans="1:9" ht="12.5">
      <c r="A919" s="9"/>
      <c r="B919" s="9"/>
      <c r="C919" s="9"/>
      <c r="D919" s="9"/>
      <c r="E919" s="9"/>
      <c r="F919" s="9"/>
      <c r="G919" s="179" t="e">
        <f t="shared" si="11"/>
        <v>#DIV/0!</v>
      </c>
      <c r="H919" s="135" t="e">
        <f t="shared" si="13"/>
        <v>#DIV/0!</v>
      </c>
      <c r="I919" s="179" t="e">
        <f t="shared" si="12"/>
        <v>#DIV/0!</v>
      </c>
    </row>
    <row r="920" spans="1:9" ht="12.5">
      <c r="A920" s="9"/>
      <c r="B920" s="9"/>
      <c r="C920" s="9"/>
      <c r="D920" s="9"/>
      <c r="E920" s="9"/>
      <c r="F920" s="9"/>
      <c r="G920" s="179" t="e">
        <f t="shared" si="11"/>
        <v>#DIV/0!</v>
      </c>
      <c r="H920" s="135" t="e">
        <f t="shared" si="13"/>
        <v>#DIV/0!</v>
      </c>
      <c r="I920" s="179" t="e">
        <f t="shared" si="12"/>
        <v>#DIV/0!</v>
      </c>
    </row>
    <row r="921" spans="1:9" ht="12.5">
      <c r="A921" s="9"/>
      <c r="B921" s="9"/>
      <c r="C921" s="9"/>
      <c r="D921" s="9"/>
      <c r="E921" s="9"/>
      <c r="F921" s="9"/>
      <c r="G921" s="179" t="e">
        <f t="shared" si="11"/>
        <v>#DIV/0!</v>
      </c>
      <c r="H921" s="135" t="e">
        <f t="shared" si="13"/>
        <v>#DIV/0!</v>
      </c>
      <c r="I921" s="179" t="e">
        <f t="shared" si="12"/>
        <v>#DIV/0!</v>
      </c>
    </row>
    <row r="922" spans="1:9" ht="12.5">
      <c r="A922" s="9"/>
      <c r="B922" s="9"/>
      <c r="C922" s="9"/>
      <c r="D922" s="9"/>
      <c r="E922" s="9"/>
      <c r="F922" s="9"/>
      <c r="G922" s="179" t="e">
        <f t="shared" si="11"/>
        <v>#DIV/0!</v>
      </c>
      <c r="H922" s="135" t="e">
        <f t="shared" si="13"/>
        <v>#DIV/0!</v>
      </c>
      <c r="I922" s="179" t="e">
        <f t="shared" si="12"/>
        <v>#DIV/0!</v>
      </c>
    </row>
    <row r="923" spans="1:9" ht="12.5">
      <c r="A923" s="9"/>
      <c r="B923" s="9"/>
      <c r="C923" s="9"/>
      <c r="D923" s="9"/>
      <c r="E923" s="9"/>
      <c r="F923" s="9"/>
      <c r="G923" s="179" t="e">
        <f t="shared" si="11"/>
        <v>#DIV/0!</v>
      </c>
      <c r="H923" s="135" t="e">
        <f t="shared" si="13"/>
        <v>#DIV/0!</v>
      </c>
      <c r="I923" s="179" t="e">
        <f t="shared" si="12"/>
        <v>#DIV/0!</v>
      </c>
    </row>
    <row r="924" spans="1:9" ht="12.5">
      <c r="A924" s="9"/>
      <c r="B924" s="9"/>
      <c r="C924" s="9"/>
      <c r="D924" s="9"/>
      <c r="E924" s="9"/>
      <c r="F924" s="9"/>
      <c r="G924" s="179" t="e">
        <f t="shared" si="11"/>
        <v>#DIV/0!</v>
      </c>
      <c r="H924" s="135" t="e">
        <f t="shared" si="13"/>
        <v>#DIV/0!</v>
      </c>
      <c r="I924" s="179" t="e">
        <f t="shared" si="12"/>
        <v>#DIV/0!</v>
      </c>
    </row>
    <row r="925" spans="1:9" ht="12.5">
      <c r="A925" s="9"/>
      <c r="B925" s="9"/>
      <c r="C925" s="9"/>
      <c r="D925" s="9"/>
      <c r="E925" s="9"/>
      <c r="F925" s="9"/>
      <c r="G925" s="179" t="e">
        <f t="shared" si="11"/>
        <v>#DIV/0!</v>
      </c>
      <c r="H925" s="135" t="e">
        <f t="shared" si="13"/>
        <v>#DIV/0!</v>
      </c>
      <c r="I925" s="179" t="e">
        <f t="shared" si="12"/>
        <v>#DIV/0!</v>
      </c>
    </row>
    <row r="926" spans="1:9" ht="12.5">
      <c r="A926" s="9"/>
      <c r="B926" s="9"/>
      <c r="C926" s="9"/>
      <c r="D926" s="9"/>
      <c r="E926" s="9"/>
      <c r="F926" s="9"/>
      <c r="G926" s="179" t="e">
        <f t="shared" si="11"/>
        <v>#DIV/0!</v>
      </c>
      <c r="H926" s="135" t="e">
        <f t="shared" si="13"/>
        <v>#DIV/0!</v>
      </c>
      <c r="I926" s="179" t="e">
        <f t="shared" si="12"/>
        <v>#DIV/0!</v>
      </c>
    </row>
    <row r="927" spans="1:9" ht="12.5">
      <c r="A927" s="9"/>
      <c r="B927" s="9"/>
      <c r="C927" s="9"/>
      <c r="D927" s="9"/>
      <c r="E927" s="9"/>
      <c r="F927" s="9"/>
      <c r="G927" s="179" t="e">
        <f t="shared" si="11"/>
        <v>#DIV/0!</v>
      </c>
      <c r="H927" s="135" t="e">
        <f t="shared" si="13"/>
        <v>#DIV/0!</v>
      </c>
      <c r="I927" s="179" t="e">
        <f t="shared" si="12"/>
        <v>#DIV/0!</v>
      </c>
    </row>
    <row r="928" spans="1:9" ht="12.5">
      <c r="A928" s="9"/>
      <c r="B928" s="9"/>
      <c r="C928" s="9"/>
      <c r="D928" s="9"/>
      <c r="E928" s="9"/>
      <c r="F928" s="9"/>
      <c r="G928" s="179" t="e">
        <f t="shared" si="11"/>
        <v>#DIV/0!</v>
      </c>
      <c r="H928" s="135" t="e">
        <f t="shared" si="13"/>
        <v>#DIV/0!</v>
      </c>
      <c r="I928" s="179" t="e">
        <f t="shared" si="12"/>
        <v>#DIV/0!</v>
      </c>
    </row>
    <row r="929" spans="1:9" ht="12.5">
      <c r="A929" s="9"/>
      <c r="B929" s="9"/>
      <c r="C929" s="9"/>
      <c r="D929" s="9"/>
      <c r="E929" s="9"/>
      <c r="F929" s="9"/>
      <c r="G929" s="179" t="e">
        <f t="shared" si="11"/>
        <v>#DIV/0!</v>
      </c>
      <c r="H929" s="135" t="e">
        <f t="shared" si="13"/>
        <v>#DIV/0!</v>
      </c>
      <c r="I929" s="179" t="e">
        <f t="shared" si="12"/>
        <v>#DIV/0!</v>
      </c>
    </row>
    <row r="930" spans="1:9" ht="12.5">
      <c r="A930" s="9"/>
      <c r="B930" s="9"/>
      <c r="C930" s="9"/>
      <c r="D930" s="9"/>
      <c r="E930" s="9"/>
      <c r="F930" s="9"/>
      <c r="G930" s="179" t="e">
        <f t="shared" si="11"/>
        <v>#DIV/0!</v>
      </c>
      <c r="H930" s="135" t="e">
        <f t="shared" si="13"/>
        <v>#DIV/0!</v>
      </c>
      <c r="I930" s="179" t="e">
        <f t="shared" si="12"/>
        <v>#DIV/0!</v>
      </c>
    </row>
    <row r="931" spans="1:9" ht="12.5">
      <c r="A931" s="9"/>
      <c r="B931" s="9"/>
      <c r="C931" s="9"/>
      <c r="D931" s="9"/>
      <c r="E931" s="9"/>
      <c r="F931" s="9"/>
      <c r="G931" s="179" t="e">
        <f t="shared" si="11"/>
        <v>#DIV/0!</v>
      </c>
      <c r="H931" s="135" t="e">
        <f t="shared" si="13"/>
        <v>#DIV/0!</v>
      </c>
      <c r="I931" s="179" t="e">
        <f t="shared" si="12"/>
        <v>#DIV/0!</v>
      </c>
    </row>
    <row r="932" spans="1:9" ht="12.5">
      <c r="A932" s="9"/>
      <c r="B932" s="9"/>
      <c r="C932" s="9"/>
      <c r="D932" s="9"/>
      <c r="E932" s="9"/>
      <c r="F932" s="9"/>
      <c r="G932" s="179" t="e">
        <f t="shared" si="11"/>
        <v>#DIV/0!</v>
      </c>
      <c r="H932" s="135" t="e">
        <f t="shared" si="13"/>
        <v>#DIV/0!</v>
      </c>
      <c r="I932" s="179" t="e">
        <f t="shared" si="12"/>
        <v>#DIV/0!</v>
      </c>
    </row>
    <row r="933" spans="1:9" ht="12.5">
      <c r="A933" s="9"/>
      <c r="B933" s="9"/>
      <c r="C933" s="9"/>
      <c r="D933" s="9"/>
      <c r="E933" s="9"/>
      <c r="F933" s="9"/>
      <c r="G933" s="179" t="e">
        <f t="shared" si="11"/>
        <v>#DIV/0!</v>
      </c>
      <c r="H933" s="135" t="e">
        <f t="shared" si="13"/>
        <v>#DIV/0!</v>
      </c>
      <c r="I933" s="179" t="e">
        <f t="shared" si="12"/>
        <v>#DIV/0!</v>
      </c>
    </row>
    <row r="934" spans="1:9" ht="12.5">
      <c r="A934" s="9"/>
      <c r="B934" s="9"/>
      <c r="C934" s="9"/>
      <c r="D934" s="9"/>
      <c r="E934" s="9"/>
      <c r="F934" s="9"/>
      <c r="G934" s="179" t="e">
        <f t="shared" si="11"/>
        <v>#DIV/0!</v>
      </c>
      <c r="H934" s="135" t="e">
        <f t="shared" si="13"/>
        <v>#DIV/0!</v>
      </c>
      <c r="I934" s="179" t="e">
        <f t="shared" si="12"/>
        <v>#DIV/0!</v>
      </c>
    </row>
    <row r="935" spans="1:9" ht="12.5">
      <c r="A935" s="9"/>
      <c r="B935" s="9"/>
      <c r="C935" s="9"/>
      <c r="D935" s="9"/>
      <c r="E935" s="9"/>
      <c r="F935" s="9"/>
      <c r="G935" s="179" t="e">
        <f t="shared" si="11"/>
        <v>#DIV/0!</v>
      </c>
      <c r="H935" s="135" t="e">
        <f t="shared" si="13"/>
        <v>#DIV/0!</v>
      </c>
      <c r="I935" s="179" t="e">
        <f t="shared" si="12"/>
        <v>#DIV/0!</v>
      </c>
    </row>
    <row r="936" spans="1:9" ht="12.5">
      <c r="A936" s="9"/>
      <c r="B936" s="9"/>
      <c r="C936" s="9"/>
      <c r="D936" s="9"/>
      <c r="E936" s="9"/>
      <c r="F936" s="9"/>
      <c r="G936" s="179" t="e">
        <f t="shared" si="11"/>
        <v>#DIV/0!</v>
      </c>
      <c r="H936" s="135" t="e">
        <f t="shared" si="13"/>
        <v>#DIV/0!</v>
      </c>
      <c r="I936" s="179" t="e">
        <f t="shared" si="12"/>
        <v>#DIV/0!</v>
      </c>
    </row>
    <row r="937" spans="1:9" ht="12.5">
      <c r="A937" s="9"/>
      <c r="B937" s="9"/>
      <c r="C937" s="9"/>
      <c r="D937" s="9"/>
      <c r="E937" s="9"/>
      <c r="F937" s="9"/>
      <c r="G937" s="179" t="e">
        <f t="shared" si="11"/>
        <v>#DIV/0!</v>
      </c>
      <c r="H937" s="135" t="e">
        <f t="shared" si="13"/>
        <v>#DIV/0!</v>
      </c>
      <c r="I937" s="179" t="e">
        <f t="shared" si="12"/>
        <v>#DIV/0!</v>
      </c>
    </row>
    <row r="938" spans="1:9" ht="12.5">
      <c r="A938" s="9"/>
      <c r="B938" s="9"/>
      <c r="C938" s="9"/>
      <c r="D938" s="9"/>
      <c r="E938" s="9"/>
      <c r="F938" s="9"/>
      <c r="G938" s="179" t="e">
        <f t="shared" si="11"/>
        <v>#DIV/0!</v>
      </c>
      <c r="H938" s="135" t="e">
        <f t="shared" si="13"/>
        <v>#DIV/0!</v>
      </c>
      <c r="I938" s="179" t="e">
        <f t="shared" si="12"/>
        <v>#DIV/0!</v>
      </c>
    </row>
    <row r="939" spans="1:9" ht="12.5">
      <c r="A939" s="9"/>
      <c r="B939" s="9"/>
      <c r="C939" s="9"/>
      <c r="D939" s="9"/>
      <c r="E939" s="9"/>
      <c r="F939" s="9"/>
      <c r="G939" s="179" t="e">
        <f t="shared" si="11"/>
        <v>#DIV/0!</v>
      </c>
      <c r="H939" s="135" t="e">
        <f t="shared" si="13"/>
        <v>#DIV/0!</v>
      </c>
      <c r="I939" s="179" t="e">
        <f t="shared" si="12"/>
        <v>#DIV/0!</v>
      </c>
    </row>
    <row r="940" spans="1:9" ht="12.5">
      <c r="A940" s="9"/>
      <c r="B940" s="9"/>
      <c r="C940" s="9"/>
      <c r="D940" s="9"/>
      <c r="E940" s="9"/>
      <c r="F940" s="9"/>
      <c r="G940" s="179" t="e">
        <f t="shared" si="11"/>
        <v>#DIV/0!</v>
      </c>
      <c r="H940" s="135" t="e">
        <f t="shared" si="13"/>
        <v>#DIV/0!</v>
      </c>
      <c r="I940" s="179" t="e">
        <f t="shared" si="12"/>
        <v>#DIV/0!</v>
      </c>
    </row>
    <row r="941" spans="1:9" ht="12.5">
      <c r="A941" s="9"/>
      <c r="B941" s="9"/>
      <c r="C941" s="9"/>
      <c r="D941" s="9"/>
      <c r="E941" s="9"/>
      <c r="F941" s="9"/>
      <c r="G941" s="179" t="e">
        <f t="shared" si="11"/>
        <v>#DIV/0!</v>
      </c>
      <c r="H941" s="135" t="e">
        <f t="shared" si="13"/>
        <v>#DIV/0!</v>
      </c>
      <c r="I941" s="179" t="e">
        <f t="shared" si="12"/>
        <v>#DIV/0!</v>
      </c>
    </row>
    <row r="942" spans="1:9" ht="12.5">
      <c r="A942" s="9"/>
      <c r="B942" s="9"/>
      <c r="C942" s="9"/>
      <c r="D942" s="9"/>
      <c r="E942" s="9"/>
      <c r="F942" s="9"/>
      <c r="G942" s="179" t="e">
        <f t="shared" si="11"/>
        <v>#DIV/0!</v>
      </c>
      <c r="H942" s="135" t="e">
        <f t="shared" si="13"/>
        <v>#DIV/0!</v>
      </c>
      <c r="I942" s="179" t="e">
        <f t="shared" si="12"/>
        <v>#DIV/0!</v>
      </c>
    </row>
    <row r="943" spans="1:9" ht="12.5">
      <c r="A943" s="9"/>
      <c r="B943" s="9"/>
      <c r="C943" s="9"/>
      <c r="D943" s="9"/>
      <c r="E943" s="9"/>
      <c r="F943" s="9"/>
      <c r="G943" s="179" t="e">
        <f t="shared" si="11"/>
        <v>#DIV/0!</v>
      </c>
      <c r="H943" s="135" t="e">
        <f t="shared" si="13"/>
        <v>#DIV/0!</v>
      </c>
      <c r="I943" s="179" t="e">
        <f t="shared" si="12"/>
        <v>#DIV/0!</v>
      </c>
    </row>
    <row r="944" spans="1:9" ht="12.5">
      <c r="A944" s="9"/>
      <c r="B944" s="9"/>
      <c r="C944" s="9"/>
      <c r="D944" s="9"/>
      <c r="E944" s="9"/>
      <c r="F944" s="9"/>
      <c r="G944" s="179" t="e">
        <f t="shared" si="11"/>
        <v>#DIV/0!</v>
      </c>
      <c r="H944" s="135" t="e">
        <f t="shared" si="13"/>
        <v>#DIV/0!</v>
      </c>
      <c r="I944" s="179" t="e">
        <f t="shared" si="12"/>
        <v>#DIV/0!</v>
      </c>
    </row>
    <row r="945" spans="1:9" ht="12.5">
      <c r="A945" s="9"/>
      <c r="B945" s="9"/>
      <c r="C945" s="9"/>
      <c r="D945" s="9"/>
      <c r="E945" s="9"/>
      <c r="F945" s="9"/>
      <c r="G945" s="179" t="e">
        <f t="shared" si="11"/>
        <v>#DIV/0!</v>
      </c>
      <c r="H945" s="135" t="e">
        <f t="shared" si="13"/>
        <v>#DIV/0!</v>
      </c>
      <c r="I945" s="179" t="e">
        <f t="shared" si="12"/>
        <v>#DIV/0!</v>
      </c>
    </row>
    <row r="946" spans="1:9" ht="12.5">
      <c r="A946" s="9"/>
      <c r="B946" s="9"/>
      <c r="C946" s="9"/>
      <c r="D946" s="9"/>
      <c r="E946" s="9"/>
      <c r="F946" s="9"/>
      <c r="G946" s="179" t="e">
        <f t="shared" si="11"/>
        <v>#DIV/0!</v>
      </c>
      <c r="H946" s="135" t="e">
        <f t="shared" si="13"/>
        <v>#DIV/0!</v>
      </c>
      <c r="I946" s="179" t="e">
        <f t="shared" si="12"/>
        <v>#DIV/0!</v>
      </c>
    </row>
    <row r="947" spans="1:9" ht="12.5">
      <c r="A947" s="9"/>
      <c r="B947" s="9"/>
      <c r="C947" s="9"/>
      <c r="D947" s="9"/>
      <c r="E947" s="9"/>
      <c r="F947" s="9"/>
      <c r="G947" s="179" t="e">
        <f t="shared" si="11"/>
        <v>#DIV/0!</v>
      </c>
      <c r="H947" s="135" t="e">
        <f t="shared" si="13"/>
        <v>#DIV/0!</v>
      </c>
      <c r="I947" s="179" t="e">
        <f t="shared" si="12"/>
        <v>#DIV/0!</v>
      </c>
    </row>
    <row r="948" spans="1:9" ht="12.5">
      <c r="A948" s="9"/>
      <c r="B948" s="9"/>
      <c r="C948" s="9"/>
      <c r="D948" s="9"/>
      <c r="E948" s="9"/>
      <c r="F948" s="9"/>
      <c r="G948" s="179" t="e">
        <f t="shared" si="11"/>
        <v>#DIV/0!</v>
      </c>
      <c r="H948" s="135" t="e">
        <f t="shared" si="13"/>
        <v>#DIV/0!</v>
      </c>
      <c r="I948" s="179" t="e">
        <f t="shared" si="12"/>
        <v>#DIV/0!</v>
      </c>
    </row>
    <row r="949" spans="1:9" ht="12.5">
      <c r="A949" s="9"/>
      <c r="B949" s="9"/>
      <c r="C949" s="9"/>
      <c r="D949" s="9"/>
      <c r="E949" s="9"/>
      <c r="F949" s="9"/>
      <c r="G949" s="179" t="e">
        <f t="shared" si="11"/>
        <v>#DIV/0!</v>
      </c>
      <c r="H949" s="135" t="e">
        <f t="shared" si="13"/>
        <v>#DIV/0!</v>
      </c>
      <c r="I949" s="179" t="e">
        <f t="shared" si="12"/>
        <v>#DIV/0!</v>
      </c>
    </row>
    <row r="950" spans="1:9" ht="12.5">
      <c r="A950" s="9"/>
      <c r="B950" s="9"/>
      <c r="C950" s="9"/>
      <c r="D950" s="9"/>
      <c r="E950" s="9"/>
      <c r="F950" s="9"/>
      <c r="G950" s="179" t="e">
        <f t="shared" si="11"/>
        <v>#DIV/0!</v>
      </c>
      <c r="H950" s="135" t="e">
        <f t="shared" si="13"/>
        <v>#DIV/0!</v>
      </c>
      <c r="I950" s="179" t="e">
        <f t="shared" si="12"/>
        <v>#DIV/0!</v>
      </c>
    </row>
    <row r="951" spans="1:9" ht="12.5">
      <c r="A951" s="9"/>
      <c r="B951" s="9"/>
      <c r="C951" s="9"/>
      <c r="D951" s="9"/>
      <c r="E951" s="9"/>
      <c r="F951" s="9"/>
      <c r="G951" s="179" t="e">
        <f t="shared" si="11"/>
        <v>#DIV/0!</v>
      </c>
      <c r="H951" s="135" t="e">
        <f t="shared" si="13"/>
        <v>#DIV/0!</v>
      </c>
      <c r="I951" s="179" t="e">
        <f t="shared" si="12"/>
        <v>#DIV/0!</v>
      </c>
    </row>
    <row r="952" spans="1:9" ht="12.5">
      <c r="A952" s="9"/>
      <c r="B952" s="9"/>
      <c r="C952" s="9"/>
      <c r="D952" s="9"/>
      <c r="E952" s="9"/>
      <c r="F952" s="9"/>
      <c r="G952" s="179" t="e">
        <f t="shared" si="11"/>
        <v>#DIV/0!</v>
      </c>
      <c r="H952" s="135" t="e">
        <f t="shared" si="13"/>
        <v>#DIV/0!</v>
      </c>
      <c r="I952" s="179" t="e">
        <f t="shared" si="12"/>
        <v>#DIV/0!</v>
      </c>
    </row>
    <row r="953" spans="1:9" ht="12.5">
      <c r="A953" s="9"/>
      <c r="B953" s="9"/>
      <c r="C953" s="9"/>
      <c r="D953" s="9"/>
      <c r="E953" s="9"/>
      <c r="F953" s="9"/>
      <c r="G953" s="179" t="e">
        <f t="shared" si="11"/>
        <v>#DIV/0!</v>
      </c>
      <c r="H953" s="135" t="e">
        <f t="shared" si="13"/>
        <v>#DIV/0!</v>
      </c>
      <c r="I953" s="179" t="e">
        <f t="shared" si="12"/>
        <v>#DIV/0!</v>
      </c>
    </row>
    <row r="954" spans="1:9" ht="12.5">
      <c r="A954" s="9"/>
      <c r="B954" s="9"/>
      <c r="C954" s="9"/>
      <c r="D954" s="9"/>
      <c r="E954" s="9"/>
      <c r="F954" s="9"/>
      <c r="G954" s="179" t="e">
        <f t="shared" si="11"/>
        <v>#DIV/0!</v>
      </c>
      <c r="H954" s="135" t="e">
        <f t="shared" si="13"/>
        <v>#DIV/0!</v>
      </c>
      <c r="I954" s="179" t="e">
        <f t="shared" si="12"/>
        <v>#DIV/0!</v>
      </c>
    </row>
    <row r="955" spans="1:9" ht="12.5">
      <c r="A955" s="9"/>
      <c r="B955" s="9"/>
      <c r="C955" s="9"/>
      <c r="D955" s="9"/>
      <c r="E955" s="9"/>
      <c r="F955" s="9"/>
      <c r="G955" s="179" t="e">
        <f t="shared" si="11"/>
        <v>#DIV/0!</v>
      </c>
      <c r="H955" s="135" t="e">
        <f t="shared" si="13"/>
        <v>#DIV/0!</v>
      </c>
      <c r="I955" s="179" t="e">
        <f t="shared" si="12"/>
        <v>#DIV/0!</v>
      </c>
    </row>
    <row r="956" spans="1:9" ht="12.5">
      <c r="A956" s="9"/>
      <c r="B956" s="9"/>
      <c r="C956" s="9"/>
      <c r="D956" s="9"/>
      <c r="E956" s="9"/>
      <c r="F956" s="9"/>
      <c r="G956" s="179" t="e">
        <f t="shared" si="11"/>
        <v>#DIV/0!</v>
      </c>
      <c r="H956" s="135" t="e">
        <f t="shared" si="13"/>
        <v>#DIV/0!</v>
      </c>
      <c r="I956" s="179" t="e">
        <f t="shared" si="12"/>
        <v>#DIV/0!</v>
      </c>
    </row>
    <row r="957" spans="1:9" ht="12.5">
      <c r="A957" s="9"/>
      <c r="B957" s="9"/>
      <c r="C957" s="9"/>
      <c r="D957" s="9"/>
      <c r="E957" s="9"/>
      <c r="F957" s="9"/>
      <c r="G957" s="179" t="e">
        <f t="shared" si="11"/>
        <v>#DIV/0!</v>
      </c>
      <c r="H957" s="135" t="e">
        <f t="shared" si="13"/>
        <v>#DIV/0!</v>
      </c>
      <c r="I957" s="179" t="e">
        <f t="shared" si="12"/>
        <v>#DIV/0!</v>
      </c>
    </row>
    <row r="958" spans="1:9" ht="12.5">
      <c r="A958" s="9"/>
      <c r="B958" s="9"/>
      <c r="C958" s="9"/>
      <c r="D958" s="9"/>
      <c r="E958" s="9"/>
      <c r="F958" s="9"/>
      <c r="G958" s="179" t="e">
        <f t="shared" si="11"/>
        <v>#DIV/0!</v>
      </c>
      <c r="H958" s="135" t="e">
        <f t="shared" si="13"/>
        <v>#DIV/0!</v>
      </c>
      <c r="I958" s="179" t="e">
        <f t="shared" si="12"/>
        <v>#DIV/0!</v>
      </c>
    </row>
    <row r="959" spans="1:9" ht="12.5">
      <c r="A959" s="9"/>
      <c r="B959" s="9"/>
      <c r="C959" s="9"/>
      <c r="D959" s="9"/>
      <c r="E959" s="9"/>
      <c r="F959" s="9"/>
      <c r="G959" s="179" t="e">
        <f t="shared" si="11"/>
        <v>#DIV/0!</v>
      </c>
      <c r="H959" s="135" t="e">
        <f t="shared" si="13"/>
        <v>#DIV/0!</v>
      </c>
      <c r="I959" s="179" t="e">
        <f t="shared" si="12"/>
        <v>#DIV/0!</v>
      </c>
    </row>
    <row r="960" spans="1:9" ht="12.5">
      <c r="A960" s="9"/>
      <c r="B960" s="9"/>
      <c r="C960" s="9"/>
      <c r="D960" s="9"/>
      <c r="E960" s="9"/>
      <c r="F960" s="9"/>
      <c r="G960" s="179" t="e">
        <f t="shared" si="11"/>
        <v>#DIV/0!</v>
      </c>
      <c r="H960" s="135" t="e">
        <f t="shared" si="13"/>
        <v>#DIV/0!</v>
      </c>
      <c r="I960" s="179" t="e">
        <f t="shared" si="12"/>
        <v>#DIV/0!</v>
      </c>
    </row>
    <row r="961" spans="1:9" ht="12.5">
      <c r="A961" s="9"/>
      <c r="B961" s="9"/>
      <c r="C961" s="9"/>
      <c r="D961" s="9"/>
      <c r="E961" s="9"/>
      <c r="F961" s="9"/>
      <c r="G961" s="179" t="e">
        <f t="shared" si="11"/>
        <v>#DIV/0!</v>
      </c>
      <c r="H961" s="135" t="e">
        <f t="shared" si="13"/>
        <v>#DIV/0!</v>
      </c>
      <c r="I961" s="179" t="e">
        <f t="shared" si="12"/>
        <v>#DIV/0!</v>
      </c>
    </row>
    <row r="962" spans="1:9" ht="12.5">
      <c r="A962" s="9"/>
      <c r="B962" s="9"/>
      <c r="C962" s="9"/>
      <c r="D962" s="9"/>
      <c r="E962" s="9"/>
      <c r="F962" s="9"/>
      <c r="G962" s="179" t="e">
        <f t="shared" si="11"/>
        <v>#DIV/0!</v>
      </c>
      <c r="H962" s="135" t="e">
        <f t="shared" si="13"/>
        <v>#DIV/0!</v>
      </c>
      <c r="I962" s="179" t="e">
        <f t="shared" si="12"/>
        <v>#DIV/0!</v>
      </c>
    </row>
    <row r="963" spans="1:9" ht="12.5">
      <c r="A963" s="9"/>
      <c r="B963" s="9"/>
      <c r="C963" s="9"/>
      <c r="D963" s="9"/>
      <c r="E963" s="9"/>
      <c r="F963" s="9"/>
      <c r="G963" s="179" t="e">
        <f t="shared" si="11"/>
        <v>#DIV/0!</v>
      </c>
      <c r="H963" s="135" t="e">
        <f t="shared" si="13"/>
        <v>#DIV/0!</v>
      </c>
      <c r="I963" s="179" t="e">
        <f t="shared" si="12"/>
        <v>#DIV/0!</v>
      </c>
    </row>
    <row r="964" spans="1:9" ht="12.5">
      <c r="A964" s="9"/>
      <c r="B964" s="9"/>
      <c r="C964" s="9"/>
      <c r="D964" s="9"/>
      <c r="E964" s="9"/>
      <c r="F964" s="9"/>
      <c r="G964" s="179" t="e">
        <f t="shared" si="11"/>
        <v>#DIV/0!</v>
      </c>
      <c r="H964" s="135" t="e">
        <f t="shared" si="13"/>
        <v>#DIV/0!</v>
      </c>
      <c r="I964" s="179" t="e">
        <f t="shared" si="12"/>
        <v>#DIV/0!</v>
      </c>
    </row>
    <row r="965" spans="1:9" ht="12.5">
      <c r="A965" s="9"/>
      <c r="B965" s="9"/>
      <c r="C965" s="9"/>
      <c r="D965" s="9"/>
      <c r="E965" s="9"/>
      <c r="F965" s="9"/>
      <c r="G965" s="179" t="e">
        <f t="shared" si="11"/>
        <v>#DIV/0!</v>
      </c>
      <c r="H965" s="135" t="e">
        <f t="shared" si="13"/>
        <v>#DIV/0!</v>
      </c>
      <c r="I965" s="179" t="e">
        <f t="shared" si="12"/>
        <v>#DIV/0!</v>
      </c>
    </row>
    <row r="966" spans="1:9" ht="12.5">
      <c r="A966" s="9"/>
      <c r="B966" s="9"/>
      <c r="C966" s="9"/>
      <c r="D966" s="9"/>
      <c r="E966" s="9"/>
      <c r="F966" s="9"/>
      <c r="G966" s="179" t="e">
        <f t="shared" si="11"/>
        <v>#DIV/0!</v>
      </c>
      <c r="H966" s="135" t="e">
        <f t="shared" si="13"/>
        <v>#DIV/0!</v>
      </c>
      <c r="I966" s="179" t="e">
        <f t="shared" si="12"/>
        <v>#DIV/0!</v>
      </c>
    </row>
    <row r="967" spans="1:9" ht="12.5">
      <c r="A967" s="9"/>
      <c r="B967" s="9"/>
      <c r="C967" s="9"/>
      <c r="D967" s="9"/>
      <c r="E967" s="9"/>
      <c r="F967" s="9"/>
      <c r="G967" s="179" t="e">
        <f t="shared" si="11"/>
        <v>#DIV/0!</v>
      </c>
      <c r="H967" s="135" t="e">
        <f t="shared" si="13"/>
        <v>#DIV/0!</v>
      </c>
      <c r="I967" s="179" t="e">
        <f t="shared" si="12"/>
        <v>#DIV/0!</v>
      </c>
    </row>
    <row r="968" spans="1:9" ht="12.5">
      <c r="A968" s="9"/>
      <c r="B968" s="9"/>
      <c r="C968" s="9"/>
      <c r="D968" s="9"/>
      <c r="E968" s="9"/>
      <c r="F968" s="9"/>
      <c r="G968" s="179" t="e">
        <f t="shared" si="11"/>
        <v>#DIV/0!</v>
      </c>
      <c r="H968" s="135" t="e">
        <f t="shared" si="13"/>
        <v>#DIV/0!</v>
      </c>
      <c r="I968" s="179" t="e">
        <f t="shared" si="12"/>
        <v>#DIV/0!</v>
      </c>
    </row>
    <row r="969" spans="1:9" ht="12.5">
      <c r="A969" s="9"/>
      <c r="B969" s="9"/>
      <c r="C969" s="9"/>
      <c r="D969" s="9"/>
      <c r="E969" s="9"/>
      <c r="F969" s="9"/>
      <c r="G969" s="179" t="e">
        <f t="shared" si="11"/>
        <v>#DIV/0!</v>
      </c>
      <c r="H969" s="135" t="e">
        <f t="shared" si="13"/>
        <v>#DIV/0!</v>
      </c>
      <c r="I969" s="179" t="e">
        <f t="shared" si="12"/>
        <v>#DIV/0!</v>
      </c>
    </row>
    <row r="970" spans="1:9" ht="12.5">
      <c r="A970" s="9"/>
      <c r="B970" s="9"/>
      <c r="C970" s="9"/>
      <c r="D970" s="9"/>
      <c r="E970" s="9"/>
      <c r="F970" s="9"/>
      <c r="G970" s="179" t="e">
        <f t="shared" si="11"/>
        <v>#DIV/0!</v>
      </c>
      <c r="H970" s="135" t="e">
        <f t="shared" si="13"/>
        <v>#DIV/0!</v>
      </c>
      <c r="I970" s="179" t="e">
        <f t="shared" si="12"/>
        <v>#DIV/0!</v>
      </c>
    </row>
    <row r="971" spans="1:9" ht="12.5">
      <c r="A971" s="9"/>
      <c r="B971" s="9"/>
      <c r="C971" s="9"/>
      <c r="D971" s="9"/>
      <c r="E971" s="9"/>
      <c r="F971" s="9"/>
      <c r="G971" s="179" t="e">
        <f t="shared" si="11"/>
        <v>#DIV/0!</v>
      </c>
      <c r="H971" s="135" t="e">
        <f t="shared" si="13"/>
        <v>#DIV/0!</v>
      </c>
      <c r="I971" s="179" t="e">
        <f t="shared" si="12"/>
        <v>#DIV/0!</v>
      </c>
    </row>
    <row r="972" spans="1:9" ht="12.5">
      <c r="A972" s="9"/>
      <c r="B972" s="9"/>
      <c r="C972" s="9"/>
      <c r="D972" s="9"/>
      <c r="E972" s="9"/>
      <c r="F972" s="9"/>
      <c r="G972" s="179" t="e">
        <f t="shared" si="11"/>
        <v>#DIV/0!</v>
      </c>
      <c r="H972" s="135" t="e">
        <f t="shared" si="13"/>
        <v>#DIV/0!</v>
      </c>
      <c r="I972" s="179" t="e">
        <f t="shared" si="12"/>
        <v>#DIV/0!</v>
      </c>
    </row>
    <row r="973" spans="1:9" ht="12.5">
      <c r="A973" s="9"/>
      <c r="B973" s="9"/>
      <c r="C973" s="9"/>
      <c r="D973" s="9"/>
      <c r="E973" s="9"/>
      <c r="F973" s="9"/>
      <c r="G973" s="179" t="e">
        <f t="shared" si="11"/>
        <v>#DIV/0!</v>
      </c>
      <c r="H973" s="135" t="e">
        <f t="shared" si="13"/>
        <v>#DIV/0!</v>
      </c>
      <c r="I973" s="179" t="e">
        <f t="shared" si="12"/>
        <v>#DIV/0!</v>
      </c>
    </row>
    <row r="974" spans="1:9" ht="12.5">
      <c r="A974" s="9"/>
      <c r="B974" s="9"/>
      <c r="C974" s="9"/>
      <c r="D974" s="9"/>
      <c r="E974" s="9"/>
      <c r="F974" s="9"/>
      <c r="G974" s="179" t="e">
        <f t="shared" si="11"/>
        <v>#DIV/0!</v>
      </c>
      <c r="H974" s="135" t="e">
        <f t="shared" si="13"/>
        <v>#DIV/0!</v>
      </c>
      <c r="I974" s="179" t="e">
        <f t="shared" si="12"/>
        <v>#DIV/0!</v>
      </c>
    </row>
    <row r="975" spans="1:9" ht="12.5">
      <c r="A975" s="9"/>
      <c r="B975" s="9"/>
      <c r="C975" s="9"/>
      <c r="D975" s="9"/>
      <c r="E975" s="9"/>
      <c r="F975" s="9"/>
      <c r="G975" s="179" t="e">
        <f t="shared" si="11"/>
        <v>#DIV/0!</v>
      </c>
      <c r="H975" s="135" t="e">
        <f t="shared" si="13"/>
        <v>#DIV/0!</v>
      </c>
      <c r="I975" s="179" t="e">
        <f t="shared" si="12"/>
        <v>#DIV/0!</v>
      </c>
    </row>
    <row r="976" spans="1:9" ht="12.5">
      <c r="A976" s="9"/>
      <c r="B976" s="9"/>
      <c r="C976" s="9"/>
      <c r="D976" s="9"/>
      <c r="E976" s="9"/>
      <c r="F976" s="9"/>
      <c r="G976" s="179" t="e">
        <f t="shared" si="11"/>
        <v>#DIV/0!</v>
      </c>
      <c r="H976" s="135" t="e">
        <f t="shared" si="13"/>
        <v>#DIV/0!</v>
      </c>
      <c r="I976" s="179" t="e">
        <f t="shared" si="12"/>
        <v>#DIV/0!</v>
      </c>
    </row>
    <row r="977" spans="1:9" ht="12.5">
      <c r="A977" s="9"/>
      <c r="B977" s="9"/>
      <c r="C977" s="9"/>
      <c r="D977" s="9"/>
      <c r="E977" s="9"/>
      <c r="F977" s="9"/>
      <c r="G977" s="179" t="e">
        <f t="shared" si="11"/>
        <v>#DIV/0!</v>
      </c>
      <c r="H977" s="135" t="e">
        <f t="shared" si="13"/>
        <v>#DIV/0!</v>
      </c>
      <c r="I977" s="179" t="e">
        <f t="shared" si="12"/>
        <v>#DIV/0!</v>
      </c>
    </row>
    <row r="978" spans="1:9" ht="12.5">
      <c r="A978" s="9"/>
      <c r="B978" s="9"/>
      <c r="C978" s="9"/>
      <c r="D978" s="9"/>
      <c r="E978" s="9"/>
      <c r="F978" s="9"/>
      <c r="G978" s="179" t="e">
        <f t="shared" si="11"/>
        <v>#DIV/0!</v>
      </c>
      <c r="H978" s="135" t="e">
        <f t="shared" si="13"/>
        <v>#DIV/0!</v>
      </c>
      <c r="I978" s="179" t="e">
        <f t="shared" si="12"/>
        <v>#DIV/0!</v>
      </c>
    </row>
    <row r="979" spans="1:9" ht="12.5">
      <c r="A979" s="9"/>
      <c r="B979" s="9"/>
      <c r="C979" s="9"/>
      <c r="D979" s="9"/>
      <c r="E979" s="9"/>
      <c r="F979" s="9"/>
      <c r="G979" s="179" t="e">
        <f t="shared" si="11"/>
        <v>#DIV/0!</v>
      </c>
      <c r="H979" s="135" t="e">
        <f t="shared" si="13"/>
        <v>#DIV/0!</v>
      </c>
      <c r="I979" s="179" t="e">
        <f t="shared" si="12"/>
        <v>#DIV/0!</v>
      </c>
    </row>
    <row r="980" spans="1:9" ht="12.5">
      <c r="A980" s="9"/>
      <c r="B980" s="9"/>
      <c r="C980" s="9"/>
      <c r="D980" s="9"/>
      <c r="E980" s="9"/>
      <c r="F980" s="9"/>
      <c r="G980" s="179" t="e">
        <f t="shared" si="11"/>
        <v>#DIV/0!</v>
      </c>
      <c r="H980" s="135" t="e">
        <f t="shared" si="13"/>
        <v>#DIV/0!</v>
      </c>
      <c r="I980" s="179" t="e">
        <f t="shared" si="12"/>
        <v>#DIV/0!</v>
      </c>
    </row>
    <row r="981" spans="1:9" ht="12.5">
      <c r="A981" s="9"/>
      <c r="B981" s="9"/>
      <c r="C981" s="9"/>
      <c r="D981" s="9"/>
      <c r="E981" s="9"/>
      <c r="F981" s="9"/>
      <c r="G981" s="179" t="e">
        <f t="shared" si="11"/>
        <v>#DIV/0!</v>
      </c>
      <c r="H981" s="135" t="e">
        <f t="shared" si="13"/>
        <v>#DIV/0!</v>
      </c>
      <c r="I981" s="179" t="e">
        <f t="shared" si="12"/>
        <v>#DIV/0!</v>
      </c>
    </row>
    <row r="982" spans="1:9" ht="12.5">
      <c r="A982" s="9"/>
      <c r="B982" s="9"/>
      <c r="C982" s="9"/>
      <c r="D982" s="9"/>
      <c r="E982" s="9"/>
      <c r="F982" s="9"/>
      <c r="G982" s="179" t="e">
        <f t="shared" si="11"/>
        <v>#DIV/0!</v>
      </c>
      <c r="H982" s="135" t="e">
        <f t="shared" si="13"/>
        <v>#DIV/0!</v>
      </c>
      <c r="I982" s="179" t="e">
        <f t="shared" si="12"/>
        <v>#DIV/0!</v>
      </c>
    </row>
    <row r="983" spans="1:9" ht="12.5">
      <c r="A983" s="9"/>
      <c r="B983" s="9"/>
      <c r="C983" s="9"/>
      <c r="D983" s="9"/>
      <c r="E983" s="9"/>
      <c r="F983" s="9"/>
      <c r="G983" s="179" t="e">
        <f t="shared" si="11"/>
        <v>#DIV/0!</v>
      </c>
      <c r="H983" s="135" t="e">
        <f t="shared" si="13"/>
        <v>#DIV/0!</v>
      </c>
      <c r="I983" s="179" t="e">
        <f t="shared" si="12"/>
        <v>#DIV/0!</v>
      </c>
    </row>
    <row r="984" spans="1:9" ht="12.5">
      <c r="A984" s="9"/>
      <c r="B984" s="9"/>
      <c r="C984" s="9"/>
      <c r="D984" s="9"/>
      <c r="E984" s="9"/>
      <c r="F984" s="9"/>
      <c r="G984" s="179" t="e">
        <f t="shared" si="11"/>
        <v>#DIV/0!</v>
      </c>
      <c r="H984" s="135" t="e">
        <f t="shared" si="13"/>
        <v>#DIV/0!</v>
      </c>
      <c r="I984" s="179" t="e">
        <f t="shared" si="12"/>
        <v>#DIV/0!</v>
      </c>
    </row>
    <row r="985" spans="1:9" ht="12.5">
      <c r="A985" s="9"/>
      <c r="B985" s="9"/>
      <c r="C985" s="9"/>
      <c r="D985" s="9"/>
      <c r="E985" s="9"/>
      <c r="F985" s="9"/>
      <c r="G985" s="179" t="e">
        <f t="shared" si="11"/>
        <v>#DIV/0!</v>
      </c>
      <c r="H985" s="135" t="e">
        <f t="shared" si="13"/>
        <v>#DIV/0!</v>
      </c>
      <c r="I985" s="179" t="e">
        <f t="shared" si="12"/>
        <v>#DIV/0!</v>
      </c>
    </row>
    <row r="986" spans="1:9" ht="12.5">
      <c r="A986" s="9"/>
      <c r="B986" s="9"/>
      <c r="C986" s="9"/>
      <c r="D986" s="9"/>
      <c r="E986" s="9"/>
      <c r="F986" s="9"/>
      <c r="G986" s="179" t="e">
        <f t="shared" si="11"/>
        <v>#DIV/0!</v>
      </c>
      <c r="H986" s="135" t="e">
        <f t="shared" si="13"/>
        <v>#DIV/0!</v>
      </c>
      <c r="I986" s="179" t="e">
        <f t="shared" si="12"/>
        <v>#DIV/0!</v>
      </c>
    </row>
    <row r="987" spans="1:9" ht="12.5">
      <c r="A987" s="9"/>
      <c r="B987" s="9"/>
      <c r="C987" s="9"/>
      <c r="D987" s="9"/>
      <c r="E987" s="9"/>
      <c r="F987" s="9"/>
      <c r="G987" s="179" t="e">
        <f t="shared" si="11"/>
        <v>#DIV/0!</v>
      </c>
      <c r="H987" s="135" t="e">
        <f t="shared" si="13"/>
        <v>#DIV/0!</v>
      </c>
      <c r="I987" s="179" t="e">
        <f t="shared" si="12"/>
        <v>#DIV/0!</v>
      </c>
    </row>
    <row r="988" spans="1:9" ht="12.5">
      <c r="A988" s="9"/>
      <c r="B988" s="9"/>
      <c r="C988" s="9"/>
      <c r="D988" s="9"/>
      <c r="E988" s="9"/>
      <c r="F988" s="9"/>
      <c r="G988" s="179" t="e">
        <f t="shared" si="11"/>
        <v>#DIV/0!</v>
      </c>
      <c r="H988" s="135" t="e">
        <f t="shared" si="13"/>
        <v>#DIV/0!</v>
      </c>
      <c r="I988" s="179" t="e">
        <f t="shared" si="12"/>
        <v>#DIV/0!</v>
      </c>
    </row>
    <row r="989" spans="1:9" ht="12.5">
      <c r="A989" s="9"/>
      <c r="B989" s="9"/>
      <c r="C989" s="9"/>
      <c r="D989" s="9"/>
      <c r="E989" s="9"/>
      <c r="F989" s="9"/>
      <c r="G989" s="179" t="e">
        <f t="shared" si="11"/>
        <v>#DIV/0!</v>
      </c>
      <c r="H989" s="135" t="e">
        <f t="shared" si="13"/>
        <v>#DIV/0!</v>
      </c>
      <c r="I989" s="179" t="e">
        <f t="shared" si="12"/>
        <v>#DIV/0!</v>
      </c>
    </row>
    <row r="990" spans="1:9" ht="12.5">
      <c r="A990" s="9"/>
      <c r="B990" s="9"/>
      <c r="C990" s="9"/>
      <c r="D990" s="9"/>
      <c r="E990" s="9"/>
      <c r="F990" s="9"/>
      <c r="G990" s="179" t="e">
        <f t="shared" si="11"/>
        <v>#DIV/0!</v>
      </c>
      <c r="H990" s="135" t="e">
        <f t="shared" si="13"/>
        <v>#DIV/0!</v>
      </c>
      <c r="I990" s="179" t="e">
        <f t="shared" si="12"/>
        <v>#DIV/0!</v>
      </c>
    </row>
    <row r="991" spans="1:9" ht="12.5">
      <c r="A991" s="9"/>
      <c r="B991" s="9"/>
      <c r="C991" s="9"/>
      <c r="D991" s="9"/>
      <c r="E991" s="9"/>
      <c r="F991" s="9"/>
      <c r="G991" s="179" t="e">
        <f t="shared" si="11"/>
        <v>#DIV/0!</v>
      </c>
      <c r="H991" s="135" t="e">
        <f t="shared" si="13"/>
        <v>#DIV/0!</v>
      </c>
      <c r="I991" s="179" t="e">
        <f t="shared" si="12"/>
        <v>#DIV/0!</v>
      </c>
    </row>
    <row r="992" spans="1:9" ht="12.5">
      <c r="A992" s="9"/>
      <c r="B992" s="9"/>
      <c r="C992" s="9"/>
      <c r="D992" s="9"/>
      <c r="E992" s="9"/>
      <c r="F992" s="9"/>
      <c r="G992" s="179" t="e">
        <f t="shared" si="11"/>
        <v>#DIV/0!</v>
      </c>
      <c r="H992" s="135" t="e">
        <f t="shared" si="13"/>
        <v>#DIV/0!</v>
      </c>
      <c r="I992" s="179" t="e">
        <f t="shared" si="12"/>
        <v>#DIV/0!</v>
      </c>
    </row>
    <row r="993" spans="1:9" ht="12.5">
      <c r="A993" s="9"/>
      <c r="B993" s="9"/>
      <c r="C993" s="9"/>
      <c r="D993" s="9"/>
      <c r="E993" s="9"/>
      <c r="F993" s="9"/>
      <c r="G993" s="179" t="e">
        <f t="shared" si="11"/>
        <v>#DIV/0!</v>
      </c>
      <c r="H993" s="135" t="e">
        <f t="shared" si="13"/>
        <v>#DIV/0!</v>
      </c>
      <c r="I993" s="179" t="e">
        <f t="shared" si="12"/>
        <v>#DIV/0!</v>
      </c>
    </row>
    <row r="994" spans="1:9" ht="12.5">
      <c r="A994" s="9"/>
      <c r="B994" s="9"/>
      <c r="C994" s="9"/>
      <c r="D994" s="9"/>
      <c r="E994" s="9"/>
      <c r="F994" s="9"/>
      <c r="G994" s="179" t="e">
        <f t="shared" si="11"/>
        <v>#DIV/0!</v>
      </c>
      <c r="H994" s="135" t="e">
        <f t="shared" si="13"/>
        <v>#DIV/0!</v>
      </c>
      <c r="I994" s="179" t="e">
        <f t="shared" si="12"/>
        <v>#DIV/0!</v>
      </c>
    </row>
    <row r="995" spans="1:9" ht="12.5">
      <c r="A995" s="9"/>
      <c r="B995" s="9"/>
      <c r="C995" s="9"/>
      <c r="D995" s="9"/>
      <c r="E995" s="9"/>
      <c r="F995" s="9"/>
      <c r="G995" s="179" t="e">
        <f t="shared" si="11"/>
        <v>#DIV/0!</v>
      </c>
      <c r="H995" s="135" t="e">
        <f t="shared" si="13"/>
        <v>#DIV/0!</v>
      </c>
      <c r="I995" s="179" t="e">
        <f t="shared" si="12"/>
        <v>#DIV/0!</v>
      </c>
    </row>
    <row r="996" spans="1:9" ht="12.5">
      <c r="A996" s="9"/>
      <c r="B996" s="9"/>
      <c r="C996" s="9"/>
      <c r="D996" s="9"/>
      <c r="E996" s="9"/>
      <c r="F996" s="9"/>
      <c r="G996" s="179" t="e">
        <f t="shared" si="11"/>
        <v>#DIV/0!</v>
      </c>
      <c r="H996" s="135" t="e">
        <f t="shared" si="13"/>
        <v>#DIV/0!</v>
      </c>
      <c r="I996" s="179" t="e">
        <f t="shared" si="12"/>
        <v>#DIV/0!</v>
      </c>
    </row>
    <row r="997" spans="1:9" ht="12.5">
      <c r="A997" s="9"/>
      <c r="B997" s="9"/>
      <c r="C997" s="9"/>
      <c r="D997" s="9"/>
      <c r="E997" s="9"/>
      <c r="F997" s="9"/>
      <c r="G997" s="179" t="e">
        <f t="shared" si="11"/>
        <v>#DIV/0!</v>
      </c>
      <c r="H997" s="135" t="e">
        <f t="shared" si="13"/>
        <v>#DIV/0!</v>
      </c>
      <c r="I997" s="179" t="e">
        <f t="shared" si="12"/>
        <v>#DIV/0!</v>
      </c>
    </row>
    <row r="998" spans="1:9" ht="12.5">
      <c r="A998" s="9"/>
      <c r="B998" s="9"/>
      <c r="C998" s="9"/>
      <c r="D998" s="9"/>
      <c r="E998" s="9"/>
      <c r="F998" s="9"/>
      <c r="G998" s="179" t="e">
        <f t="shared" si="11"/>
        <v>#DIV/0!</v>
      </c>
      <c r="H998" s="135" t="e">
        <f t="shared" si="13"/>
        <v>#DIV/0!</v>
      </c>
      <c r="I998" s="179" t="e">
        <f t="shared" si="12"/>
        <v>#DIV/0!</v>
      </c>
    </row>
    <row r="999" spans="1:9" ht="12.5">
      <c r="A999" s="9"/>
      <c r="B999" s="9"/>
      <c r="C999" s="9"/>
      <c r="D999" s="9"/>
      <c r="E999" s="9"/>
      <c r="F999" s="9"/>
      <c r="G999" s="179" t="e">
        <f t="shared" si="11"/>
        <v>#DIV/0!</v>
      </c>
      <c r="H999" s="135" t="e">
        <f t="shared" si="13"/>
        <v>#DIV/0!</v>
      </c>
      <c r="I999" s="179" t="e">
        <f t="shared" si="12"/>
        <v>#DIV/0!</v>
      </c>
    </row>
    <row r="1000" spans="1:9" ht="12.5">
      <c r="A1000" s="9"/>
      <c r="B1000" s="9"/>
      <c r="C1000" s="9"/>
      <c r="D1000" s="9"/>
      <c r="E1000" s="9"/>
      <c r="F1000" s="9"/>
      <c r="G1000" s="179" t="e">
        <f t="shared" si="11"/>
        <v>#DIV/0!</v>
      </c>
      <c r="H1000" s="135" t="e">
        <f t="shared" si="13"/>
        <v>#DIV/0!</v>
      </c>
      <c r="I1000" s="179" t="e">
        <f t="shared" si="12"/>
        <v>#DIV/0!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765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4" max="4" width="14.7265625" customWidth="1"/>
  </cols>
  <sheetData>
    <row r="1" spans="1:4">
      <c r="A1" s="185" t="s">
        <v>747</v>
      </c>
      <c r="B1" s="185" t="s">
        <v>748</v>
      </c>
      <c r="C1" s="185" t="s">
        <v>71</v>
      </c>
      <c r="D1" s="185" t="s">
        <v>749</v>
      </c>
    </row>
    <row r="2" spans="1:4" ht="15.75" customHeight="1">
      <c r="A2" s="186">
        <v>46146</v>
      </c>
      <c r="B2" s="187">
        <v>7002028925</v>
      </c>
      <c r="C2" s="187">
        <v>1</v>
      </c>
      <c r="D2" s="187" t="s">
        <v>750</v>
      </c>
    </row>
    <row r="3" spans="1:4" ht="15.75" customHeight="1">
      <c r="A3" s="186">
        <v>46146</v>
      </c>
      <c r="B3" s="187">
        <v>7002103737</v>
      </c>
      <c r="C3" s="187">
        <v>2</v>
      </c>
      <c r="D3" s="187" t="s">
        <v>751</v>
      </c>
    </row>
    <row r="4" spans="1:4" ht="15.75" customHeight="1">
      <c r="A4" s="186">
        <v>46146</v>
      </c>
      <c r="B4" s="187">
        <v>7002109956</v>
      </c>
      <c r="C4" s="187">
        <v>4</v>
      </c>
      <c r="D4" s="187" t="s">
        <v>751</v>
      </c>
    </row>
    <row r="5" spans="1:4" ht="15.75" customHeight="1">
      <c r="A5" s="186">
        <v>46146</v>
      </c>
      <c r="B5" s="187">
        <v>7002113171</v>
      </c>
      <c r="C5" s="187">
        <v>2</v>
      </c>
      <c r="D5" s="187" t="s">
        <v>751</v>
      </c>
    </row>
    <row r="6" spans="1:4" ht="15.75" customHeight="1">
      <c r="A6" s="186">
        <v>46146</v>
      </c>
      <c r="B6" s="187">
        <v>7002204121</v>
      </c>
      <c r="C6" s="187">
        <v>4</v>
      </c>
      <c r="D6" s="187" t="s">
        <v>751</v>
      </c>
    </row>
    <row r="7" spans="1:4" ht="15.75" customHeight="1">
      <c r="A7" s="186">
        <v>46146</v>
      </c>
      <c r="B7" s="187">
        <v>7002107872</v>
      </c>
      <c r="C7" s="187">
        <v>92</v>
      </c>
      <c r="D7" s="187" t="s">
        <v>752</v>
      </c>
    </row>
    <row r="8" spans="1:4" ht="15.75" customHeight="1">
      <c r="A8" s="186">
        <v>46146</v>
      </c>
      <c r="B8" s="187">
        <v>7002124407</v>
      </c>
      <c r="C8" s="187">
        <v>84</v>
      </c>
      <c r="D8" s="187" t="s">
        <v>752</v>
      </c>
    </row>
    <row r="9" spans="1:4" ht="15.75" customHeight="1">
      <c r="A9" s="186">
        <v>46146</v>
      </c>
      <c r="B9" s="187">
        <v>7002019114</v>
      </c>
      <c r="C9" s="187">
        <v>74</v>
      </c>
      <c r="D9" s="187" t="s">
        <v>752</v>
      </c>
    </row>
    <row r="10" spans="1:4" ht="15.75" customHeight="1">
      <c r="A10" s="186">
        <v>46146</v>
      </c>
      <c r="B10" s="187">
        <v>7001805726</v>
      </c>
      <c r="C10" s="187">
        <v>17</v>
      </c>
      <c r="D10" s="187" t="s">
        <v>752</v>
      </c>
    </row>
    <row r="11" spans="1:4" ht="15.75" customHeight="1">
      <c r="A11" s="186">
        <v>46146</v>
      </c>
      <c r="B11" s="188">
        <v>7002028781</v>
      </c>
      <c r="C11" s="188">
        <v>3</v>
      </c>
      <c r="D11" s="187" t="s">
        <v>751</v>
      </c>
    </row>
    <row r="12" spans="1:4" ht="15.75" customHeight="1">
      <c r="A12" s="186">
        <v>46146</v>
      </c>
      <c r="B12" s="187">
        <v>7002060007</v>
      </c>
      <c r="C12" s="187">
        <v>17</v>
      </c>
      <c r="D12" s="187" t="s">
        <v>752</v>
      </c>
    </row>
    <row r="13" spans="1:4" ht="15.75" customHeight="1">
      <c r="A13" s="186">
        <v>46146</v>
      </c>
      <c r="B13" s="188">
        <v>7002060314</v>
      </c>
      <c r="C13" s="188">
        <v>4</v>
      </c>
      <c r="D13" s="187" t="s">
        <v>751</v>
      </c>
    </row>
    <row r="14" spans="1:4" ht="15.75" customHeight="1">
      <c r="A14" s="186">
        <v>46146</v>
      </c>
      <c r="B14" s="187">
        <v>7002064306</v>
      </c>
      <c r="C14" s="187">
        <v>1</v>
      </c>
      <c r="D14" s="187" t="s">
        <v>750</v>
      </c>
    </row>
    <row r="15" spans="1:4" ht="15.75" customHeight="1">
      <c r="A15" s="186">
        <v>46146</v>
      </c>
      <c r="B15" s="188">
        <v>7002069304</v>
      </c>
      <c r="C15" s="188">
        <v>3</v>
      </c>
      <c r="D15" s="187" t="s">
        <v>751</v>
      </c>
    </row>
    <row r="16" spans="1:4" ht="15.75" customHeight="1">
      <c r="A16" s="186">
        <v>46146</v>
      </c>
      <c r="B16" s="187">
        <v>7002085120</v>
      </c>
      <c r="C16" s="187">
        <v>7</v>
      </c>
      <c r="D16" s="187" t="s">
        <v>753</v>
      </c>
    </row>
    <row r="17" spans="1:4" ht="15.75" customHeight="1">
      <c r="A17" s="186">
        <v>46146</v>
      </c>
      <c r="B17" s="188">
        <v>7002100810</v>
      </c>
      <c r="C17" s="188">
        <v>4</v>
      </c>
      <c r="D17" s="187" t="s">
        <v>751</v>
      </c>
    </row>
    <row r="18" spans="1:4" ht="15.75" customHeight="1">
      <c r="A18" s="186">
        <v>46146</v>
      </c>
      <c r="B18" s="187">
        <v>7002114582</v>
      </c>
      <c r="C18" s="187">
        <v>53</v>
      </c>
      <c r="D18" s="187" t="s">
        <v>752</v>
      </c>
    </row>
    <row r="19" spans="1:4" ht="15.75" customHeight="1">
      <c r="A19" s="186">
        <v>46146</v>
      </c>
      <c r="B19" s="188">
        <v>7002124741</v>
      </c>
      <c r="C19" s="188">
        <v>1</v>
      </c>
      <c r="D19" s="187" t="s">
        <v>750</v>
      </c>
    </row>
    <row r="20" spans="1:4" ht="15.75" customHeight="1">
      <c r="A20" s="186">
        <v>46146</v>
      </c>
      <c r="B20" s="187">
        <v>7002128862</v>
      </c>
      <c r="C20" s="187">
        <v>10</v>
      </c>
      <c r="D20" s="187" t="s">
        <v>753</v>
      </c>
    </row>
    <row r="21" spans="1:4" ht="12.5">
      <c r="A21" s="186">
        <v>46146</v>
      </c>
      <c r="B21" s="188">
        <v>7002135278</v>
      </c>
      <c r="C21" s="188">
        <v>4</v>
      </c>
      <c r="D21" s="187" t="s">
        <v>751</v>
      </c>
    </row>
    <row r="22" spans="1:4" ht="12.5">
      <c r="A22" s="186">
        <v>46146</v>
      </c>
      <c r="B22" s="187">
        <v>7002147905</v>
      </c>
      <c r="C22" s="187">
        <v>9</v>
      </c>
      <c r="D22" s="187" t="s">
        <v>753</v>
      </c>
    </row>
    <row r="23" spans="1:4" ht="12.5">
      <c r="A23" s="186">
        <v>46146</v>
      </c>
      <c r="B23" s="188">
        <v>7002149246</v>
      </c>
      <c r="C23" s="188">
        <v>235</v>
      </c>
      <c r="D23" s="187" t="s">
        <v>752</v>
      </c>
    </row>
    <row r="24" spans="1:4" ht="12.5">
      <c r="A24" s="186">
        <v>46146</v>
      </c>
      <c r="B24" s="187">
        <v>7002149881</v>
      </c>
      <c r="C24" s="187">
        <v>7</v>
      </c>
      <c r="D24" s="187" t="s">
        <v>753</v>
      </c>
    </row>
    <row r="25" spans="1:4" ht="12.5">
      <c r="A25" s="186">
        <v>46146</v>
      </c>
      <c r="B25" s="188">
        <v>7002182313</v>
      </c>
      <c r="C25" s="188">
        <v>50</v>
      </c>
      <c r="D25" s="187" t="s">
        <v>752</v>
      </c>
    </row>
    <row r="26" spans="1:4" ht="12.5">
      <c r="A26" s="186">
        <v>46146</v>
      </c>
      <c r="B26" s="187">
        <v>7001954976</v>
      </c>
      <c r="C26" s="187">
        <v>4</v>
      </c>
      <c r="D26" s="187" t="s">
        <v>751</v>
      </c>
    </row>
    <row r="27" spans="1:4" ht="12.5">
      <c r="A27" s="186">
        <v>46146</v>
      </c>
      <c r="B27" s="188">
        <v>7001968002</v>
      </c>
      <c r="C27" s="188">
        <v>4</v>
      </c>
      <c r="D27" s="187" t="s">
        <v>751</v>
      </c>
    </row>
    <row r="28" spans="1:4" ht="12.5">
      <c r="A28" s="186">
        <v>46146</v>
      </c>
      <c r="B28" s="187">
        <v>7001980020</v>
      </c>
      <c r="C28" s="187">
        <v>13</v>
      </c>
      <c r="D28" s="187" t="s">
        <v>752</v>
      </c>
    </row>
    <row r="29" spans="1:4" ht="12.5">
      <c r="A29" s="186">
        <v>46146</v>
      </c>
      <c r="B29" s="188">
        <v>7001984009</v>
      </c>
      <c r="C29" s="188">
        <v>3</v>
      </c>
      <c r="D29" s="187" t="s">
        <v>751</v>
      </c>
    </row>
    <row r="30" spans="1:4" ht="12.5">
      <c r="A30" s="186">
        <v>46146</v>
      </c>
      <c r="B30" s="187">
        <v>7002031647</v>
      </c>
      <c r="C30" s="187">
        <v>3</v>
      </c>
      <c r="D30" s="187" t="s">
        <v>751</v>
      </c>
    </row>
    <row r="31" spans="1:4" ht="12.5">
      <c r="A31" s="186">
        <v>46146</v>
      </c>
      <c r="B31" s="188">
        <v>7002042901</v>
      </c>
      <c r="C31" s="188">
        <v>13</v>
      </c>
      <c r="D31" s="187" t="s">
        <v>752</v>
      </c>
    </row>
    <row r="32" spans="1:4" ht="12.5">
      <c r="A32" s="186">
        <v>46146</v>
      </c>
      <c r="B32" s="187">
        <v>7002056749</v>
      </c>
      <c r="C32" s="187">
        <v>15</v>
      </c>
      <c r="D32" s="187" t="s">
        <v>752</v>
      </c>
    </row>
    <row r="33" spans="1:4" ht="12.5">
      <c r="A33" s="186">
        <v>46146</v>
      </c>
      <c r="B33" s="188">
        <v>7002077961</v>
      </c>
      <c r="C33" s="188">
        <v>6</v>
      </c>
      <c r="D33" s="187" t="s">
        <v>753</v>
      </c>
    </row>
    <row r="34" spans="1:4" ht="12.5">
      <c r="A34" s="186">
        <v>46146</v>
      </c>
      <c r="B34" s="187">
        <v>7002078720</v>
      </c>
      <c r="C34" s="187">
        <v>4</v>
      </c>
      <c r="D34" s="187" t="s">
        <v>751</v>
      </c>
    </row>
    <row r="35" spans="1:4" ht="12.5">
      <c r="A35" s="186">
        <v>46146</v>
      </c>
      <c r="B35" s="188">
        <v>7002082417</v>
      </c>
      <c r="C35" s="188">
        <v>2</v>
      </c>
      <c r="D35" s="187" t="s">
        <v>751</v>
      </c>
    </row>
    <row r="36" spans="1:4" ht="12.5">
      <c r="A36" s="186">
        <v>46146</v>
      </c>
      <c r="B36" s="187">
        <v>7002097455</v>
      </c>
      <c r="C36" s="187">
        <v>8</v>
      </c>
      <c r="D36" s="187" t="s">
        <v>753</v>
      </c>
    </row>
    <row r="37" spans="1:4" ht="12.5">
      <c r="A37" s="186">
        <v>46146</v>
      </c>
      <c r="B37" s="188">
        <v>7002113613</v>
      </c>
      <c r="C37" s="188">
        <v>1</v>
      </c>
      <c r="D37" s="187" t="s">
        <v>750</v>
      </c>
    </row>
    <row r="38" spans="1:4" ht="12.5">
      <c r="A38" s="186">
        <v>46146</v>
      </c>
      <c r="B38" s="187">
        <v>7002120729</v>
      </c>
      <c r="C38" s="187">
        <v>9</v>
      </c>
      <c r="D38" s="187" t="s">
        <v>753</v>
      </c>
    </row>
    <row r="39" spans="1:4" ht="12.5">
      <c r="A39" s="186">
        <v>46146</v>
      </c>
      <c r="B39" s="188">
        <v>7002122912</v>
      </c>
      <c r="C39" s="188">
        <v>20</v>
      </c>
      <c r="D39" s="187" t="s">
        <v>752</v>
      </c>
    </row>
    <row r="40" spans="1:4" ht="12.5">
      <c r="A40" s="186">
        <v>46146</v>
      </c>
      <c r="B40" s="187">
        <v>7002129675</v>
      </c>
      <c r="C40" s="187">
        <v>2</v>
      </c>
      <c r="D40" s="187" t="s">
        <v>751</v>
      </c>
    </row>
    <row r="41" spans="1:4" ht="12.5">
      <c r="A41" s="186">
        <v>46146</v>
      </c>
      <c r="B41" s="188">
        <v>7002141530</v>
      </c>
      <c r="C41" s="188">
        <v>3</v>
      </c>
      <c r="D41" s="187" t="s">
        <v>751</v>
      </c>
    </row>
    <row r="42" spans="1:4" ht="12.5">
      <c r="A42" s="186">
        <v>46146</v>
      </c>
      <c r="B42" s="187">
        <v>7002143610</v>
      </c>
      <c r="C42" s="187">
        <v>3</v>
      </c>
      <c r="D42" s="187" t="s">
        <v>751</v>
      </c>
    </row>
    <row r="43" spans="1:4" ht="12.5">
      <c r="A43" s="186">
        <v>46146</v>
      </c>
      <c r="B43" s="188">
        <v>7002136233</v>
      </c>
      <c r="C43" s="188">
        <v>8</v>
      </c>
      <c r="D43" s="187" t="s">
        <v>753</v>
      </c>
    </row>
    <row r="44" spans="1:4" ht="12.5">
      <c r="A44" s="186">
        <v>46146</v>
      </c>
      <c r="B44" s="187">
        <v>7001926313</v>
      </c>
      <c r="C44" s="187">
        <v>18</v>
      </c>
      <c r="D44" s="187" t="s">
        <v>752</v>
      </c>
    </row>
    <row r="45" spans="1:4" ht="12.5">
      <c r="A45" s="186">
        <v>46146</v>
      </c>
      <c r="B45" s="188">
        <v>7001931651</v>
      </c>
      <c r="C45" s="188">
        <v>6</v>
      </c>
      <c r="D45" s="187" t="s">
        <v>753</v>
      </c>
    </row>
    <row r="46" spans="1:4" ht="12.5">
      <c r="A46" s="186">
        <v>46146</v>
      </c>
      <c r="B46" s="187">
        <v>7002149094</v>
      </c>
      <c r="C46" s="187">
        <v>39</v>
      </c>
      <c r="D46" s="187" t="s">
        <v>752</v>
      </c>
    </row>
    <row r="47" spans="1:4" ht="12.5">
      <c r="A47" s="186">
        <v>46146</v>
      </c>
      <c r="B47" s="188">
        <v>7002062568</v>
      </c>
      <c r="C47" s="188">
        <v>51</v>
      </c>
      <c r="D47" s="187" t="s">
        <v>752</v>
      </c>
    </row>
    <row r="48" spans="1:4" ht="12.5">
      <c r="A48" s="186">
        <v>46146</v>
      </c>
      <c r="B48" s="187">
        <v>7002085563</v>
      </c>
      <c r="C48" s="187">
        <v>71</v>
      </c>
      <c r="D48" s="187" t="s">
        <v>752</v>
      </c>
    </row>
    <row r="49" spans="1:4" ht="12.5">
      <c r="A49" s="186">
        <v>46146</v>
      </c>
      <c r="B49" s="188">
        <v>7002101880</v>
      </c>
      <c r="C49" s="188">
        <v>27</v>
      </c>
      <c r="D49" s="187" t="s">
        <v>752</v>
      </c>
    </row>
    <row r="50" spans="1:4" ht="12.5">
      <c r="A50" s="186">
        <v>46146</v>
      </c>
      <c r="B50" s="187">
        <v>7002089570</v>
      </c>
      <c r="C50" s="187">
        <v>165</v>
      </c>
      <c r="D50" s="187" t="s">
        <v>752</v>
      </c>
    </row>
    <row r="51" spans="1:4" ht="12.5">
      <c r="A51" s="186">
        <v>46146</v>
      </c>
      <c r="B51" s="188">
        <v>7002115169</v>
      </c>
      <c r="C51" s="188">
        <v>10</v>
      </c>
      <c r="D51" s="187" t="s">
        <v>753</v>
      </c>
    </row>
    <row r="52" spans="1:4" ht="12.5">
      <c r="A52" s="186">
        <v>46146</v>
      </c>
      <c r="B52" s="187">
        <v>7002112065</v>
      </c>
      <c r="C52" s="187">
        <v>25</v>
      </c>
      <c r="D52" s="187" t="s">
        <v>752</v>
      </c>
    </row>
    <row r="53" spans="1:4" ht="12.5">
      <c r="A53" s="186">
        <v>46146</v>
      </c>
      <c r="B53" s="188">
        <v>7002124794</v>
      </c>
      <c r="C53" s="188">
        <v>28</v>
      </c>
      <c r="D53" s="187" t="s">
        <v>752</v>
      </c>
    </row>
    <row r="54" spans="1:4" ht="12.5">
      <c r="A54" s="186">
        <v>46146</v>
      </c>
      <c r="B54" s="187">
        <v>7002115071</v>
      </c>
      <c r="C54" s="187">
        <v>12</v>
      </c>
      <c r="D54" s="187" t="s">
        <v>752</v>
      </c>
    </row>
    <row r="55" spans="1:4" ht="12.5">
      <c r="A55" s="186">
        <v>46146</v>
      </c>
      <c r="B55" s="188">
        <v>7002097941</v>
      </c>
      <c r="C55" s="188">
        <v>31</v>
      </c>
      <c r="D55" s="187" t="s">
        <v>752</v>
      </c>
    </row>
    <row r="56" spans="1:4" ht="12.5">
      <c r="A56" s="186">
        <v>46146</v>
      </c>
      <c r="B56" s="187">
        <v>7002064140</v>
      </c>
      <c r="C56" s="187">
        <v>14</v>
      </c>
      <c r="D56" s="187" t="s">
        <v>752</v>
      </c>
    </row>
    <row r="57" spans="1:4" ht="12.5">
      <c r="A57" s="186">
        <v>46146</v>
      </c>
      <c r="B57" s="188">
        <v>7002026944</v>
      </c>
      <c r="C57" s="188">
        <v>8</v>
      </c>
      <c r="D57" s="187" t="s">
        <v>753</v>
      </c>
    </row>
    <row r="58" spans="1:4" ht="12.5">
      <c r="A58" s="186">
        <v>46146</v>
      </c>
      <c r="B58" s="187">
        <v>7002127781</v>
      </c>
      <c r="C58" s="187">
        <v>27</v>
      </c>
      <c r="D58" s="187" t="s">
        <v>752</v>
      </c>
    </row>
    <row r="59" spans="1:4" ht="12.5">
      <c r="A59" s="186">
        <v>46146</v>
      </c>
      <c r="B59" s="188">
        <v>7002151107</v>
      </c>
      <c r="C59" s="188">
        <v>11</v>
      </c>
      <c r="D59" s="187" t="s">
        <v>752</v>
      </c>
    </row>
    <row r="60" spans="1:4" ht="12.5">
      <c r="A60" s="186">
        <v>46146</v>
      </c>
      <c r="B60" s="187">
        <v>7002140137</v>
      </c>
      <c r="C60" s="187">
        <v>3</v>
      </c>
      <c r="D60" s="187" t="s">
        <v>751</v>
      </c>
    </row>
    <row r="61" spans="1:4" ht="12.5">
      <c r="A61" s="186">
        <v>46146</v>
      </c>
      <c r="B61" s="188">
        <v>7002129859</v>
      </c>
      <c r="C61" s="188">
        <v>3</v>
      </c>
      <c r="D61" s="187" t="s">
        <v>751</v>
      </c>
    </row>
    <row r="62" spans="1:4" ht="12.5">
      <c r="A62" s="186">
        <v>46146</v>
      </c>
      <c r="B62" s="187">
        <v>7002096524</v>
      </c>
      <c r="C62" s="187">
        <v>2</v>
      </c>
      <c r="D62" s="187" t="s">
        <v>751</v>
      </c>
    </row>
    <row r="63" spans="1:4" ht="12.5">
      <c r="A63" s="186">
        <v>46146</v>
      </c>
      <c r="B63" s="188">
        <v>7002208116</v>
      </c>
      <c r="C63" s="188">
        <v>90</v>
      </c>
      <c r="D63" s="187" t="s">
        <v>752</v>
      </c>
    </row>
    <row r="64" spans="1:4" ht="12.5">
      <c r="A64" s="186">
        <v>46146</v>
      </c>
      <c r="B64" s="187">
        <v>7002198272</v>
      </c>
      <c r="C64" s="187">
        <v>8</v>
      </c>
      <c r="D64" s="187" t="s">
        <v>753</v>
      </c>
    </row>
    <row r="65" spans="1:4" ht="12.5">
      <c r="A65" s="186">
        <v>46146</v>
      </c>
      <c r="B65" s="188">
        <v>7002197769</v>
      </c>
      <c r="C65" s="188">
        <v>10</v>
      </c>
      <c r="D65" s="187" t="s">
        <v>753</v>
      </c>
    </row>
    <row r="66" spans="1:4" ht="12.5">
      <c r="A66" s="186">
        <v>46146</v>
      </c>
      <c r="B66" s="187">
        <v>7002195714</v>
      </c>
      <c r="C66" s="187">
        <v>10</v>
      </c>
      <c r="D66" s="187" t="s">
        <v>753</v>
      </c>
    </row>
    <row r="67" spans="1:4" ht="12.5">
      <c r="A67" s="186">
        <v>46146</v>
      </c>
      <c r="B67" s="188">
        <v>7002197310</v>
      </c>
      <c r="C67" s="188">
        <v>6</v>
      </c>
      <c r="D67" s="187" t="s">
        <v>753</v>
      </c>
    </row>
    <row r="68" spans="1:4" ht="14">
      <c r="A68" s="185" t="s">
        <v>747</v>
      </c>
      <c r="B68" s="185" t="s">
        <v>748</v>
      </c>
      <c r="C68" s="185" t="s">
        <v>71</v>
      </c>
      <c r="D68" s="185" t="s">
        <v>749</v>
      </c>
    </row>
    <row r="69" spans="1:4" ht="12.5">
      <c r="A69" s="186">
        <v>46146</v>
      </c>
      <c r="B69" s="14">
        <v>7000908997</v>
      </c>
      <c r="C69" s="14">
        <v>1</v>
      </c>
      <c r="D69" s="9" t="s">
        <v>750</v>
      </c>
    </row>
    <row r="70" spans="1:4" ht="12.5">
      <c r="A70" s="186">
        <v>46146</v>
      </c>
      <c r="B70" s="14">
        <v>7001727096</v>
      </c>
      <c r="C70" s="14">
        <v>1</v>
      </c>
      <c r="D70" s="9" t="s">
        <v>750</v>
      </c>
    </row>
    <row r="71" spans="1:4" ht="12.5">
      <c r="A71" s="186">
        <v>46146</v>
      </c>
      <c r="B71" s="14">
        <v>7001778553</v>
      </c>
      <c r="C71" s="14">
        <v>605</v>
      </c>
      <c r="D71" s="187" t="s">
        <v>752</v>
      </c>
    </row>
    <row r="72" spans="1:4" ht="12.5">
      <c r="A72" s="186">
        <v>46146</v>
      </c>
      <c r="B72" s="14">
        <v>7001856907</v>
      </c>
      <c r="C72" s="14">
        <v>4</v>
      </c>
      <c r="D72" s="187" t="s">
        <v>751</v>
      </c>
    </row>
    <row r="73" spans="1:4" ht="12.5">
      <c r="A73" s="186">
        <v>46146</v>
      </c>
      <c r="B73" s="14">
        <v>7001972627</v>
      </c>
      <c r="C73" s="14">
        <v>1</v>
      </c>
      <c r="D73" s="9" t="s">
        <v>750</v>
      </c>
    </row>
    <row r="74" spans="1:4" ht="12.5">
      <c r="A74" s="9"/>
      <c r="B74" s="14">
        <v>7001828300</v>
      </c>
      <c r="C74" s="14">
        <v>0</v>
      </c>
      <c r="D74" s="9"/>
    </row>
    <row r="75" spans="1:4" ht="12.5">
      <c r="A75" s="9"/>
      <c r="B75" s="14">
        <v>7001855910</v>
      </c>
      <c r="C75" s="14">
        <v>0</v>
      </c>
      <c r="D75" s="9"/>
    </row>
    <row r="76" spans="1:4" ht="14">
      <c r="A76" s="185" t="s">
        <v>747</v>
      </c>
      <c r="B76" s="185" t="s">
        <v>748</v>
      </c>
      <c r="C76" s="185" t="s">
        <v>71</v>
      </c>
      <c r="D76" s="185" t="s">
        <v>749</v>
      </c>
    </row>
    <row r="77" spans="1:4" ht="12.5">
      <c r="A77" s="186">
        <v>46148</v>
      </c>
      <c r="B77" s="184">
        <v>7000785818</v>
      </c>
      <c r="C77" s="184">
        <v>1</v>
      </c>
      <c r="D77" s="9" t="s">
        <v>750</v>
      </c>
    </row>
    <row r="78" spans="1:4" ht="12.5">
      <c r="A78" s="186">
        <v>46148</v>
      </c>
      <c r="B78" s="184">
        <v>7000908997</v>
      </c>
      <c r="C78" s="184">
        <v>1</v>
      </c>
      <c r="D78" s="9" t="s">
        <v>750</v>
      </c>
    </row>
    <row r="79" spans="1:4" ht="12.5">
      <c r="A79" s="186">
        <v>46148</v>
      </c>
      <c r="B79" s="184">
        <v>7000918024</v>
      </c>
      <c r="C79" s="184">
        <v>19</v>
      </c>
      <c r="D79" s="187" t="s">
        <v>752</v>
      </c>
    </row>
    <row r="80" spans="1:4" ht="12.5">
      <c r="A80" s="186">
        <v>46148</v>
      </c>
      <c r="B80" s="184">
        <v>7001727096</v>
      </c>
      <c r="C80" s="184">
        <v>1</v>
      </c>
      <c r="D80" s="9" t="s">
        <v>750</v>
      </c>
    </row>
    <row r="81" spans="1:4" ht="12.5">
      <c r="A81" s="186">
        <v>46148</v>
      </c>
      <c r="B81" s="184">
        <v>7001778553</v>
      </c>
      <c r="C81" s="184">
        <v>605</v>
      </c>
      <c r="D81" s="187" t="s">
        <v>752</v>
      </c>
    </row>
    <row r="82" spans="1:4" ht="12.5">
      <c r="A82" s="186">
        <v>46148</v>
      </c>
      <c r="B82" s="184">
        <v>7001856907</v>
      </c>
      <c r="C82" s="184">
        <v>4</v>
      </c>
      <c r="D82" s="187" t="s">
        <v>751</v>
      </c>
    </row>
    <row r="83" spans="1:4" ht="12.5">
      <c r="A83" s="186">
        <v>46148</v>
      </c>
      <c r="B83" s="184">
        <v>7001972627</v>
      </c>
      <c r="C83" s="184">
        <v>1</v>
      </c>
      <c r="D83" s="9" t="s">
        <v>750</v>
      </c>
    </row>
    <row r="84" spans="1:4" ht="12.5">
      <c r="A84" s="186">
        <v>46148</v>
      </c>
      <c r="B84" s="184">
        <v>7002147059</v>
      </c>
      <c r="C84" s="184">
        <v>2</v>
      </c>
      <c r="D84" s="187" t="s">
        <v>751</v>
      </c>
    </row>
    <row r="85" spans="1:4" ht="12.5">
      <c r="A85" s="186">
        <v>46148</v>
      </c>
      <c r="B85" s="184">
        <v>7002181171</v>
      </c>
      <c r="C85" s="184">
        <v>50</v>
      </c>
      <c r="D85" s="187" t="s">
        <v>752</v>
      </c>
    </row>
    <row r="86" spans="1:4" ht="12.5">
      <c r="A86" s="186">
        <v>46148</v>
      </c>
      <c r="B86" s="184">
        <v>7002182143</v>
      </c>
      <c r="C86" s="184">
        <v>2</v>
      </c>
      <c r="D86" s="187" t="s">
        <v>751</v>
      </c>
    </row>
    <row r="87" spans="1:4" ht="12.5">
      <c r="A87" s="186">
        <v>46148</v>
      </c>
      <c r="B87" s="184">
        <v>7002184173</v>
      </c>
      <c r="C87" s="184">
        <v>1</v>
      </c>
      <c r="D87" s="9" t="s">
        <v>750</v>
      </c>
    </row>
    <row r="88" spans="1:4" ht="12.5">
      <c r="A88" s="186">
        <v>46148</v>
      </c>
      <c r="B88" s="184">
        <v>7002201182</v>
      </c>
      <c r="C88" s="184">
        <v>4</v>
      </c>
      <c r="D88" s="187" t="s">
        <v>751</v>
      </c>
    </row>
    <row r="89" spans="1:4" ht="12.5">
      <c r="A89" s="186">
        <v>46148</v>
      </c>
      <c r="B89" s="184">
        <v>7002203179</v>
      </c>
      <c r="C89" s="184">
        <v>4</v>
      </c>
      <c r="D89" s="187" t="s">
        <v>751</v>
      </c>
    </row>
    <row r="90" spans="1:4" ht="12.5">
      <c r="A90" s="186">
        <v>46148</v>
      </c>
      <c r="B90" s="184">
        <v>7002207162</v>
      </c>
      <c r="C90" s="184">
        <v>6</v>
      </c>
      <c r="D90" s="187" t="s">
        <v>753</v>
      </c>
    </row>
    <row r="91" spans="1:4" ht="12.5">
      <c r="A91" s="186">
        <v>46148</v>
      </c>
      <c r="B91" s="184">
        <v>7002209263</v>
      </c>
      <c r="C91" s="184">
        <v>1</v>
      </c>
      <c r="D91" s="9" t="s">
        <v>750</v>
      </c>
    </row>
    <row r="92" spans="1:4" ht="12.5">
      <c r="A92" s="186">
        <v>46148</v>
      </c>
      <c r="B92" s="184">
        <v>7002212116</v>
      </c>
      <c r="C92" s="184">
        <v>2</v>
      </c>
      <c r="D92" s="187" t="s">
        <v>751</v>
      </c>
    </row>
    <row r="93" spans="1:4" ht="12.5">
      <c r="A93" s="186">
        <v>46148</v>
      </c>
      <c r="B93" s="184">
        <v>7002212144</v>
      </c>
      <c r="C93" s="184">
        <v>2</v>
      </c>
      <c r="D93" s="187" t="s">
        <v>751</v>
      </c>
    </row>
    <row r="94" spans="1:4" ht="12.5">
      <c r="A94" s="186">
        <v>46148</v>
      </c>
      <c r="B94" s="184">
        <v>7002213115</v>
      </c>
      <c r="C94" s="184">
        <v>1</v>
      </c>
      <c r="D94" s="9" t="s">
        <v>750</v>
      </c>
    </row>
    <row r="95" spans="1:4" ht="12.5">
      <c r="A95" s="186">
        <v>46148</v>
      </c>
      <c r="B95" s="184">
        <v>7002218123</v>
      </c>
      <c r="C95" s="184">
        <v>2</v>
      </c>
      <c r="D95" s="187" t="s">
        <v>751</v>
      </c>
    </row>
    <row r="96" spans="1:4" ht="12.5">
      <c r="A96" s="186">
        <v>46148</v>
      </c>
      <c r="B96" s="184">
        <v>7002220792</v>
      </c>
      <c r="C96" s="184">
        <v>2</v>
      </c>
      <c r="D96" s="187" t="s">
        <v>751</v>
      </c>
    </row>
    <row r="97" spans="1:4" ht="12.5">
      <c r="A97" s="186">
        <v>46148</v>
      </c>
      <c r="B97" s="184">
        <v>7002223500</v>
      </c>
      <c r="C97" s="184">
        <v>3</v>
      </c>
      <c r="D97" s="187" t="s">
        <v>751</v>
      </c>
    </row>
    <row r="98" spans="1:4" ht="12.5">
      <c r="A98" s="186">
        <v>46149</v>
      </c>
      <c r="B98" s="184">
        <v>7000908997</v>
      </c>
      <c r="C98" s="184">
        <v>1</v>
      </c>
      <c r="D98" s="9" t="s">
        <v>750</v>
      </c>
    </row>
    <row r="99" spans="1:4" ht="12.5">
      <c r="A99" s="186">
        <v>46149</v>
      </c>
      <c r="B99" s="184">
        <v>7000918024</v>
      </c>
      <c r="C99" s="184">
        <v>19</v>
      </c>
      <c r="D99" s="9" t="s">
        <v>752</v>
      </c>
    </row>
    <row r="100" spans="1:4" ht="12.5">
      <c r="A100" s="186">
        <v>46149</v>
      </c>
      <c r="B100" s="184">
        <v>7001727096</v>
      </c>
      <c r="C100" s="184">
        <v>1</v>
      </c>
      <c r="D100" s="9" t="s">
        <v>750</v>
      </c>
    </row>
    <row r="101" spans="1:4" ht="12.5">
      <c r="A101" s="186">
        <v>46149</v>
      </c>
      <c r="B101" s="184">
        <v>7001778553</v>
      </c>
      <c r="C101" s="184">
        <v>605</v>
      </c>
      <c r="D101" s="9" t="s">
        <v>752</v>
      </c>
    </row>
    <row r="102" spans="1:4" ht="12.5">
      <c r="A102" s="186">
        <v>46149</v>
      </c>
      <c r="B102" s="184">
        <v>7001856907</v>
      </c>
      <c r="C102" s="184">
        <v>4</v>
      </c>
      <c r="D102" s="9" t="s">
        <v>751</v>
      </c>
    </row>
    <row r="103" spans="1:4" ht="12.5">
      <c r="A103" s="186">
        <v>46149</v>
      </c>
      <c r="B103" s="184">
        <v>7002039535</v>
      </c>
      <c r="C103" s="184">
        <v>3</v>
      </c>
      <c r="D103" s="9" t="s">
        <v>751</v>
      </c>
    </row>
    <row r="104" spans="1:4" ht="12.5">
      <c r="A104" s="186">
        <v>46149</v>
      </c>
      <c r="B104" s="184">
        <v>7002076888</v>
      </c>
      <c r="C104" s="184">
        <v>14</v>
      </c>
      <c r="D104" s="9" t="s">
        <v>752</v>
      </c>
    </row>
    <row r="105" spans="1:4" ht="12.5">
      <c r="A105" s="186">
        <v>46149</v>
      </c>
      <c r="B105" s="184">
        <v>7002081101</v>
      </c>
      <c r="C105" s="184">
        <v>5</v>
      </c>
      <c r="D105" s="9" t="s">
        <v>751</v>
      </c>
    </row>
    <row r="106" spans="1:4" ht="12.5">
      <c r="A106" s="186">
        <v>46149</v>
      </c>
      <c r="B106" s="184">
        <v>7002082645</v>
      </c>
      <c r="C106" s="184">
        <v>2</v>
      </c>
      <c r="D106" s="9" t="s">
        <v>751</v>
      </c>
    </row>
    <row r="107" spans="1:4" ht="12.5">
      <c r="A107" s="186">
        <v>46149</v>
      </c>
      <c r="B107" s="184">
        <v>7002083075</v>
      </c>
      <c r="C107" s="184">
        <v>3</v>
      </c>
      <c r="D107" s="9" t="s">
        <v>751</v>
      </c>
    </row>
    <row r="108" spans="1:4" ht="12.5">
      <c r="A108" s="186">
        <v>46149</v>
      </c>
      <c r="B108" s="184">
        <v>7002092869</v>
      </c>
      <c r="C108" s="184">
        <v>1</v>
      </c>
      <c r="D108" s="9" t="s">
        <v>750</v>
      </c>
    </row>
    <row r="109" spans="1:4" ht="12.5">
      <c r="A109" s="186">
        <v>46149</v>
      </c>
      <c r="B109" s="184">
        <v>7002097925</v>
      </c>
      <c r="C109" s="184">
        <v>1</v>
      </c>
      <c r="D109" s="9" t="s">
        <v>750</v>
      </c>
    </row>
    <row r="110" spans="1:4" ht="12.5">
      <c r="A110" s="186">
        <v>46149</v>
      </c>
      <c r="B110" s="184">
        <v>7002107630</v>
      </c>
      <c r="C110" s="184">
        <v>5</v>
      </c>
      <c r="D110" s="9" t="s">
        <v>751</v>
      </c>
    </row>
    <row r="111" spans="1:4" ht="12.5">
      <c r="A111" s="186">
        <v>46149</v>
      </c>
      <c r="B111" s="184">
        <v>7002110067</v>
      </c>
      <c r="C111" s="184">
        <v>1</v>
      </c>
      <c r="D111" s="9" t="s">
        <v>750</v>
      </c>
    </row>
    <row r="112" spans="1:4" ht="12.5">
      <c r="A112" s="186">
        <v>46149</v>
      </c>
      <c r="B112" s="184">
        <v>7002111623</v>
      </c>
      <c r="C112" s="184">
        <v>2</v>
      </c>
      <c r="D112" s="9" t="s">
        <v>751</v>
      </c>
    </row>
    <row r="113" spans="1:4" ht="12.5">
      <c r="A113" s="186">
        <v>46149</v>
      </c>
      <c r="B113" s="184">
        <v>7002111800</v>
      </c>
      <c r="C113" s="184">
        <v>3</v>
      </c>
      <c r="D113" s="9" t="s">
        <v>751</v>
      </c>
    </row>
    <row r="114" spans="1:4" ht="12.5">
      <c r="A114" s="186">
        <v>46149</v>
      </c>
      <c r="B114" s="184">
        <v>7002113678</v>
      </c>
      <c r="C114" s="184">
        <v>1</v>
      </c>
      <c r="D114" s="9" t="s">
        <v>750</v>
      </c>
    </row>
    <row r="115" spans="1:4" ht="12.5">
      <c r="A115" s="186">
        <v>46149</v>
      </c>
      <c r="B115" s="184">
        <v>7002121854</v>
      </c>
      <c r="C115" s="184">
        <v>2</v>
      </c>
      <c r="D115" s="9" t="s">
        <v>751</v>
      </c>
    </row>
    <row r="116" spans="1:4" ht="12.5">
      <c r="A116" s="186">
        <v>46149</v>
      </c>
      <c r="B116" s="184">
        <v>7002122556</v>
      </c>
      <c r="C116" s="184">
        <v>1</v>
      </c>
      <c r="D116" s="9" t="s">
        <v>750</v>
      </c>
    </row>
    <row r="117" spans="1:4" ht="12.5">
      <c r="A117" s="186">
        <v>46149</v>
      </c>
      <c r="B117" s="184">
        <v>7002122876</v>
      </c>
      <c r="C117" s="184">
        <v>12</v>
      </c>
      <c r="D117" s="9" t="s">
        <v>752</v>
      </c>
    </row>
    <row r="118" spans="1:4" ht="12.5">
      <c r="A118" s="186">
        <v>46149</v>
      </c>
      <c r="B118" s="184">
        <v>7002124563</v>
      </c>
      <c r="C118" s="184">
        <v>1</v>
      </c>
      <c r="D118" s="9" t="s">
        <v>750</v>
      </c>
    </row>
    <row r="119" spans="1:4" ht="12.5">
      <c r="A119" s="186">
        <v>46149</v>
      </c>
      <c r="B119" s="184">
        <v>7002124725</v>
      </c>
      <c r="C119" s="184">
        <v>2</v>
      </c>
      <c r="D119" s="9" t="s">
        <v>751</v>
      </c>
    </row>
    <row r="120" spans="1:4" ht="12.5">
      <c r="A120" s="186">
        <v>46149</v>
      </c>
      <c r="B120" s="184">
        <v>7002124787</v>
      </c>
      <c r="C120" s="184">
        <v>4</v>
      </c>
      <c r="D120" s="9" t="s">
        <v>751</v>
      </c>
    </row>
    <row r="121" spans="1:4" ht="12.5">
      <c r="A121" s="186">
        <v>46149</v>
      </c>
      <c r="B121" s="184">
        <v>7002127861</v>
      </c>
      <c r="C121" s="184">
        <v>6</v>
      </c>
      <c r="D121" s="9" t="s">
        <v>754</v>
      </c>
    </row>
    <row r="122" spans="1:4" ht="12.5">
      <c r="A122" s="186">
        <v>46149</v>
      </c>
      <c r="B122" s="184">
        <v>7002128698</v>
      </c>
      <c r="C122" s="184">
        <v>2</v>
      </c>
      <c r="D122" s="9" t="s">
        <v>751</v>
      </c>
    </row>
    <row r="123" spans="1:4" ht="12.5">
      <c r="A123" s="186">
        <v>46149</v>
      </c>
      <c r="B123" s="184">
        <v>7002128776</v>
      </c>
      <c r="C123" s="184">
        <v>35</v>
      </c>
      <c r="D123" s="9" t="s">
        <v>752</v>
      </c>
    </row>
    <row r="124" spans="1:4" ht="12.5">
      <c r="A124" s="186">
        <v>46149</v>
      </c>
      <c r="B124" s="184">
        <v>7002131228</v>
      </c>
      <c r="C124" s="184">
        <v>2</v>
      </c>
      <c r="D124" s="9" t="s">
        <v>751</v>
      </c>
    </row>
    <row r="125" spans="1:4" ht="12.5">
      <c r="A125" s="186">
        <v>46149</v>
      </c>
      <c r="B125" s="184">
        <v>7002132262</v>
      </c>
      <c r="C125" s="184">
        <v>5</v>
      </c>
      <c r="D125" s="9" t="s">
        <v>751</v>
      </c>
    </row>
    <row r="126" spans="1:4" ht="12.5">
      <c r="A126" s="186">
        <v>46149</v>
      </c>
      <c r="B126" s="184">
        <v>7002140752</v>
      </c>
      <c r="C126" s="184">
        <v>1</v>
      </c>
      <c r="D126" s="9" t="s">
        <v>750</v>
      </c>
    </row>
    <row r="127" spans="1:4" ht="12.5">
      <c r="A127" s="186">
        <v>46149</v>
      </c>
      <c r="B127" s="184">
        <v>7002153359</v>
      </c>
      <c r="C127" s="184">
        <v>1</v>
      </c>
      <c r="D127" s="9" t="s">
        <v>750</v>
      </c>
    </row>
    <row r="128" spans="1:4" ht="12.5">
      <c r="A128" s="186">
        <v>46149</v>
      </c>
      <c r="B128" s="184">
        <v>7002160170</v>
      </c>
      <c r="C128" s="184">
        <v>16</v>
      </c>
      <c r="D128" s="9" t="s">
        <v>752</v>
      </c>
    </row>
    <row r="129" spans="1:4" ht="12.5">
      <c r="A129" s="186">
        <v>46149</v>
      </c>
      <c r="B129" s="184">
        <v>7002160940</v>
      </c>
      <c r="C129" s="184">
        <v>2</v>
      </c>
      <c r="D129" s="9" t="s">
        <v>751</v>
      </c>
    </row>
    <row r="130" spans="1:4" ht="12.5">
      <c r="A130" s="186">
        <v>46149</v>
      </c>
      <c r="B130" s="184">
        <v>7002164438</v>
      </c>
      <c r="C130" s="184">
        <v>1</v>
      </c>
      <c r="D130" s="9" t="s">
        <v>750</v>
      </c>
    </row>
    <row r="131" spans="1:4" ht="12.5">
      <c r="A131" s="186">
        <v>46149</v>
      </c>
      <c r="B131" s="184">
        <v>7002169758</v>
      </c>
      <c r="C131" s="184">
        <v>20</v>
      </c>
      <c r="D131" s="9" t="s">
        <v>752</v>
      </c>
    </row>
    <row r="132" spans="1:4" ht="12.5">
      <c r="A132" s="186">
        <v>46149</v>
      </c>
      <c r="B132" s="184">
        <v>7002170715</v>
      </c>
      <c r="C132" s="184">
        <v>4</v>
      </c>
      <c r="D132" s="9" t="s">
        <v>751</v>
      </c>
    </row>
    <row r="133" spans="1:4" ht="12.5">
      <c r="A133" s="186">
        <v>46149</v>
      </c>
      <c r="B133" s="184">
        <v>7002170736</v>
      </c>
      <c r="C133" s="184">
        <v>1</v>
      </c>
      <c r="D133" s="9" t="s">
        <v>750</v>
      </c>
    </row>
    <row r="134" spans="1:4" ht="12.5">
      <c r="A134" s="186">
        <v>46149</v>
      </c>
      <c r="B134" s="184">
        <v>7002170807</v>
      </c>
      <c r="C134" s="184">
        <v>3</v>
      </c>
      <c r="D134" s="9" t="s">
        <v>751</v>
      </c>
    </row>
    <row r="135" spans="1:4" ht="12.5">
      <c r="A135" s="186">
        <v>46149</v>
      </c>
      <c r="B135" s="184">
        <v>7002173946</v>
      </c>
      <c r="C135" s="184">
        <v>2</v>
      </c>
      <c r="D135" s="9" t="s">
        <v>751</v>
      </c>
    </row>
    <row r="136" spans="1:4" ht="12.5">
      <c r="A136" s="186">
        <v>46149</v>
      </c>
      <c r="B136" s="184">
        <v>7002178581</v>
      </c>
      <c r="C136" s="184">
        <v>16</v>
      </c>
      <c r="D136" s="9" t="s">
        <v>752</v>
      </c>
    </row>
    <row r="137" spans="1:4" ht="12.5">
      <c r="A137" s="186">
        <v>46149</v>
      </c>
      <c r="B137" s="184">
        <v>7002178838</v>
      </c>
      <c r="C137" s="184">
        <v>5</v>
      </c>
      <c r="D137" s="9" t="s">
        <v>751</v>
      </c>
    </row>
    <row r="138" spans="1:4" ht="12.5">
      <c r="A138" s="186">
        <v>46149</v>
      </c>
      <c r="B138" s="184">
        <v>7002179722</v>
      </c>
      <c r="C138" s="184">
        <v>4</v>
      </c>
      <c r="D138" s="9" t="s">
        <v>751</v>
      </c>
    </row>
    <row r="139" spans="1:4" ht="12.5">
      <c r="A139" s="186">
        <v>46149</v>
      </c>
      <c r="B139" s="184">
        <v>7002180667</v>
      </c>
      <c r="C139" s="184">
        <v>2</v>
      </c>
      <c r="D139" s="9" t="s">
        <v>751</v>
      </c>
    </row>
    <row r="140" spans="1:4" ht="12.5">
      <c r="A140" s="186">
        <v>46149</v>
      </c>
      <c r="B140" s="184">
        <v>7002181678</v>
      </c>
      <c r="C140" s="184">
        <v>2</v>
      </c>
      <c r="D140" s="9" t="s">
        <v>751</v>
      </c>
    </row>
    <row r="141" spans="1:4" ht="12.5">
      <c r="A141" s="186">
        <v>46149</v>
      </c>
      <c r="B141" s="184">
        <v>7002181803</v>
      </c>
      <c r="C141" s="184">
        <v>1</v>
      </c>
      <c r="D141" s="9" t="s">
        <v>750</v>
      </c>
    </row>
    <row r="142" spans="1:4" ht="12.5">
      <c r="A142" s="186">
        <v>46149</v>
      </c>
      <c r="B142" s="184">
        <v>7002182081</v>
      </c>
      <c r="C142" s="184">
        <v>1</v>
      </c>
      <c r="D142" s="9" t="s">
        <v>750</v>
      </c>
    </row>
    <row r="143" spans="1:4" ht="12.5">
      <c r="A143" s="186">
        <v>46149</v>
      </c>
      <c r="B143" s="184">
        <v>7002183014</v>
      </c>
      <c r="C143" s="184">
        <v>3</v>
      </c>
      <c r="D143" s="9" t="s">
        <v>751</v>
      </c>
    </row>
    <row r="144" spans="1:4" ht="12.5">
      <c r="A144" s="186">
        <v>46149</v>
      </c>
      <c r="B144" s="184">
        <v>7002183239</v>
      </c>
      <c r="C144" s="184">
        <v>1</v>
      </c>
      <c r="D144" s="9" t="s">
        <v>750</v>
      </c>
    </row>
    <row r="145" spans="1:4" ht="12.5">
      <c r="A145" s="186">
        <v>46149</v>
      </c>
      <c r="B145" s="184">
        <v>7002183354</v>
      </c>
      <c r="C145" s="184">
        <v>1</v>
      </c>
      <c r="D145" s="9" t="s">
        <v>750</v>
      </c>
    </row>
    <row r="146" spans="1:4" ht="12.5">
      <c r="A146" s="186">
        <v>46149</v>
      </c>
      <c r="B146" s="184">
        <v>7002184021</v>
      </c>
      <c r="C146" s="184">
        <v>4</v>
      </c>
      <c r="D146" s="9" t="s">
        <v>751</v>
      </c>
    </row>
    <row r="147" spans="1:4" ht="12.5">
      <c r="A147" s="186">
        <v>46149</v>
      </c>
      <c r="B147" s="184">
        <v>7002186223</v>
      </c>
      <c r="C147" s="184">
        <v>12</v>
      </c>
      <c r="D147" s="9" t="s">
        <v>752</v>
      </c>
    </row>
    <row r="148" spans="1:4" ht="12.5">
      <c r="A148" s="186">
        <v>46149</v>
      </c>
      <c r="B148" s="184">
        <v>7002187027</v>
      </c>
      <c r="C148" s="184">
        <v>8</v>
      </c>
      <c r="D148" s="9" t="s">
        <v>754</v>
      </c>
    </row>
    <row r="149" spans="1:4" ht="12.5">
      <c r="A149" s="186">
        <v>46149</v>
      </c>
      <c r="B149" s="184">
        <v>7002188589</v>
      </c>
      <c r="C149" s="184">
        <v>1</v>
      </c>
      <c r="D149" s="9" t="s">
        <v>750</v>
      </c>
    </row>
    <row r="150" spans="1:4" ht="12.5">
      <c r="A150" s="186">
        <v>46149</v>
      </c>
      <c r="B150" s="184">
        <v>7002200108</v>
      </c>
      <c r="C150" s="184">
        <v>85</v>
      </c>
      <c r="D150" s="9" t="s">
        <v>752</v>
      </c>
    </row>
    <row r="151" spans="1:4" ht="12.5">
      <c r="A151" s="186">
        <v>46149</v>
      </c>
      <c r="B151" s="184">
        <v>7002204113</v>
      </c>
      <c r="C151" s="184">
        <v>1</v>
      </c>
      <c r="D151" s="9" t="s">
        <v>750</v>
      </c>
    </row>
    <row r="152" spans="1:4" ht="12.5">
      <c r="A152" s="186">
        <v>46149</v>
      </c>
      <c r="B152" s="184">
        <v>7002229256</v>
      </c>
      <c r="C152" s="184">
        <v>5</v>
      </c>
      <c r="D152" s="9" t="s">
        <v>751</v>
      </c>
    </row>
    <row r="153" spans="1:4" ht="12.5">
      <c r="A153" s="186">
        <v>46149</v>
      </c>
      <c r="B153" s="184">
        <v>7002231204</v>
      </c>
      <c r="C153" s="184">
        <v>1</v>
      </c>
      <c r="D153" s="9" t="s">
        <v>750</v>
      </c>
    </row>
    <row r="154" spans="1:4" ht="12.5">
      <c r="A154" s="186">
        <v>46149</v>
      </c>
      <c r="B154" s="184">
        <v>7002231262</v>
      </c>
      <c r="C154" s="184">
        <v>1</v>
      </c>
      <c r="D154" s="9" t="s">
        <v>750</v>
      </c>
    </row>
    <row r="155" spans="1:4" ht="12.5">
      <c r="A155" s="186">
        <v>46149</v>
      </c>
      <c r="B155" s="184">
        <v>7002232162</v>
      </c>
      <c r="C155" s="184">
        <v>5</v>
      </c>
      <c r="D155" s="9" t="s">
        <v>751</v>
      </c>
    </row>
    <row r="156" spans="1:4" ht="12.5">
      <c r="A156" s="186">
        <v>46149</v>
      </c>
      <c r="B156" s="184">
        <v>7002233959</v>
      </c>
      <c r="C156" s="184">
        <v>1</v>
      </c>
      <c r="D156" s="9" t="s">
        <v>750</v>
      </c>
    </row>
    <row r="157" spans="1:4" ht="12.5">
      <c r="A157" s="186">
        <v>46149</v>
      </c>
      <c r="B157" s="184">
        <v>7002234156</v>
      </c>
      <c r="C157" s="184">
        <v>9</v>
      </c>
      <c r="D157" s="9" t="s">
        <v>754</v>
      </c>
    </row>
    <row r="158" spans="1:4" ht="12.5">
      <c r="A158" s="186">
        <v>46149</v>
      </c>
      <c r="B158" s="184">
        <v>7002235166</v>
      </c>
      <c r="C158" s="184">
        <v>7</v>
      </c>
      <c r="D158" s="9" t="s">
        <v>754</v>
      </c>
    </row>
    <row r="159" spans="1:4" ht="12.5">
      <c r="A159" s="186">
        <v>46149</v>
      </c>
      <c r="B159" s="184">
        <v>7002235178</v>
      </c>
      <c r="C159" s="184">
        <v>2</v>
      </c>
      <c r="D159" s="9" t="s">
        <v>751</v>
      </c>
    </row>
    <row r="160" spans="1:4" ht="12.5">
      <c r="A160" s="186">
        <v>46149</v>
      </c>
      <c r="B160" s="184">
        <v>7002235214</v>
      </c>
      <c r="C160" s="184">
        <v>7</v>
      </c>
      <c r="D160" s="9" t="s">
        <v>754</v>
      </c>
    </row>
    <row r="161" spans="1:4" ht="12.5">
      <c r="A161" s="186">
        <v>46149</v>
      </c>
      <c r="B161" s="184">
        <v>7002238153</v>
      </c>
      <c r="C161" s="184">
        <v>1</v>
      </c>
      <c r="D161" s="9" t="s">
        <v>750</v>
      </c>
    </row>
    <row r="162" spans="1:4" ht="12.5">
      <c r="A162" s="186">
        <v>46149</v>
      </c>
      <c r="B162" s="184">
        <v>7002238182</v>
      </c>
      <c r="C162" s="184">
        <v>4</v>
      </c>
      <c r="D162" s="9" t="s">
        <v>751</v>
      </c>
    </row>
    <row r="163" spans="1:4" ht="12.5">
      <c r="A163" s="186">
        <v>46149</v>
      </c>
      <c r="B163" s="184">
        <v>7002239177</v>
      </c>
      <c r="C163" s="184">
        <v>4</v>
      </c>
      <c r="D163" s="9" t="s">
        <v>751</v>
      </c>
    </row>
    <row r="164" spans="1:4" ht="12.5">
      <c r="A164" s="186">
        <v>46149</v>
      </c>
      <c r="B164" s="184">
        <v>7002239209</v>
      </c>
      <c r="C164" s="184">
        <v>3</v>
      </c>
      <c r="D164" s="9" t="s">
        <v>751</v>
      </c>
    </row>
    <row r="165" spans="1:4" ht="12.5">
      <c r="A165" s="186">
        <v>46149</v>
      </c>
      <c r="B165" s="184">
        <v>7002240290</v>
      </c>
      <c r="C165" s="184">
        <v>3</v>
      </c>
      <c r="D165" s="9" t="s">
        <v>751</v>
      </c>
    </row>
    <row r="166" spans="1:4" ht="12.5">
      <c r="A166" s="186">
        <v>46149</v>
      </c>
      <c r="B166" s="184">
        <v>7002243285</v>
      </c>
      <c r="C166" s="184">
        <v>1</v>
      </c>
      <c r="D166" s="9" t="s">
        <v>750</v>
      </c>
    </row>
    <row r="167" spans="1:4" ht="12.5">
      <c r="A167" s="186">
        <v>46149</v>
      </c>
      <c r="B167" s="184">
        <v>7002243679</v>
      </c>
      <c r="C167" s="184">
        <v>4</v>
      </c>
      <c r="D167" s="9" t="s">
        <v>751</v>
      </c>
    </row>
    <row r="168" spans="1:4" ht="12.5">
      <c r="A168" s="186">
        <v>46149</v>
      </c>
      <c r="B168" s="184">
        <v>7002245728</v>
      </c>
      <c r="C168" s="184">
        <v>45</v>
      </c>
      <c r="D168" s="9" t="s">
        <v>752</v>
      </c>
    </row>
    <row r="169" spans="1:4" ht="12.5">
      <c r="A169" s="186">
        <v>46149</v>
      </c>
      <c r="B169" s="184">
        <v>7002246283</v>
      </c>
      <c r="C169" s="184">
        <v>1</v>
      </c>
      <c r="D169" s="9" t="s">
        <v>750</v>
      </c>
    </row>
    <row r="170" spans="1:4" ht="12.5">
      <c r="A170" s="186">
        <v>46149</v>
      </c>
      <c r="B170" s="184">
        <v>7002246302</v>
      </c>
      <c r="C170" s="184">
        <v>3</v>
      </c>
      <c r="D170" s="9" t="s">
        <v>751</v>
      </c>
    </row>
    <row r="171" spans="1:4" ht="12.5">
      <c r="A171" s="186">
        <v>46149</v>
      </c>
      <c r="B171" s="184">
        <v>7002247411</v>
      </c>
      <c r="C171" s="184">
        <v>1</v>
      </c>
      <c r="D171" s="9" t="s">
        <v>750</v>
      </c>
    </row>
    <row r="172" spans="1:4" ht="12.5">
      <c r="A172" s="186">
        <v>46149</v>
      </c>
      <c r="B172" s="184">
        <v>7002250208</v>
      </c>
      <c r="C172" s="184">
        <v>1</v>
      </c>
      <c r="D172" s="9" t="s">
        <v>750</v>
      </c>
    </row>
    <row r="173" spans="1:4" ht="12.5">
      <c r="A173" s="186">
        <v>46149</v>
      </c>
      <c r="B173" s="184">
        <v>7002253132</v>
      </c>
      <c r="C173" s="184">
        <v>5</v>
      </c>
      <c r="D173" s="9" t="s">
        <v>751</v>
      </c>
    </row>
    <row r="174" spans="1:4" ht="12.5">
      <c r="A174" s="186">
        <v>46150</v>
      </c>
      <c r="B174" s="184">
        <v>7000908997</v>
      </c>
      <c r="C174" s="184">
        <v>1</v>
      </c>
      <c r="D174" s="9" t="s">
        <v>750</v>
      </c>
    </row>
    <row r="175" spans="1:4" ht="12.5">
      <c r="A175" s="186">
        <v>46150</v>
      </c>
      <c r="B175" s="184">
        <v>7000918024</v>
      </c>
      <c r="C175" s="184">
        <v>19</v>
      </c>
      <c r="D175" s="9" t="s">
        <v>752</v>
      </c>
    </row>
    <row r="176" spans="1:4" ht="12.5">
      <c r="A176" s="186">
        <v>46150</v>
      </c>
      <c r="B176" s="184">
        <v>7001727096</v>
      </c>
      <c r="C176" s="184">
        <v>1</v>
      </c>
      <c r="D176" s="9" t="s">
        <v>750</v>
      </c>
    </row>
    <row r="177" spans="1:4" ht="12.5">
      <c r="A177" s="186">
        <v>46150</v>
      </c>
      <c r="B177" s="184">
        <v>7001778553</v>
      </c>
      <c r="C177" s="184">
        <v>605</v>
      </c>
      <c r="D177" s="9" t="s">
        <v>752</v>
      </c>
    </row>
    <row r="178" spans="1:4" ht="12.5">
      <c r="A178" s="186">
        <v>46150</v>
      </c>
      <c r="B178" s="184">
        <v>7001856907</v>
      </c>
      <c r="C178" s="184">
        <v>4</v>
      </c>
      <c r="D178" s="9" t="s">
        <v>751</v>
      </c>
    </row>
    <row r="179" spans="1:4" ht="12.5">
      <c r="A179" s="186">
        <v>46150</v>
      </c>
      <c r="B179" s="184">
        <v>7002160940</v>
      </c>
      <c r="C179" s="184">
        <v>3</v>
      </c>
      <c r="D179" s="9" t="s">
        <v>751</v>
      </c>
    </row>
    <row r="180" spans="1:4" ht="12.5">
      <c r="A180" s="186">
        <v>46150</v>
      </c>
      <c r="B180" s="184">
        <v>7002169758</v>
      </c>
      <c r="C180" s="184">
        <v>20</v>
      </c>
      <c r="D180" s="9" t="s">
        <v>752</v>
      </c>
    </row>
    <row r="181" spans="1:4" ht="12.5">
      <c r="A181" s="186">
        <v>46150</v>
      </c>
      <c r="B181" s="184">
        <v>7002185132</v>
      </c>
      <c r="C181" s="184">
        <v>7</v>
      </c>
      <c r="D181" s="9" t="s">
        <v>754</v>
      </c>
    </row>
    <row r="182" spans="1:4" ht="12.5">
      <c r="A182" s="186">
        <v>46150</v>
      </c>
      <c r="B182" s="184">
        <v>7002188169</v>
      </c>
      <c r="C182" s="184">
        <v>1</v>
      </c>
      <c r="D182" s="9" t="s">
        <v>750</v>
      </c>
    </row>
    <row r="183" spans="1:4" ht="12.5">
      <c r="A183" s="186">
        <v>46150</v>
      </c>
      <c r="B183" s="184">
        <v>7002198330</v>
      </c>
      <c r="C183" s="184">
        <v>3</v>
      </c>
      <c r="D183" s="9" t="s">
        <v>751</v>
      </c>
    </row>
    <row r="184" spans="1:4" ht="12.5">
      <c r="A184" s="186">
        <v>46150</v>
      </c>
      <c r="B184" s="184">
        <v>7002200335</v>
      </c>
      <c r="C184" s="184">
        <v>2</v>
      </c>
      <c r="D184" s="9" t="s">
        <v>751</v>
      </c>
    </row>
    <row r="185" spans="1:4" ht="12.5">
      <c r="A185" s="186">
        <v>46150</v>
      </c>
      <c r="B185" s="184">
        <v>7002200342</v>
      </c>
      <c r="C185" s="184">
        <v>3</v>
      </c>
      <c r="D185" s="9" t="s">
        <v>751</v>
      </c>
    </row>
    <row r="186" spans="1:4" ht="12.5">
      <c r="A186" s="186">
        <v>46150</v>
      </c>
      <c r="B186" s="184">
        <v>7002201339</v>
      </c>
      <c r="C186" s="184">
        <v>3</v>
      </c>
      <c r="D186" s="9" t="s">
        <v>751</v>
      </c>
    </row>
    <row r="187" spans="1:4" ht="12.5">
      <c r="A187" s="186">
        <v>46150</v>
      </c>
      <c r="B187" s="184">
        <v>7002201341</v>
      </c>
      <c r="C187" s="184">
        <v>2</v>
      </c>
      <c r="D187" s="9" t="s">
        <v>751</v>
      </c>
    </row>
    <row r="188" spans="1:4" ht="12.5">
      <c r="A188" s="186">
        <v>46150</v>
      </c>
      <c r="B188" s="184">
        <v>7002203337</v>
      </c>
      <c r="C188" s="184">
        <v>3</v>
      </c>
      <c r="D188" s="9" t="s">
        <v>751</v>
      </c>
    </row>
    <row r="189" spans="1:4" ht="12.5">
      <c r="A189" s="186">
        <v>46150</v>
      </c>
      <c r="B189" s="184">
        <v>7002203344</v>
      </c>
      <c r="C189" s="184">
        <v>5</v>
      </c>
      <c r="D189" s="9" t="s">
        <v>751</v>
      </c>
    </row>
    <row r="190" spans="1:4" ht="12.5">
      <c r="A190" s="186">
        <v>46150</v>
      </c>
      <c r="B190" s="184">
        <v>7002204336</v>
      </c>
      <c r="C190" s="184">
        <v>2</v>
      </c>
      <c r="D190" s="9" t="s">
        <v>751</v>
      </c>
    </row>
    <row r="191" spans="1:4" ht="12.5">
      <c r="A191" s="186">
        <v>46150</v>
      </c>
      <c r="B191" s="184">
        <v>7002204343</v>
      </c>
      <c r="C191" s="184">
        <v>3</v>
      </c>
      <c r="D191" s="9" t="s">
        <v>751</v>
      </c>
    </row>
    <row r="192" spans="1:4" ht="12.5">
      <c r="A192" s="186">
        <v>46150</v>
      </c>
      <c r="B192" s="184">
        <v>7002206349</v>
      </c>
      <c r="C192" s="184">
        <v>2</v>
      </c>
      <c r="D192" s="9" t="s">
        <v>751</v>
      </c>
    </row>
    <row r="193" spans="1:4" ht="12.5">
      <c r="A193" s="186">
        <v>46150</v>
      </c>
      <c r="B193" s="184">
        <v>7002207345</v>
      </c>
      <c r="C193" s="184">
        <v>2</v>
      </c>
      <c r="D193" s="9" t="s">
        <v>751</v>
      </c>
    </row>
    <row r="194" spans="1:4" ht="12.5">
      <c r="A194" s="186">
        <v>46150</v>
      </c>
      <c r="B194" s="184">
        <v>7002207350</v>
      </c>
      <c r="C194" s="184">
        <v>3</v>
      </c>
      <c r="D194" s="9" t="s">
        <v>751</v>
      </c>
    </row>
    <row r="195" spans="1:4" ht="12.5">
      <c r="A195" s="186">
        <v>46150</v>
      </c>
      <c r="B195" s="184">
        <v>7002209334</v>
      </c>
      <c r="C195" s="184">
        <v>5</v>
      </c>
      <c r="D195" s="9" t="s">
        <v>751</v>
      </c>
    </row>
    <row r="196" spans="1:4" ht="12.5">
      <c r="A196" s="186">
        <v>46150</v>
      </c>
      <c r="B196" s="184">
        <v>7002250527</v>
      </c>
      <c r="C196" s="184">
        <v>2</v>
      </c>
      <c r="D196" s="9" t="s">
        <v>751</v>
      </c>
    </row>
    <row r="197" spans="1:4" ht="12.5">
      <c r="A197" s="186">
        <v>46150</v>
      </c>
      <c r="B197" s="184">
        <v>7002250914</v>
      </c>
      <c r="C197" s="184">
        <v>1</v>
      </c>
      <c r="D197" s="9" t="s">
        <v>750</v>
      </c>
    </row>
    <row r="198" spans="1:4" ht="12.5">
      <c r="A198" s="186">
        <v>46150</v>
      </c>
      <c r="B198" s="184">
        <v>7002250922</v>
      </c>
      <c r="C198" s="184">
        <v>3</v>
      </c>
      <c r="D198" s="9" t="s">
        <v>751</v>
      </c>
    </row>
    <row r="199" spans="1:4" ht="12.5">
      <c r="A199" s="186">
        <v>46150</v>
      </c>
      <c r="B199" s="184">
        <v>7002251526</v>
      </c>
      <c r="C199" s="184">
        <v>8</v>
      </c>
      <c r="D199" s="9" t="s">
        <v>754</v>
      </c>
    </row>
    <row r="200" spans="1:4" ht="12.5">
      <c r="A200" s="186">
        <v>46150</v>
      </c>
      <c r="B200" s="184">
        <v>7002251542</v>
      </c>
      <c r="C200" s="184">
        <v>14</v>
      </c>
      <c r="D200" s="9" t="s">
        <v>752</v>
      </c>
    </row>
    <row r="201" spans="1:4" ht="12.5">
      <c r="A201" s="186">
        <v>46150</v>
      </c>
      <c r="B201" s="184">
        <v>7002252484</v>
      </c>
      <c r="C201" s="184">
        <v>1</v>
      </c>
      <c r="D201" s="9" t="s">
        <v>750</v>
      </c>
    </row>
    <row r="202" spans="1:4" ht="12.5">
      <c r="A202" s="186">
        <v>46150</v>
      </c>
      <c r="B202" s="184">
        <v>7002252541</v>
      </c>
      <c r="C202" s="184">
        <v>4</v>
      </c>
      <c r="D202" s="9" t="s">
        <v>751</v>
      </c>
    </row>
    <row r="203" spans="1:4" ht="12.5">
      <c r="A203" s="186">
        <v>46150</v>
      </c>
      <c r="B203" s="184">
        <v>7002252853</v>
      </c>
      <c r="C203" s="184">
        <v>6</v>
      </c>
      <c r="D203" s="9" t="s">
        <v>754</v>
      </c>
    </row>
    <row r="204" spans="1:4" ht="12.5">
      <c r="A204" s="186">
        <v>46150</v>
      </c>
      <c r="B204" s="184">
        <v>7002253501</v>
      </c>
      <c r="C204" s="184">
        <v>2</v>
      </c>
      <c r="D204" s="9" t="s">
        <v>751</v>
      </c>
    </row>
    <row r="205" spans="1:4" ht="12.5">
      <c r="A205" s="186">
        <v>46150</v>
      </c>
      <c r="B205" s="184">
        <v>7002254559</v>
      </c>
      <c r="C205" s="184">
        <v>2</v>
      </c>
      <c r="D205" s="9" t="s">
        <v>751</v>
      </c>
    </row>
    <row r="206" spans="1:4" ht="12.5">
      <c r="A206" s="186">
        <v>46150</v>
      </c>
      <c r="B206" s="184">
        <v>7002254880</v>
      </c>
      <c r="C206" s="184">
        <v>2</v>
      </c>
      <c r="D206" s="9" t="s">
        <v>751</v>
      </c>
    </row>
    <row r="207" spans="1:4" ht="12.5">
      <c r="A207" s="186">
        <v>46150</v>
      </c>
      <c r="B207" s="184">
        <v>7002255489</v>
      </c>
      <c r="C207" s="184">
        <v>9</v>
      </c>
      <c r="D207" s="9" t="s">
        <v>754</v>
      </c>
    </row>
    <row r="208" spans="1:4" ht="12.5">
      <c r="A208" s="186">
        <v>46150</v>
      </c>
      <c r="B208" s="184">
        <v>7002255510</v>
      </c>
      <c r="C208" s="184">
        <v>5</v>
      </c>
      <c r="D208" s="9" t="s">
        <v>751</v>
      </c>
    </row>
    <row r="209" spans="1:4" ht="12.5">
      <c r="A209" s="186">
        <v>46150</v>
      </c>
      <c r="B209" s="184">
        <v>7002256530</v>
      </c>
      <c r="C209" s="184">
        <v>2</v>
      </c>
      <c r="D209" s="9" t="s">
        <v>751</v>
      </c>
    </row>
    <row r="210" spans="1:4" ht="12.5">
      <c r="A210" s="186">
        <v>46150</v>
      </c>
      <c r="B210" s="184">
        <v>7002256553</v>
      </c>
      <c r="C210" s="184">
        <v>15</v>
      </c>
      <c r="D210" s="9" t="s">
        <v>752</v>
      </c>
    </row>
    <row r="211" spans="1:4" ht="12.5">
      <c r="A211" s="186">
        <v>46150</v>
      </c>
      <c r="B211" s="184">
        <v>7002257464</v>
      </c>
      <c r="C211" s="184">
        <v>1</v>
      </c>
      <c r="D211" s="9" t="s">
        <v>750</v>
      </c>
    </row>
    <row r="212" spans="1:4" ht="12.5">
      <c r="A212" s="186">
        <v>46150</v>
      </c>
      <c r="B212" s="184">
        <v>7002257554</v>
      </c>
      <c r="C212" s="184">
        <v>4</v>
      </c>
      <c r="D212" s="9" t="s">
        <v>751</v>
      </c>
    </row>
    <row r="213" spans="1:4" ht="12.5">
      <c r="A213" s="186">
        <v>46150</v>
      </c>
      <c r="B213" s="184">
        <v>7002258487</v>
      </c>
      <c r="C213" s="184">
        <v>2</v>
      </c>
      <c r="D213" s="9" t="s">
        <v>751</v>
      </c>
    </row>
    <row r="214" spans="1:4" ht="12.5">
      <c r="A214" s="186">
        <v>46150</v>
      </c>
      <c r="B214" s="184">
        <v>7002258545</v>
      </c>
      <c r="C214" s="184">
        <v>10</v>
      </c>
      <c r="D214" s="9" t="s">
        <v>754</v>
      </c>
    </row>
    <row r="215" spans="1:4" ht="12.5">
      <c r="A215" s="186">
        <v>46150</v>
      </c>
      <c r="B215" s="184">
        <v>7002258942</v>
      </c>
      <c r="C215" s="184">
        <v>2</v>
      </c>
      <c r="D215" s="9" t="s">
        <v>751</v>
      </c>
    </row>
    <row r="216" spans="1:4" ht="12.5">
      <c r="A216" s="186">
        <v>46150</v>
      </c>
      <c r="B216" s="184">
        <v>7002259490</v>
      </c>
      <c r="C216" s="184">
        <v>13</v>
      </c>
      <c r="D216" s="9" t="s">
        <v>752</v>
      </c>
    </row>
    <row r="217" spans="1:4" ht="12.5">
      <c r="A217" s="186">
        <v>46150</v>
      </c>
      <c r="B217" s="184">
        <v>7002259522</v>
      </c>
      <c r="C217" s="184">
        <v>4</v>
      </c>
      <c r="D217" s="9" t="s">
        <v>751</v>
      </c>
    </row>
    <row r="218" spans="1:4" ht="12.5">
      <c r="A218" s="186">
        <v>46150</v>
      </c>
      <c r="B218" s="184">
        <v>7002259546</v>
      </c>
      <c r="C218" s="184">
        <v>4</v>
      </c>
      <c r="D218" s="9" t="s">
        <v>751</v>
      </c>
    </row>
    <row r="219" spans="1:4" ht="12.5">
      <c r="A219" s="186">
        <v>46150</v>
      </c>
      <c r="B219" s="184">
        <v>7002260354</v>
      </c>
      <c r="C219" s="184">
        <v>2</v>
      </c>
      <c r="D219" s="9" t="s">
        <v>751</v>
      </c>
    </row>
    <row r="220" spans="1:4" ht="12.5">
      <c r="A220" s="186">
        <v>46150</v>
      </c>
      <c r="B220" s="184">
        <v>7002261382</v>
      </c>
      <c r="C220" s="184">
        <v>10</v>
      </c>
      <c r="D220" s="9" t="s">
        <v>754</v>
      </c>
    </row>
    <row r="221" spans="1:4" ht="12.5">
      <c r="A221" s="186">
        <v>46150</v>
      </c>
      <c r="B221" s="184">
        <v>7002261419</v>
      </c>
      <c r="C221" s="184">
        <v>8</v>
      </c>
      <c r="D221" s="9" t="s">
        <v>754</v>
      </c>
    </row>
    <row r="222" spans="1:4" ht="12.5">
      <c r="A222" s="186">
        <v>46150</v>
      </c>
      <c r="B222" s="184">
        <v>7002261457</v>
      </c>
      <c r="C222" s="184">
        <v>19</v>
      </c>
      <c r="D222" s="9" t="s">
        <v>752</v>
      </c>
    </row>
    <row r="223" spans="1:4" ht="12.5">
      <c r="A223" s="186">
        <v>46150</v>
      </c>
      <c r="B223" s="184">
        <v>7002262381</v>
      </c>
      <c r="C223" s="184">
        <v>62</v>
      </c>
      <c r="D223" s="9" t="s">
        <v>752</v>
      </c>
    </row>
    <row r="224" spans="1:4" ht="12.5">
      <c r="A224" s="186">
        <v>46150</v>
      </c>
      <c r="B224" s="184">
        <v>7002262418</v>
      </c>
      <c r="C224" s="184">
        <v>4</v>
      </c>
      <c r="D224" s="9" t="s">
        <v>751</v>
      </c>
    </row>
    <row r="225" spans="1:4" ht="12.5">
      <c r="A225" s="186">
        <v>46150</v>
      </c>
      <c r="B225" s="184">
        <v>7002262441</v>
      </c>
      <c r="C225" s="184">
        <v>14</v>
      </c>
      <c r="D225" s="9" t="s">
        <v>752</v>
      </c>
    </row>
    <row r="226" spans="1:4" ht="12.5">
      <c r="A226" s="186">
        <v>46150</v>
      </c>
      <c r="B226" s="184">
        <v>7002262730</v>
      </c>
      <c r="C226" s="184">
        <v>1</v>
      </c>
      <c r="D226" s="9" t="s">
        <v>750</v>
      </c>
    </row>
    <row r="227" spans="1:4" ht="12.5">
      <c r="A227" s="186">
        <v>46150</v>
      </c>
      <c r="B227" s="184">
        <v>7002263380</v>
      </c>
      <c r="C227" s="184">
        <v>52</v>
      </c>
      <c r="D227" s="9" t="s">
        <v>752</v>
      </c>
    </row>
    <row r="228" spans="1:4" ht="12.5">
      <c r="A228" s="186">
        <v>46150</v>
      </c>
      <c r="B228" s="184">
        <v>7002265169</v>
      </c>
      <c r="C228" s="184">
        <v>1</v>
      </c>
      <c r="D228" s="9" t="s">
        <v>750</v>
      </c>
    </row>
    <row r="229" spans="1:4" ht="12.5">
      <c r="A229" s="186">
        <v>46150</v>
      </c>
      <c r="B229" s="184">
        <v>7002265423</v>
      </c>
      <c r="C229" s="184">
        <v>50</v>
      </c>
      <c r="D229" s="9" t="s">
        <v>752</v>
      </c>
    </row>
    <row r="230" spans="1:4" ht="12.5">
      <c r="A230" s="186">
        <v>46150</v>
      </c>
      <c r="B230" s="184">
        <v>7002266424</v>
      </c>
      <c r="C230" s="184">
        <v>15</v>
      </c>
      <c r="D230" s="9" t="s">
        <v>752</v>
      </c>
    </row>
    <row r="231" spans="1:4" ht="12.5">
      <c r="A231" s="186">
        <v>46150</v>
      </c>
      <c r="B231" s="184">
        <v>7002266448</v>
      </c>
      <c r="C231" s="184">
        <v>1</v>
      </c>
      <c r="D231" s="9" t="s">
        <v>750</v>
      </c>
    </row>
    <row r="232" spans="1:4" ht="12.5">
      <c r="A232" s="186">
        <v>46150</v>
      </c>
      <c r="B232" s="184">
        <v>7002266833</v>
      </c>
      <c r="C232" s="184">
        <v>5</v>
      </c>
      <c r="D232" s="9" t="s">
        <v>751</v>
      </c>
    </row>
    <row r="233" spans="1:4" ht="12.5">
      <c r="A233" s="186">
        <v>46150</v>
      </c>
      <c r="B233" s="184">
        <v>7002267420</v>
      </c>
      <c r="C233" s="184">
        <v>1</v>
      </c>
      <c r="D233" s="9" t="s">
        <v>750</v>
      </c>
    </row>
    <row r="234" spans="1:4" ht="12.5">
      <c r="A234" s="186">
        <v>46150</v>
      </c>
      <c r="B234" s="184">
        <v>7002268392</v>
      </c>
      <c r="C234" s="184">
        <v>1</v>
      </c>
      <c r="D234" s="9" t="s">
        <v>750</v>
      </c>
    </row>
    <row r="235" spans="1:4" ht="12.5">
      <c r="A235" s="186">
        <v>46150</v>
      </c>
      <c r="B235" s="184">
        <v>7002268445</v>
      </c>
      <c r="C235" s="184">
        <v>12</v>
      </c>
      <c r="D235" s="9" t="s">
        <v>752</v>
      </c>
    </row>
    <row r="236" spans="1:4" ht="12.5">
      <c r="A236" s="186">
        <v>46150</v>
      </c>
      <c r="B236" s="184">
        <v>7002268450</v>
      </c>
      <c r="C236" s="184">
        <v>2</v>
      </c>
      <c r="D236" s="9" t="s">
        <v>751</v>
      </c>
    </row>
    <row r="237" spans="1:4" ht="12.5">
      <c r="A237" s="186">
        <v>46150</v>
      </c>
      <c r="B237" s="184">
        <v>7002269535</v>
      </c>
      <c r="C237" s="184">
        <v>19</v>
      </c>
      <c r="D237" s="9" t="s">
        <v>752</v>
      </c>
    </row>
    <row r="238" spans="1:4" ht="12.5">
      <c r="A238" s="186">
        <v>46150</v>
      </c>
      <c r="B238" s="184">
        <v>7002269673</v>
      </c>
      <c r="C238" s="184">
        <v>6</v>
      </c>
      <c r="D238" s="9" t="s">
        <v>754</v>
      </c>
    </row>
    <row r="239" spans="1:4" ht="12.5">
      <c r="A239" s="186">
        <v>46150</v>
      </c>
      <c r="B239" s="184">
        <v>7002275077</v>
      </c>
      <c r="C239" s="184">
        <v>6</v>
      </c>
      <c r="D239" s="9" t="s">
        <v>754</v>
      </c>
    </row>
    <row r="240" spans="1:4" ht="12.5">
      <c r="A240" s="186">
        <v>46150</v>
      </c>
      <c r="B240" s="184">
        <v>7002278257</v>
      </c>
      <c r="C240" s="184">
        <v>1</v>
      </c>
      <c r="D240" s="9" t="s">
        <v>750</v>
      </c>
    </row>
    <row r="241" spans="1:4" ht="12.5">
      <c r="A241" s="186">
        <v>46151</v>
      </c>
      <c r="B241" s="189">
        <v>7000857971</v>
      </c>
      <c r="C241" s="189">
        <v>0</v>
      </c>
      <c r="D241" s="9" t="s">
        <v>755</v>
      </c>
    </row>
    <row r="242" spans="1:4" ht="12.5">
      <c r="A242" s="186">
        <v>46151</v>
      </c>
      <c r="B242" s="189">
        <v>7000874786</v>
      </c>
      <c r="C242" s="189">
        <v>0</v>
      </c>
      <c r="D242" s="9" t="s">
        <v>755</v>
      </c>
    </row>
    <row r="243" spans="1:4" ht="12.5">
      <c r="A243" s="186">
        <v>46151</v>
      </c>
      <c r="B243" s="189">
        <v>7000878783</v>
      </c>
      <c r="C243" s="189">
        <v>0</v>
      </c>
      <c r="D243" s="9" t="s">
        <v>755</v>
      </c>
    </row>
    <row r="244" spans="1:4" ht="12.5">
      <c r="A244" s="186">
        <v>46151</v>
      </c>
      <c r="B244" s="189">
        <v>7000908997</v>
      </c>
      <c r="C244" s="189">
        <v>1</v>
      </c>
      <c r="D244" s="9" t="s">
        <v>750</v>
      </c>
    </row>
    <row r="245" spans="1:4" ht="12.5">
      <c r="A245" s="186">
        <v>46151</v>
      </c>
      <c r="B245" s="189">
        <v>7000918024</v>
      </c>
      <c r="C245" s="189">
        <v>19</v>
      </c>
      <c r="D245" s="9" t="s">
        <v>752</v>
      </c>
    </row>
    <row r="246" spans="1:4" ht="12.5">
      <c r="A246" s="186">
        <v>46151</v>
      </c>
      <c r="B246" s="189">
        <v>7001204815</v>
      </c>
      <c r="C246" s="189">
        <v>0</v>
      </c>
      <c r="D246" s="9" t="s">
        <v>755</v>
      </c>
    </row>
    <row r="247" spans="1:4" ht="12.5">
      <c r="A247" s="186">
        <v>46151</v>
      </c>
      <c r="B247" s="189">
        <v>7001209358</v>
      </c>
      <c r="C247" s="189">
        <v>17</v>
      </c>
      <c r="D247" s="9" t="s">
        <v>752</v>
      </c>
    </row>
    <row r="248" spans="1:4" ht="12.5">
      <c r="A248" s="186">
        <v>46151</v>
      </c>
      <c r="B248" s="189">
        <v>7001246118</v>
      </c>
      <c r="C248" s="189">
        <v>0</v>
      </c>
      <c r="D248" s="9" t="s">
        <v>755</v>
      </c>
    </row>
    <row r="249" spans="1:4" ht="12.5">
      <c r="A249" s="186">
        <v>46151</v>
      </c>
      <c r="B249" s="189">
        <v>7001401381</v>
      </c>
      <c r="C249" s="189">
        <v>0</v>
      </c>
      <c r="D249" s="9" t="s">
        <v>755</v>
      </c>
    </row>
    <row r="250" spans="1:4" ht="12.5">
      <c r="A250" s="186">
        <v>46151</v>
      </c>
      <c r="B250" s="189">
        <v>7001606418</v>
      </c>
      <c r="C250" s="189">
        <v>0</v>
      </c>
      <c r="D250" s="9" t="s">
        <v>755</v>
      </c>
    </row>
    <row r="251" spans="1:4" ht="12.5">
      <c r="A251" s="186">
        <v>46151</v>
      </c>
      <c r="B251" s="189">
        <v>7001623882</v>
      </c>
      <c r="C251" s="189">
        <v>0</v>
      </c>
      <c r="D251" s="9" t="s">
        <v>755</v>
      </c>
    </row>
    <row r="252" spans="1:4" ht="12.5">
      <c r="A252" s="186">
        <v>46151</v>
      </c>
      <c r="B252" s="189">
        <v>7001727096</v>
      </c>
      <c r="C252" s="189">
        <v>1</v>
      </c>
      <c r="D252" s="9" t="s">
        <v>750</v>
      </c>
    </row>
    <row r="253" spans="1:4" ht="12.5">
      <c r="A253" s="186">
        <v>46151</v>
      </c>
      <c r="B253" s="189">
        <v>7001778553</v>
      </c>
      <c r="C253" s="189">
        <v>605</v>
      </c>
      <c r="D253" s="9" t="s">
        <v>752</v>
      </c>
    </row>
    <row r="254" spans="1:4" ht="12.5">
      <c r="A254" s="186">
        <v>46151</v>
      </c>
      <c r="B254" s="189">
        <v>7001828300</v>
      </c>
      <c r="C254" s="189">
        <v>0</v>
      </c>
      <c r="D254" s="9" t="s">
        <v>755</v>
      </c>
    </row>
    <row r="255" spans="1:4" ht="12.5">
      <c r="A255" s="186">
        <v>46151</v>
      </c>
      <c r="B255" s="189">
        <v>7001855910</v>
      </c>
      <c r="C255" s="189">
        <v>0</v>
      </c>
      <c r="D255" s="9" t="s">
        <v>755</v>
      </c>
    </row>
    <row r="256" spans="1:4" ht="12.5">
      <c r="A256" s="186">
        <v>46151</v>
      </c>
      <c r="B256" s="189">
        <v>7001856907</v>
      </c>
      <c r="C256" s="189">
        <v>4</v>
      </c>
      <c r="D256" s="9" t="s">
        <v>751</v>
      </c>
    </row>
    <row r="257" spans="1:4" ht="12.5">
      <c r="A257" s="186">
        <v>46151</v>
      </c>
      <c r="B257" s="189">
        <v>7002120499</v>
      </c>
      <c r="C257" s="189">
        <v>34</v>
      </c>
      <c r="D257" s="9" t="s">
        <v>752</v>
      </c>
    </row>
    <row r="258" spans="1:4" ht="12.5">
      <c r="A258" s="186">
        <v>46151</v>
      </c>
      <c r="B258" s="189">
        <v>7002144263</v>
      </c>
      <c r="C258" s="189">
        <v>16</v>
      </c>
      <c r="D258" s="9" t="s">
        <v>752</v>
      </c>
    </row>
    <row r="259" spans="1:4" ht="12.5">
      <c r="A259" s="186">
        <v>46151</v>
      </c>
      <c r="B259" s="189">
        <v>7002146535</v>
      </c>
      <c r="C259" s="189">
        <v>4</v>
      </c>
      <c r="D259" s="9" t="s">
        <v>751</v>
      </c>
    </row>
    <row r="260" spans="1:4" ht="12.5">
      <c r="A260" s="186">
        <v>46151</v>
      </c>
      <c r="B260" s="189">
        <v>7002169758</v>
      </c>
      <c r="C260" s="189">
        <v>20</v>
      </c>
      <c r="D260" s="9" t="s">
        <v>752</v>
      </c>
    </row>
    <row r="261" spans="1:4" ht="12.5">
      <c r="A261" s="186">
        <v>46151</v>
      </c>
      <c r="B261" s="189">
        <v>7002178944</v>
      </c>
      <c r="C261" s="189">
        <v>48</v>
      </c>
      <c r="D261" s="9" t="s">
        <v>752</v>
      </c>
    </row>
    <row r="262" spans="1:4" ht="12.5">
      <c r="A262" s="186">
        <v>46151</v>
      </c>
      <c r="B262" s="189">
        <v>7002182366</v>
      </c>
      <c r="C262" s="189">
        <v>2</v>
      </c>
      <c r="D262" s="9" t="s">
        <v>751</v>
      </c>
    </row>
    <row r="263" spans="1:4" ht="12.5">
      <c r="A263" s="186">
        <v>46151</v>
      </c>
      <c r="B263" s="189">
        <v>7002183225</v>
      </c>
      <c r="C263" s="189">
        <v>1</v>
      </c>
      <c r="D263" s="9" t="s">
        <v>750</v>
      </c>
    </row>
    <row r="264" spans="1:4" ht="12.5">
      <c r="A264" s="186">
        <v>46151</v>
      </c>
      <c r="B264" s="189">
        <v>7002185214</v>
      </c>
      <c r="C264" s="189">
        <v>5</v>
      </c>
      <c r="D264" s="9" t="s">
        <v>751</v>
      </c>
    </row>
    <row r="265" spans="1:4" ht="12.5">
      <c r="A265" s="186">
        <v>46151</v>
      </c>
      <c r="B265" s="189">
        <v>7002186363</v>
      </c>
      <c r="C265" s="189">
        <v>20</v>
      </c>
      <c r="D265" s="9" t="s">
        <v>752</v>
      </c>
    </row>
    <row r="266" spans="1:4" ht="12.5">
      <c r="A266" s="186">
        <v>46151</v>
      </c>
      <c r="B266" s="189">
        <v>7002191268</v>
      </c>
      <c r="C266" s="189">
        <v>14</v>
      </c>
      <c r="D266" s="9" t="s">
        <v>752</v>
      </c>
    </row>
    <row r="267" spans="1:4" ht="12.5">
      <c r="A267" s="186">
        <v>46151</v>
      </c>
      <c r="B267" s="189">
        <v>7002192362</v>
      </c>
      <c r="C267" s="189">
        <v>1</v>
      </c>
      <c r="D267" s="9" t="s">
        <v>750</v>
      </c>
    </row>
    <row r="268" spans="1:4" ht="12.5">
      <c r="A268" s="186">
        <v>46151</v>
      </c>
      <c r="B268" s="189">
        <v>7002194387</v>
      </c>
      <c r="C268" s="189">
        <v>1</v>
      </c>
      <c r="D268" s="9" t="s">
        <v>750</v>
      </c>
    </row>
    <row r="269" spans="1:4" ht="12.5">
      <c r="A269" s="186">
        <v>46151</v>
      </c>
      <c r="B269" s="189">
        <v>7002196367</v>
      </c>
      <c r="C269" s="189">
        <v>1</v>
      </c>
      <c r="D269" s="9" t="s">
        <v>750</v>
      </c>
    </row>
    <row r="270" spans="1:4" ht="12.5">
      <c r="A270" s="186">
        <v>46151</v>
      </c>
      <c r="B270" s="189">
        <v>7002197521</v>
      </c>
      <c r="C270" s="189">
        <v>1</v>
      </c>
      <c r="D270" s="9" t="s">
        <v>750</v>
      </c>
    </row>
    <row r="271" spans="1:4" ht="12.5">
      <c r="A271" s="186">
        <v>46151</v>
      </c>
      <c r="B271" s="189">
        <v>7002198348</v>
      </c>
      <c r="C271" s="189">
        <v>5</v>
      </c>
      <c r="D271" s="9" t="s">
        <v>751</v>
      </c>
    </row>
    <row r="272" spans="1:4" ht="12.5">
      <c r="A272" s="186">
        <v>46151</v>
      </c>
      <c r="B272" s="189">
        <v>7002199404</v>
      </c>
      <c r="C272" s="189">
        <v>1</v>
      </c>
      <c r="D272" s="9" t="s">
        <v>750</v>
      </c>
    </row>
    <row r="273" spans="1:4" ht="12.5">
      <c r="A273" s="186">
        <v>46151</v>
      </c>
      <c r="B273" s="189">
        <v>7002202248</v>
      </c>
      <c r="C273" s="189">
        <v>6</v>
      </c>
      <c r="D273" s="9" t="s">
        <v>753</v>
      </c>
    </row>
    <row r="274" spans="1:4" ht="12.5">
      <c r="A274" s="186">
        <v>46151</v>
      </c>
      <c r="B274" s="189">
        <v>7002202282</v>
      </c>
      <c r="C274" s="189">
        <v>6</v>
      </c>
      <c r="D274" s="9" t="s">
        <v>753</v>
      </c>
    </row>
    <row r="275" spans="1:4" ht="12.5">
      <c r="A275" s="186">
        <v>46151</v>
      </c>
      <c r="B275" s="189">
        <v>7002203268</v>
      </c>
      <c r="C275" s="189">
        <v>9</v>
      </c>
      <c r="D275" s="9" t="s">
        <v>753</v>
      </c>
    </row>
    <row r="276" spans="1:4" ht="12.5">
      <c r="A276" s="186">
        <v>46151</v>
      </c>
      <c r="B276" s="189">
        <v>7002204465</v>
      </c>
      <c r="C276" s="189">
        <v>1</v>
      </c>
      <c r="D276" s="9" t="s">
        <v>750</v>
      </c>
    </row>
    <row r="277" spans="1:4" ht="12.5">
      <c r="A277" s="186">
        <v>46151</v>
      </c>
      <c r="B277" s="189">
        <v>7002205264</v>
      </c>
      <c r="C277" s="189">
        <v>2</v>
      </c>
      <c r="D277" s="9" t="s">
        <v>751</v>
      </c>
    </row>
    <row r="278" spans="1:4" ht="12.5">
      <c r="A278" s="186">
        <v>46151</v>
      </c>
      <c r="B278" s="189">
        <v>7002205353</v>
      </c>
      <c r="C278" s="189">
        <v>1</v>
      </c>
      <c r="D278" s="9" t="s">
        <v>750</v>
      </c>
    </row>
    <row r="279" spans="1:4" ht="12.5">
      <c r="A279" s="186">
        <v>46151</v>
      </c>
      <c r="B279" s="189">
        <v>7002205634</v>
      </c>
      <c r="C279" s="189">
        <v>3</v>
      </c>
      <c r="D279" s="9" t="s">
        <v>751</v>
      </c>
    </row>
    <row r="280" spans="1:4" ht="12.5">
      <c r="A280" s="186">
        <v>46151</v>
      </c>
      <c r="B280" s="189">
        <v>7002209646</v>
      </c>
      <c r="C280" s="189">
        <v>1</v>
      </c>
      <c r="D280" s="9" t="s">
        <v>750</v>
      </c>
    </row>
    <row r="281" spans="1:4" ht="12.5">
      <c r="A281" s="186">
        <v>46151</v>
      </c>
      <c r="B281" s="189">
        <v>7002210783</v>
      </c>
      <c r="C281" s="189">
        <v>1</v>
      </c>
      <c r="D281" s="9" t="s">
        <v>750</v>
      </c>
    </row>
    <row r="282" spans="1:4" ht="12.5">
      <c r="A282" s="186">
        <v>46151</v>
      </c>
      <c r="B282" s="189">
        <v>7002214022</v>
      </c>
      <c r="C282" s="189">
        <v>2</v>
      </c>
      <c r="D282" s="9" t="s">
        <v>751</v>
      </c>
    </row>
    <row r="283" spans="1:4" ht="12.5">
      <c r="A283" s="186">
        <v>46151</v>
      </c>
      <c r="B283" s="189">
        <v>7002215342</v>
      </c>
      <c r="C283" s="189">
        <v>2</v>
      </c>
      <c r="D283" s="9" t="s">
        <v>751</v>
      </c>
    </row>
    <row r="284" spans="1:4" ht="12.5">
      <c r="A284" s="186">
        <v>46151</v>
      </c>
      <c r="B284" s="189">
        <v>7002221541</v>
      </c>
      <c r="C284" s="189">
        <v>2</v>
      </c>
      <c r="D284" s="9" t="s">
        <v>751</v>
      </c>
    </row>
    <row r="285" spans="1:4" ht="12.5">
      <c r="A285" s="186">
        <v>46151</v>
      </c>
      <c r="B285" s="189">
        <v>7002227622</v>
      </c>
      <c r="C285" s="189">
        <v>2</v>
      </c>
      <c r="D285" s="9" t="s">
        <v>751</v>
      </c>
    </row>
    <row r="286" spans="1:4" ht="12.5">
      <c r="A286" s="186">
        <v>46151</v>
      </c>
      <c r="B286" s="189">
        <v>7002250558</v>
      </c>
      <c r="C286" s="189">
        <v>3</v>
      </c>
      <c r="D286" s="9" t="s">
        <v>751</v>
      </c>
    </row>
    <row r="287" spans="1:4" ht="12.5">
      <c r="A287" s="186">
        <v>46151</v>
      </c>
      <c r="B287" s="189">
        <v>7002253637</v>
      </c>
      <c r="C287" s="189">
        <v>3</v>
      </c>
      <c r="D287" s="9" t="s">
        <v>751</v>
      </c>
    </row>
    <row r="288" spans="1:4" ht="12.5">
      <c r="A288" s="186">
        <v>46151</v>
      </c>
      <c r="B288" s="189">
        <v>7002254563</v>
      </c>
      <c r="C288" s="189">
        <v>5</v>
      </c>
      <c r="D288" s="9" t="s">
        <v>751</v>
      </c>
    </row>
    <row r="289" spans="1:4" ht="12.5">
      <c r="A289" s="186">
        <v>46151</v>
      </c>
      <c r="B289" s="189">
        <v>7002254615</v>
      </c>
      <c r="C289" s="189">
        <v>3</v>
      </c>
      <c r="D289" s="9" t="s">
        <v>751</v>
      </c>
    </row>
    <row r="290" spans="1:4" ht="12.5">
      <c r="A290" s="186">
        <v>46151</v>
      </c>
      <c r="B290" s="189">
        <v>7002254627</v>
      </c>
      <c r="C290" s="189">
        <v>2</v>
      </c>
      <c r="D290" s="9" t="s">
        <v>751</v>
      </c>
    </row>
    <row r="291" spans="1:4" ht="12.5">
      <c r="A291" s="186">
        <v>46151</v>
      </c>
      <c r="B291" s="189">
        <v>7002254643</v>
      </c>
      <c r="C291" s="189">
        <v>3</v>
      </c>
      <c r="D291" s="9" t="s">
        <v>751</v>
      </c>
    </row>
    <row r="292" spans="1:4" ht="12.5">
      <c r="A292" s="186">
        <v>46151</v>
      </c>
      <c r="B292" s="189">
        <v>7002254662</v>
      </c>
      <c r="C292" s="189">
        <v>3</v>
      </c>
      <c r="D292" s="9" t="s">
        <v>751</v>
      </c>
    </row>
    <row r="293" spans="1:4" ht="12.5">
      <c r="A293" s="186">
        <v>46151</v>
      </c>
      <c r="B293" s="189">
        <v>7002256654</v>
      </c>
      <c r="C293" s="189">
        <v>2</v>
      </c>
      <c r="D293" s="9" t="s">
        <v>751</v>
      </c>
    </row>
    <row r="294" spans="1:4" ht="12.5">
      <c r="A294" s="186">
        <v>46151</v>
      </c>
      <c r="B294" s="189">
        <v>7002258532</v>
      </c>
      <c r="C294" s="189">
        <v>1</v>
      </c>
      <c r="D294" s="9" t="s">
        <v>750</v>
      </c>
    </row>
    <row r="295" spans="1:4" ht="12.5">
      <c r="A295" s="186">
        <v>46151</v>
      </c>
      <c r="B295" s="189">
        <v>7002261118</v>
      </c>
      <c r="C295" s="189">
        <v>2</v>
      </c>
      <c r="D295" s="9" t="s">
        <v>751</v>
      </c>
    </row>
    <row r="296" spans="1:4" ht="12.5">
      <c r="A296" s="186">
        <v>46151</v>
      </c>
      <c r="B296" s="189">
        <v>7002261442</v>
      </c>
      <c r="C296" s="189">
        <v>1</v>
      </c>
      <c r="D296" s="9" t="s">
        <v>750</v>
      </c>
    </row>
    <row r="297" spans="1:4" ht="12.5">
      <c r="A297" s="186">
        <v>46151</v>
      </c>
      <c r="B297" s="189">
        <v>7002262460</v>
      </c>
      <c r="C297" s="189">
        <v>12</v>
      </c>
      <c r="D297" s="9" t="s">
        <v>752</v>
      </c>
    </row>
    <row r="298" spans="1:4" ht="12.5">
      <c r="A298" s="186">
        <v>46151</v>
      </c>
      <c r="B298" s="189">
        <v>7002263438</v>
      </c>
      <c r="C298" s="189">
        <v>1</v>
      </c>
      <c r="D298" s="9" t="s">
        <v>750</v>
      </c>
    </row>
    <row r="299" spans="1:4" ht="12.5">
      <c r="A299" s="186">
        <v>46151</v>
      </c>
      <c r="B299" s="189">
        <v>7002266029</v>
      </c>
      <c r="C299" s="189">
        <v>6</v>
      </c>
      <c r="D299" s="9" t="s">
        <v>753</v>
      </c>
    </row>
    <row r="300" spans="1:4" ht="12.5">
      <c r="A300" s="186">
        <v>46151</v>
      </c>
      <c r="B300" s="189">
        <v>7002266476</v>
      </c>
      <c r="C300" s="189">
        <v>2</v>
      </c>
      <c r="D300" s="9" t="s">
        <v>751</v>
      </c>
    </row>
    <row r="301" spans="1:4" ht="12.5">
      <c r="A301" s="186">
        <v>46151</v>
      </c>
      <c r="B301" s="189">
        <v>7002266741</v>
      </c>
      <c r="C301" s="189">
        <v>4</v>
      </c>
      <c r="D301" s="9" t="s">
        <v>751</v>
      </c>
    </row>
    <row r="302" spans="1:4" ht="12.5">
      <c r="A302" s="186">
        <v>46151</v>
      </c>
      <c r="B302" s="189">
        <v>7002269211</v>
      </c>
      <c r="C302" s="189">
        <v>1</v>
      </c>
      <c r="D302" s="9" t="s">
        <v>750</v>
      </c>
    </row>
    <row r="303" spans="1:4" ht="12.5">
      <c r="A303" s="186">
        <v>46151</v>
      </c>
      <c r="B303" s="189">
        <v>7002269479</v>
      </c>
      <c r="C303" s="189">
        <v>17</v>
      </c>
      <c r="D303" s="9" t="s">
        <v>752</v>
      </c>
    </row>
    <row r="304" spans="1:4" ht="12.5">
      <c r="A304" s="186">
        <v>46151</v>
      </c>
      <c r="B304" s="189">
        <v>7002271001</v>
      </c>
      <c r="C304" s="189">
        <v>1</v>
      </c>
      <c r="D304" s="9" t="s">
        <v>750</v>
      </c>
    </row>
    <row r="305" spans="1:4" ht="12.5">
      <c r="A305" s="186">
        <v>46151</v>
      </c>
      <c r="B305" s="189">
        <v>7002271335</v>
      </c>
      <c r="C305" s="189">
        <v>11</v>
      </c>
      <c r="D305" s="9" t="s">
        <v>752</v>
      </c>
    </row>
    <row r="306" spans="1:4" ht="12.5">
      <c r="A306" s="186">
        <v>46151</v>
      </c>
      <c r="B306" s="189">
        <v>7002271357</v>
      </c>
      <c r="C306" s="189">
        <v>12</v>
      </c>
      <c r="D306" s="9" t="s">
        <v>752</v>
      </c>
    </row>
    <row r="307" spans="1:4" ht="12.5">
      <c r="A307" s="186">
        <v>46151</v>
      </c>
      <c r="B307" s="189">
        <v>7002271495</v>
      </c>
      <c r="C307" s="189">
        <v>1</v>
      </c>
      <c r="D307" s="9" t="s">
        <v>750</v>
      </c>
    </row>
    <row r="308" spans="1:4" ht="12.5">
      <c r="A308" s="186">
        <v>46151</v>
      </c>
      <c r="B308" s="189">
        <v>7002271627</v>
      </c>
      <c r="C308" s="189">
        <v>5</v>
      </c>
      <c r="D308" s="9" t="s">
        <v>751</v>
      </c>
    </row>
    <row r="309" spans="1:4" ht="12.5">
      <c r="A309" s="186">
        <v>46151</v>
      </c>
      <c r="B309" s="189">
        <v>7002271822</v>
      </c>
      <c r="C309" s="189">
        <v>14</v>
      </c>
      <c r="D309" s="9" t="s">
        <v>752</v>
      </c>
    </row>
    <row r="310" spans="1:4" ht="12.5">
      <c r="A310" s="186">
        <v>46151</v>
      </c>
      <c r="B310" s="189">
        <v>7002273168</v>
      </c>
      <c r="C310" s="189">
        <v>3</v>
      </c>
      <c r="D310" s="9" t="s">
        <v>751</v>
      </c>
    </row>
    <row r="311" spans="1:4" ht="12.5">
      <c r="A311" s="186">
        <v>46151</v>
      </c>
      <c r="B311" s="189">
        <v>7002274198</v>
      </c>
      <c r="C311" s="189">
        <v>1</v>
      </c>
      <c r="D311" s="9" t="s">
        <v>750</v>
      </c>
    </row>
    <row r="312" spans="1:4" ht="12.5">
      <c r="A312" s="186">
        <v>46151</v>
      </c>
      <c r="B312" s="189">
        <v>7002274344</v>
      </c>
      <c r="C312" s="189">
        <v>20</v>
      </c>
      <c r="D312" s="9" t="s">
        <v>752</v>
      </c>
    </row>
    <row r="313" spans="1:4" ht="12.5">
      <c r="A313" s="186">
        <v>46151</v>
      </c>
      <c r="B313" s="189">
        <v>7002275334</v>
      </c>
      <c r="C313" s="189">
        <v>46</v>
      </c>
      <c r="D313" s="9" t="s">
        <v>752</v>
      </c>
    </row>
    <row r="314" spans="1:4" ht="12.5">
      <c r="A314" s="186">
        <v>46151</v>
      </c>
      <c r="B314" s="189">
        <v>7002275509</v>
      </c>
      <c r="C314" s="189">
        <v>38</v>
      </c>
      <c r="D314" s="9" t="s">
        <v>752</v>
      </c>
    </row>
    <row r="315" spans="1:4" ht="12.5">
      <c r="A315" s="186">
        <v>46151</v>
      </c>
      <c r="B315" s="189">
        <v>7002276330</v>
      </c>
      <c r="C315" s="189">
        <v>37</v>
      </c>
      <c r="D315" s="9" t="s">
        <v>752</v>
      </c>
    </row>
    <row r="316" spans="1:4" ht="12.5">
      <c r="A316" s="186">
        <v>46151</v>
      </c>
      <c r="B316" s="189">
        <v>7002276461</v>
      </c>
      <c r="C316" s="189">
        <v>15</v>
      </c>
      <c r="D316" s="9" t="s">
        <v>752</v>
      </c>
    </row>
    <row r="317" spans="1:4" ht="12.5">
      <c r="A317" s="186">
        <v>46151</v>
      </c>
      <c r="B317" s="189">
        <v>7002276505</v>
      </c>
      <c r="C317" s="189">
        <v>9</v>
      </c>
      <c r="D317" s="9" t="s">
        <v>753</v>
      </c>
    </row>
    <row r="318" spans="1:4" ht="12.5">
      <c r="A318" s="186">
        <v>46151</v>
      </c>
      <c r="B318" s="189">
        <v>7002277510</v>
      </c>
      <c r="C318" s="189">
        <v>2</v>
      </c>
      <c r="D318" s="9" t="s">
        <v>751</v>
      </c>
    </row>
    <row r="319" spans="1:4" ht="12.5">
      <c r="A319" s="186">
        <v>46151</v>
      </c>
      <c r="B319" s="189">
        <v>7002277607</v>
      </c>
      <c r="C319" s="189">
        <v>5</v>
      </c>
      <c r="D319" s="9" t="s">
        <v>751</v>
      </c>
    </row>
    <row r="320" spans="1:4" ht="12.5">
      <c r="A320" s="186">
        <v>46151</v>
      </c>
      <c r="B320" s="189">
        <v>7002277624</v>
      </c>
      <c r="C320" s="189">
        <v>10</v>
      </c>
      <c r="D320" s="9" t="s">
        <v>752</v>
      </c>
    </row>
    <row r="321" spans="1:4" ht="12.5">
      <c r="A321" s="186">
        <v>46151</v>
      </c>
      <c r="B321" s="189">
        <v>7002278507</v>
      </c>
      <c r="C321" s="189">
        <v>1</v>
      </c>
      <c r="D321" s="9" t="s">
        <v>750</v>
      </c>
    </row>
    <row r="322" spans="1:4" ht="12.5">
      <c r="A322" s="186">
        <v>46151</v>
      </c>
      <c r="B322" s="189">
        <v>7002278511</v>
      </c>
      <c r="C322" s="189">
        <v>46</v>
      </c>
      <c r="D322" s="9" t="s">
        <v>752</v>
      </c>
    </row>
    <row r="323" spans="1:4" ht="12.5">
      <c r="A323" s="186">
        <v>46151</v>
      </c>
      <c r="B323" s="189">
        <v>7002278612</v>
      </c>
      <c r="C323" s="189">
        <v>2</v>
      </c>
      <c r="D323" s="9" t="s">
        <v>751</v>
      </c>
    </row>
    <row r="324" spans="1:4" ht="12.5">
      <c r="A324" s="186">
        <v>46151</v>
      </c>
      <c r="B324" s="189">
        <v>7002278714</v>
      </c>
      <c r="C324" s="189">
        <v>9</v>
      </c>
      <c r="D324" s="9" t="s">
        <v>753</v>
      </c>
    </row>
    <row r="325" spans="1:4" ht="12.5">
      <c r="A325" s="186">
        <v>46151</v>
      </c>
      <c r="B325" s="189">
        <v>7002279291</v>
      </c>
      <c r="C325" s="189">
        <v>11</v>
      </c>
      <c r="D325" s="9" t="s">
        <v>752</v>
      </c>
    </row>
    <row r="326" spans="1:4" ht="12.5">
      <c r="A326" s="186">
        <v>46151</v>
      </c>
      <c r="B326" s="189">
        <v>7002281860</v>
      </c>
      <c r="C326" s="189">
        <v>8</v>
      </c>
      <c r="D326" s="9" t="s">
        <v>753</v>
      </c>
    </row>
    <row r="327" spans="1:4" ht="12.5">
      <c r="A327" s="186">
        <v>46151</v>
      </c>
      <c r="B327" s="189">
        <v>7002281894</v>
      </c>
      <c r="C327" s="189">
        <v>19</v>
      </c>
      <c r="D327" s="9" t="s">
        <v>752</v>
      </c>
    </row>
    <row r="328" spans="1:4" ht="12.5">
      <c r="A328" s="186">
        <v>46151</v>
      </c>
      <c r="B328" s="189">
        <v>7002282801</v>
      </c>
      <c r="C328" s="189">
        <v>48</v>
      </c>
      <c r="D328" s="9" t="s">
        <v>752</v>
      </c>
    </row>
    <row r="329" spans="1:4" ht="12.5">
      <c r="A329" s="186">
        <v>46151</v>
      </c>
      <c r="B329" s="189">
        <v>7002282864</v>
      </c>
      <c r="C329" s="189">
        <v>115</v>
      </c>
      <c r="D329" s="9" t="s">
        <v>752</v>
      </c>
    </row>
    <row r="330" spans="1:4" ht="12.5">
      <c r="A330" s="186">
        <v>46151</v>
      </c>
      <c r="B330" s="189">
        <v>7002282893</v>
      </c>
      <c r="C330" s="189">
        <v>2</v>
      </c>
      <c r="D330" s="9" t="s">
        <v>751</v>
      </c>
    </row>
    <row r="331" spans="1:4" ht="12.5">
      <c r="A331" s="186">
        <v>46151</v>
      </c>
      <c r="B331" s="189">
        <v>7002283844</v>
      </c>
      <c r="C331" s="189">
        <v>31</v>
      </c>
      <c r="D331" s="9" t="s">
        <v>752</v>
      </c>
    </row>
    <row r="332" spans="1:4" ht="12.5">
      <c r="A332" s="186">
        <v>46151</v>
      </c>
      <c r="B332" s="189">
        <v>7002283859</v>
      </c>
      <c r="C332" s="189">
        <v>62</v>
      </c>
      <c r="D332" s="9" t="s">
        <v>752</v>
      </c>
    </row>
    <row r="333" spans="1:4" ht="12.5">
      <c r="A333" s="186">
        <v>46151</v>
      </c>
      <c r="B333" s="189">
        <v>7002283863</v>
      </c>
      <c r="C333" s="189">
        <v>4</v>
      </c>
      <c r="D333" s="9" t="s">
        <v>751</v>
      </c>
    </row>
    <row r="334" spans="1:4" ht="12.5">
      <c r="A334" s="186">
        <v>46151</v>
      </c>
      <c r="B334" s="189">
        <v>7002283892</v>
      </c>
      <c r="C334" s="189">
        <v>4</v>
      </c>
      <c r="D334" s="9" t="s">
        <v>751</v>
      </c>
    </row>
    <row r="335" spans="1:4" ht="12.5">
      <c r="A335" s="186">
        <v>46151</v>
      </c>
      <c r="B335" s="189">
        <v>7002284473</v>
      </c>
      <c r="C335" s="189">
        <v>2</v>
      </c>
      <c r="D335" s="9" t="s">
        <v>751</v>
      </c>
    </row>
    <row r="336" spans="1:4" ht="12.5">
      <c r="A336" s="186">
        <v>46151</v>
      </c>
      <c r="B336" s="189">
        <v>7002284827</v>
      </c>
      <c r="C336" s="189">
        <v>3</v>
      </c>
      <c r="D336" s="9" t="s">
        <v>751</v>
      </c>
    </row>
    <row r="337" spans="1:4" ht="12.5">
      <c r="A337" s="186">
        <v>46151</v>
      </c>
      <c r="B337" s="189">
        <v>7002285789</v>
      </c>
      <c r="C337" s="189">
        <v>3</v>
      </c>
      <c r="D337" s="9" t="s">
        <v>751</v>
      </c>
    </row>
    <row r="338" spans="1:4" ht="12.5">
      <c r="A338" s="186">
        <v>46151</v>
      </c>
      <c r="B338" s="189">
        <v>7002285791</v>
      </c>
      <c r="C338" s="189">
        <v>14</v>
      </c>
      <c r="D338" s="9" t="s">
        <v>752</v>
      </c>
    </row>
    <row r="339" spans="1:4" ht="12.5">
      <c r="A339" s="186">
        <v>46151</v>
      </c>
      <c r="B339" s="189">
        <v>7002286865</v>
      </c>
      <c r="C339" s="189">
        <v>9</v>
      </c>
      <c r="D339" s="9" t="s">
        <v>753</v>
      </c>
    </row>
    <row r="340" spans="1:4" ht="12.5">
      <c r="A340" s="186">
        <v>46151</v>
      </c>
      <c r="B340" s="189">
        <v>7002287772</v>
      </c>
      <c r="C340" s="189">
        <v>1</v>
      </c>
      <c r="D340" s="9" t="s">
        <v>750</v>
      </c>
    </row>
    <row r="341" spans="1:4" ht="12.5">
      <c r="A341" s="186">
        <v>46151</v>
      </c>
      <c r="B341" s="189">
        <v>7002288906</v>
      </c>
      <c r="C341" s="189">
        <v>6</v>
      </c>
      <c r="D341" s="9" t="s">
        <v>753</v>
      </c>
    </row>
    <row r="342" spans="1:4" ht="12.5">
      <c r="A342" s="186">
        <v>46151</v>
      </c>
      <c r="B342" s="189">
        <v>7002289790</v>
      </c>
      <c r="C342" s="189">
        <v>17</v>
      </c>
      <c r="D342" s="9" t="s">
        <v>752</v>
      </c>
    </row>
    <row r="343" spans="1:4" ht="12.5">
      <c r="A343" s="186">
        <v>46151</v>
      </c>
      <c r="B343" s="189">
        <v>7002290743</v>
      </c>
      <c r="C343" s="189">
        <v>1</v>
      </c>
      <c r="D343" s="9" t="s">
        <v>750</v>
      </c>
    </row>
    <row r="344" spans="1:4" ht="12.5">
      <c r="A344" s="186">
        <v>46151</v>
      </c>
      <c r="B344" s="189">
        <v>7002291389</v>
      </c>
      <c r="C344" s="189">
        <v>1</v>
      </c>
      <c r="D344" s="9" t="s">
        <v>750</v>
      </c>
    </row>
    <row r="345" spans="1:4" ht="12.5">
      <c r="A345" s="186">
        <v>46151</v>
      </c>
      <c r="B345" s="189">
        <v>7002291790</v>
      </c>
      <c r="C345" s="189">
        <v>1</v>
      </c>
      <c r="D345" s="9" t="s">
        <v>750</v>
      </c>
    </row>
    <row r="346" spans="1:4" ht="12.5">
      <c r="A346" s="186">
        <v>46151</v>
      </c>
      <c r="B346" s="189">
        <v>7002291868</v>
      </c>
      <c r="C346" s="189">
        <v>1</v>
      </c>
      <c r="D346" s="9" t="s">
        <v>750</v>
      </c>
    </row>
    <row r="347" spans="1:4" ht="12.5">
      <c r="A347" s="186">
        <v>46151</v>
      </c>
      <c r="B347" s="189">
        <v>7002292805</v>
      </c>
      <c r="C347" s="189">
        <v>3</v>
      </c>
      <c r="D347" s="9" t="s">
        <v>751</v>
      </c>
    </row>
    <row r="348" spans="1:4" ht="12.5">
      <c r="A348" s="186">
        <v>46151</v>
      </c>
      <c r="B348" s="189">
        <v>7002292952</v>
      </c>
      <c r="C348" s="189">
        <v>9</v>
      </c>
      <c r="D348" s="9" t="s">
        <v>753</v>
      </c>
    </row>
    <row r="349" spans="1:4" ht="12.5">
      <c r="A349" s="186">
        <v>46151</v>
      </c>
      <c r="B349" s="189">
        <v>7002293220</v>
      </c>
      <c r="C349" s="189">
        <v>22</v>
      </c>
      <c r="D349" s="9" t="s">
        <v>752</v>
      </c>
    </row>
    <row r="350" spans="1:4" ht="12.5">
      <c r="A350" s="186">
        <v>46151</v>
      </c>
      <c r="B350" s="189">
        <v>7002293933</v>
      </c>
      <c r="C350" s="189">
        <v>138</v>
      </c>
      <c r="D350" s="9" t="s">
        <v>752</v>
      </c>
    </row>
    <row r="351" spans="1:4" ht="12.5">
      <c r="A351" s="186">
        <v>46151</v>
      </c>
      <c r="B351" s="189">
        <v>7002293967</v>
      </c>
      <c r="C351" s="189">
        <v>1</v>
      </c>
      <c r="D351" s="9" t="s">
        <v>750</v>
      </c>
    </row>
    <row r="352" spans="1:4" ht="12.5">
      <c r="A352" s="186">
        <v>46151</v>
      </c>
      <c r="B352" s="189">
        <v>7002294932</v>
      </c>
      <c r="C352" s="189">
        <v>1</v>
      </c>
      <c r="D352" s="9" t="s">
        <v>750</v>
      </c>
    </row>
    <row r="353" spans="1:4" ht="12.5">
      <c r="A353" s="186">
        <v>46151</v>
      </c>
      <c r="B353" s="189">
        <v>7002295417</v>
      </c>
      <c r="C353" s="189">
        <v>8</v>
      </c>
      <c r="D353" s="9" t="s">
        <v>753</v>
      </c>
    </row>
    <row r="354" spans="1:4" ht="12.5">
      <c r="A354" s="186">
        <v>46151</v>
      </c>
      <c r="B354" s="189">
        <v>7002296418</v>
      </c>
      <c r="C354" s="189">
        <v>7</v>
      </c>
      <c r="D354" s="9" t="s">
        <v>753</v>
      </c>
    </row>
    <row r="355" spans="1:4" ht="12.5">
      <c r="A355" s="186">
        <v>46151</v>
      </c>
      <c r="B355" s="189">
        <v>7002298489</v>
      </c>
      <c r="C355" s="189">
        <v>14</v>
      </c>
      <c r="D355" s="9" t="s">
        <v>752</v>
      </c>
    </row>
    <row r="356" spans="1:4" ht="12.5">
      <c r="A356" s="186">
        <v>46151</v>
      </c>
      <c r="B356" s="189">
        <v>7002298840</v>
      </c>
      <c r="C356" s="189">
        <v>4</v>
      </c>
      <c r="D356" s="9" t="s">
        <v>751</v>
      </c>
    </row>
    <row r="357" spans="1:4" ht="12.5">
      <c r="A357" s="186">
        <v>46151</v>
      </c>
      <c r="B357" s="189">
        <v>7002298893</v>
      </c>
      <c r="C357" s="189">
        <v>1</v>
      </c>
      <c r="D357" s="9" t="s">
        <v>750</v>
      </c>
    </row>
    <row r="358" spans="1:4" ht="12.5">
      <c r="A358" s="186">
        <v>46151</v>
      </c>
      <c r="B358" s="189">
        <v>7002299226</v>
      </c>
      <c r="C358" s="189">
        <v>6</v>
      </c>
      <c r="D358" s="9" t="s">
        <v>753</v>
      </c>
    </row>
    <row r="359" spans="1:4" ht="12.5">
      <c r="A359" s="186">
        <v>46151</v>
      </c>
      <c r="B359" s="189">
        <v>7002299492</v>
      </c>
      <c r="C359" s="189">
        <v>15</v>
      </c>
      <c r="D359" s="9" t="s">
        <v>752</v>
      </c>
    </row>
    <row r="360" spans="1:4" ht="12.5">
      <c r="A360" s="186">
        <v>46151</v>
      </c>
      <c r="B360" s="189">
        <v>7002299940</v>
      </c>
      <c r="C360" s="189">
        <v>2</v>
      </c>
      <c r="D360" s="9" t="s">
        <v>751</v>
      </c>
    </row>
    <row r="361" spans="1:4" ht="12.5">
      <c r="A361" s="186">
        <v>46151</v>
      </c>
      <c r="B361" s="189">
        <v>7002300186</v>
      </c>
      <c r="C361" s="189">
        <v>2</v>
      </c>
      <c r="D361" s="9" t="s">
        <v>751</v>
      </c>
    </row>
    <row r="362" spans="1:4" ht="12.5">
      <c r="A362" s="186">
        <v>46151</v>
      </c>
      <c r="B362" s="189">
        <v>7002301024</v>
      </c>
      <c r="C362" s="189">
        <v>1</v>
      </c>
      <c r="D362" s="9" t="s">
        <v>750</v>
      </c>
    </row>
    <row r="363" spans="1:4" ht="12.5">
      <c r="A363" s="186">
        <v>46151</v>
      </c>
      <c r="B363" s="189">
        <v>7002301076</v>
      </c>
      <c r="C363" s="189">
        <v>2</v>
      </c>
      <c r="D363" s="9" t="s">
        <v>751</v>
      </c>
    </row>
    <row r="364" spans="1:4" ht="12.5">
      <c r="A364" s="186">
        <v>46151</v>
      </c>
      <c r="B364" s="189">
        <v>7002301185</v>
      </c>
      <c r="C364" s="189">
        <v>2</v>
      </c>
      <c r="D364" s="9" t="s">
        <v>751</v>
      </c>
    </row>
    <row r="365" spans="1:4" ht="12.5">
      <c r="A365" s="186">
        <v>46151</v>
      </c>
      <c r="B365" s="189">
        <v>7002301236</v>
      </c>
      <c r="C365" s="189">
        <v>2</v>
      </c>
      <c r="D365" s="9" t="s">
        <v>751</v>
      </c>
    </row>
    <row r="366" spans="1:4" ht="12.5">
      <c r="A366" s="186">
        <v>46151</v>
      </c>
      <c r="B366" s="189">
        <v>7002302047</v>
      </c>
      <c r="C366" s="189">
        <v>1</v>
      </c>
      <c r="D366" s="9" t="s">
        <v>750</v>
      </c>
    </row>
    <row r="367" spans="1:4" ht="12.5">
      <c r="A367" s="186">
        <v>46151</v>
      </c>
      <c r="B367" s="189">
        <v>7002302189</v>
      </c>
      <c r="C367" s="189">
        <v>4</v>
      </c>
      <c r="D367" s="9" t="s">
        <v>751</v>
      </c>
    </row>
    <row r="368" spans="1:4" ht="12.5">
      <c r="A368" s="186">
        <v>46151</v>
      </c>
      <c r="B368" s="189">
        <v>7002302191</v>
      </c>
      <c r="C368" s="189">
        <v>2</v>
      </c>
      <c r="D368" s="9" t="s">
        <v>751</v>
      </c>
    </row>
    <row r="369" spans="1:4" ht="12.5">
      <c r="A369" s="186">
        <v>46151</v>
      </c>
      <c r="B369" s="189">
        <v>7002302257</v>
      </c>
      <c r="C369" s="189">
        <v>1</v>
      </c>
      <c r="D369" s="9" t="s">
        <v>750</v>
      </c>
    </row>
    <row r="370" spans="1:4" ht="12.5">
      <c r="A370" s="186">
        <v>46151</v>
      </c>
      <c r="B370" s="189">
        <v>7002303005</v>
      </c>
      <c r="C370" s="189">
        <v>21</v>
      </c>
      <c r="D370" s="9" t="s">
        <v>752</v>
      </c>
    </row>
    <row r="371" spans="1:4" ht="12.5">
      <c r="A371" s="186">
        <v>46151</v>
      </c>
      <c r="B371" s="189">
        <v>7002303188</v>
      </c>
      <c r="C371" s="189">
        <v>6</v>
      </c>
      <c r="D371" s="9" t="s">
        <v>753</v>
      </c>
    </row>
    <row r="372" spans="1:4" ht="12.5">
      <c r="A372" s="186">
        <v>46151</v>
      </c>
      <c r="B372" s="189">
        <v>7002304173</v>
      </c>
      <c r="C372" s="189">
        <v>6</v>
      </c>
      <c r="D372" s="9" t="s">
        <v>753</v>
      </c>
    </row>
    <row r="373" spans="1:4" ht="12.5">
      <c r="A373" s="186">
        <v>46151</v>
      </c>
      <c r="B373" s="189">
        <v>7002305060</v>
      </c>
      <c r="C373" s="189">
        <v>1</v>
      </c>
      <c r="D373" s="9" t="s">
        <v>750</v>
      </c>
    </row>
    <row r="374" spans="1:4" ht="12.5">
      <c r="A374" s="186">
        <v>46151</v>
      </c>
      <c r="B374" s="189">
        <v>7002306167</v>
      </c>
      <c r="C374" s="189">
        <v>4</v>
      </c>
      <c r="D374" s="9" t="s">
        <v>751</v>
      </c>
    </row>
    <row r="375" spans="1:4" ht="12.5">
      <c r="A375" s="186">
        <v>46151</v>
      </c>
      <c r="B375" s="189">
        <v>7002307175</v>
      </c>
      <c r="C375" s="189">
        <v>6</v>
      </c>
      <c r="D375" s="9" t="s">
        <v>753</v>
      </c>
    </row>
    <row r="376" spans="1:4" ht="12.5">
      <c r="A376" s="186">
        <v>46151</v>
      </c>
      <c r="B376" s="189">
        <v>7002307181</v>
      </c>
      <c r="C376" s="189">
        <v>2</v>
      </c>
      <c r="D376" s="9" t="s">
        <v>751</v>
      </c>
    </row>
    <row r="377" spans="1:4" ht="12.5">
      <c r="A377" s="186">
        <v>46151</v>
      </c>
      <c r="B377" s="189">
        <v>7002308037</v>
      </c>
      <c r="C377" s="189">
        <v>1</v>
      </c>
      <c r="D377" s="9" t="s">
        <v>750</v>
      </c>
    </row>
    <row r="378" spans="1:4" ht="12.5">
      <c r="A378" s="186">
        <v>46151</v>
      </c>
      <c r="B378" s="189">
        <v>7002308176</v>
      </c>
      <c r="C378" s="189">
        <v>2</v>
      </c>
      <c r="D378" s="9" t="s">
        <v>751</v>
      </c>
    </row>
    <row r="379" spans="1:4" ht="12.5">
      <c r="A379" s="186">
        <v>46151</v>
      </c>
      <c r="B379" s="189">
        <v>7002308277</v>
      </c>
      <c r="C379" s="189">
        <v>2</v>
      </c>
      <c r="D379" s="9" t="s">
        <v>751</v>
      </c>
    </row>
    <row r="380" spans="1:4" ht="12.5">
      <c r="A380" s="186">
        <v>46151</v>
      </c>
      <c r="B380" s="189">
        <v>7002309177</v>
      </c>
      <c r="C380" s="189">
        <v>4</v>
      </c>
      <c r="D380" s="9" t="s">
        <v>751</v>
      </c>
    </row>
    <row r="381" spans="1:4" ht="12.5">
      <c r="A381" s="186">
        <v>46151</v>
      </c>
      <c r="B381" s="189">
        <v>7002309196</v>
      </c>
      <c r="C381" s="189">
        <v>6</v>
      </c>
      <c r="D381" s="9" t="s">
        <v>753</v>
      </c>
    </row>
    <row r="382" spans="1:4" ht="12.5">
      <c r="A382" s="186">
        <v>46152</v>
      </c>
      <c r="B382" s="184">
        <v>7000908997</v>
      </c>
      <c r="C382" s="184">
        <v>1</v>
      </c>
      <c r="D382" s="9" t="s">
        <v>750</v>
      </c>
    </row>
    <row r="383" spans="1:4" ht="12.5">
      <c r="A383" s="186">
        <v>46152</v>
      </c>
      <c r="B383" s="184">
        <v>7000918024</v>
      </c>
      <c r="C383" s="184">
        <v>19</v>
      </c>
      <c r="D383" s="9" t="s">
        <v>752</v>
      </c>
    </row>
    <row r="384" spans="1:4" ht="12.5">
      <c r="A384" s="186">
        <v>46152</v>
      </c>
      <c r="B384" s="184">
        <v>7001727096</v>
      </c>
      <c r="C384" s="184">
        <v>1</v>
      </c>
      <c r="D384" s="9" t="s">
        <v>750</v>
      </c>
    </row>
    <row r="385" spans="1:4" ht="12.5">
      <c r="A385" s="186">
        <v>46152</v>
      </c>
      <c r="B385" s="184">
        <v>7001778553</v>
      </c>
      <c r="C385" s="184">
        <v>605</v>
      </c>
      <c r="D385" s="9" t="s">
        <v>752</v>
      </c>
    </row>
    <row r="386" spans="1:4" ht="12.5">
      <c r="A386" s="186">
        <v>46152</v>
      </c>
      <c r="B386" s="184">
        <v>7001856907</v>
      </c>
      <c r="C386" s="184">
        <v>4</v>
      </c>
      <c r="D386" s="9" t="s">
        <v>751</v>
      </c>
    </row>
    <row r="387" spans="1:4" ht="12.5">
      <c r="A387" s="186">
        <v>46152</v>
      </c>
      <c r="B387" s="184">
        <v>7002169758</v>
      </c>
      <c r="C387" s="184">
        <v>20</v>
      </c>
      <c r="D387" s="9" t="s">
        <v>752</v>
      </c>
    </row>
    <row r="388" spans="1:4" ht="12.5">
      <c r="A388" s="186">
        <v>46152</v>
      </c>
      <c r="B388" s="184">
        <v>7002185214</v>
      </c>
      <c r="C388" s="184">
        <v>4</v>
      </c>
      <c r="D388" s="9" t="s">
        <v>751</v>
      </c>
    </row>
    <row r="389" spans="1:4" ht="12.5">
      <c r="A389" s="186">
        <v>46152</v>
      </c>
      <c r="B389" s="184">
        <v>7002191268</v>
      </c>
      <c r="C389" s="184">
        <v>13</v>
      </c>
      <c r="D389" s="9" t="s">
        <v>752</v>
      </c>
    </row>
    <row r="390" spans="1:4" ht="12.5">
      <c r="A390" s="186">
        <v>46152</v>
      </c>
      <c r="B390" s="184">
        <v>7002243418</v>
      </c>
      <c r="C390" s="184">
        <v>60</v>
      </c>
      <c r="D390" s="9" t="s">
        <v>752</v>
      </c>
    </row>
    <row r="391" spans="1:4" ht="12.5">
      <c r="A391" s="186">
        <v>46152</v>
      </c>
      <c r="B391" s="184">
        <v>7002250499</v>
      </c>
      <c r="C391" s="184">
        <v>2</v>
      </c>
      <c r="D391" s="9" t="s">
        <v>751</v>
      </c>
    </row>
    <row r="392" spans="1:4" ht="12.5">
      <c r="A392" s="186">
        <v>46152</v>
      </c>
      <c r="B392" s="184">
        <v>7002250543</v>
      </c>
      <c r="C392" s="184">
        <v>2</v>
      </c>
      <c r="D392" s="9" t="s">
        <v>751</v>
      </c>
    </row>
    <row r="393" spans="1:4" ht="12.5">
      <c r="A393" s="186">
        <v>46152</v>
      </c>
      <c r="B393" s="184">
        <v>7002251656</v>
      </c>
      <c r="C393" s="184">
        <v>34</v>
      </c>
      <c r="D393" s="9" t="s">
        <v>752</v>
      </c>
    </row>
    <row r="394" spans="1:4" ht="12.5">
      <c r="A394" s="186">
        <v>46152</v>
      </c>
      <c r="B394" s="184">
        <v>7002252518</v>
      </c>
      <c r="C394" s="184">
        <v>1</v>
      </c>
      <c r="D394" s="9" t="s">
        <v>750</v>
      </c>
    </row>
    <row r="395" spans="1:4" ht="12.5">
      <c r="A395" s="186">
        <v>46152</v>
      </c>
      <c r="B395" s="184">
        <v>7002253538</v>
      </c>
      <c r="C395" s="184">
        <v>21</v>
      </c>
      <c r="D395" s="9" t="s">
        <v>752</v>
      </c>
    </row>
    <row r="396" spans="1:4" ht="12.5">
      <c r="A396" s="186">
        <v>46152</v>
      </c>
      <c r="B396" s="184">
        <v>7002254516</v>
      </c>
      <c r="C396" s="184">
        <v>1</v>
      </c>
      <c r="D396" s="9" t="s">
        <v>750</v>
      </c>
    </row>
    <row r="397" spans="1:4" ht="12.5">
      <c r="A397" s="186">
        <v>46152</v>
      </c>
      <c r="B397" s="184">
        <v>7002255491</v>
      </c>
      <c r="C397" s="184">
        <v>2</v>
      </c>
      <c r="D397" s="9" t="s">
        <v>751</v>
      </c>
    </row>
    <row r="398" spans="1:4" ht="12.5">
      <c r="A398" s="186">
        <v>46152</v>
      </c>
      <c r="B398" s="184">
        <v>7002256492</v>
      </c>
      <c r="C398" s="184">
        <v>5</v>
      </c>
      <c r="D398" s="9" t="s">
        <v>751</v>
      </c>
    </row>
    <row r="399" spans="1:4" ht="12.5">
      <c r="A399" s="186">
        <v>46152</v>
      </c>
      <c r="B399" s="184">
        <v>7002256511</v>
      </c>
      <c r="C399" s="184">
        <v>1</v>
      </c>
      <c r="D399" s="9" t="s">
        <v>750</v>
      </c>
    </row>
    <row r="400" spans="1:4" ht="12.5">
      <c r="A400" s="186">
        <v>46152</v>
      </c>
      <c r="B400" s="184">
        <v>7002257508</v>
      </c>
      <c r="C400" s="184">
        <v>1</v>
      </c>
      <c r="D400" s="9" t="s">
        <v>750</v>
      </c>
    </row>
    <row r="401" spans="1:4" ht="12.5">
      <c r="A401" s="186">
        <v>46152</v>
      </c>
      <c r="B401" s="184">
        <v>7002257549</v>
      </c>
      <c r="C401" s="184">
        <v>5</v>
      </c>
      <c r="D401" s="9" t="s">
        <v>751</v>
      </c>
    </row>
    <row r="402" spans="1:4" ht="12.5">
      <c r="A402" s="186">
        <v>46152</v>
      </c>
      <c r="B402" s="184">
        <v>7002258550</v>
      </c>
      <c r="C402" s="184">
        <v>1</v>
      </c>
      <c r="D402" s="9" t="s">
        <v>750</v>
      </c>
    </row>
    <row r="403" spans="1:4" ht="12.5">
      <c r="A403" s="186">
        <v>46152</v>
      </c>
      <c r="B403" s="184">
        <v>7002260396</v>
      </c>
      <c r="C403" s="184">
        <v>1</v>
      </c>
      <c r="D403" s="9" t="s">
        <v>750</v>
      </c>
    </row>
    <row r="404" spans="1:4" ht="12.5">
      <c r="A404" s="186">
        <v>46152</v>
      </c>
      <c r="B404" s="184">
        <v>7002260404</v>
      </c>
      <c r="C404" s="184">
        <v>8</v>
      </c>
      <c r="D404" s="9" t="s">
        <v>753</v>
      </c>
    </row>
    <row r="405" spans="1:4" ht="12.5">
      <c r="A405" s="186">
        <v>46152</v>
      </c>
      <c r="B405" s="184">
        <v>7002260470</v>
      </c>
      <c r="C405" s="184">
        <v>11</v>
      </c>
      <c r="D405" s="9" t="s">
        <v>752</v>
      </c>
    </row>
    <row r="406" spans="1:4" ht="12.5">
      <c r="A406" s="186">
        <v>46152</v>
      </c>
      <c r="B406" s="184">
        <v>7002264397</v>
      </c>
      <c r="C406" s="184">
        <v>1</v>
      </c>
      <c r="D406" s="9" t="s">
        <v>750</v>
      </c>
    </row>
    <row r="407" spans="1:4" ht="12.5">
      <c r="A407" s="186">
        <v>46152</v>
      </c>
      <c r="B407" s="184">
        <v>7002269451</v>
      </c>
      <c r="C407" s="184">
        <v>4</v>
      </c>
      <c r="D407" s="9" t="s">
        <v>751</v>
      </c>
    </row>
    <row r="408" spans="1:4" ht="12.5">
      <c r="A408" s="186">
        <v>46152</v>
      </c>
      <c r="B408" s="184">
        <v>7002270315</v>
      </c>
      <c r="C408" s="184">
        <v>1</v>
      </c>
      <c r="D408" s="9" t="s">
        <v>750</v>
      </c>
    </row>
    <row r="409" spans="1:4" ht="12.5">
      <c r="A409" s="186">
        <v>46152</v>
      </c>
      <c r="B409" s="184">
        <v>7002270761</v>
      </c>
      <c r="C409" s="184">
        <v>10</v>
      </c>
      <c r="D409" s="9" t="s">
        <v>753</v>
      </c>
    </row>
    <row r="410" spans="1:4" ht="12.5">
      <c r="A410" s="186">
        <v>46152</v>
      </c>
      <c r="B410" s="184">
        <v>7002270774</v>
      </c>
      <c r="C410" s="184">
        <v>1</v>
      </c>
      <c r="D410" s="9" t="s">
        <v>750</v>
      </c>
    </row>
    <row r="411" spans="1:4" ht="12.5">
      <c r="A411" s="186">
        <v>46152</v>
      </c>
      <c r="B411" s="184">
        <v>7002271303</v>
      </c>
      <c r="C411" s="184">
        <v>2</v>
      </c>
      <c r="D411" s="9" t="s">
        <v>751</v>
      </c>
    </row>
    <row r="412" spans="1:4" ht="12.5">
      <c r="A412" s="186">
        <v>46152</v>
      </c>
      <c r="B412" s="184">
        <v>7002271319</v>
      </c>
      <c r="C412" s="184">
        <v>2</v>
      </c>
      <c r="D412" s="9" t="s">
        <v>751</v>
      </c>
    </row>
    <row r="413" spans="1:4" ht="12.5">
      <c r="A413" s="186">
        <v>46152</v>
      </c>
      <c r="B413" s="184">
        <v>7002272302</v>
      </c>
      <c r="C413" s="184">
        <v>9</v>
      </c>
      <c r="D413" s="9" t="s">
        <v>753</v>
      </c>
    </row>
    <row r="414" spans="1:4" ht="12.5">
      <c r="A414" s="186">
        <v>46152</v>
      </c>
      <c r="B414" s="184">
        <v>7002272447</v>
      </c>
      <c r="C414" s="184">
        <v>2</v>
      </c>
      <c r="D414" s="9" t="s">
        <v>751</v>
      </c>
    </row>
    <row r="415" spans="1:4" ht="12.5">
      <c r="A415" s="186">
        <v>46152</v>
      </c>
      <c r="B415" s="184">
        <v>7002273295</v>
      </c>
      <c r="C415" s="184">
        <v>1</v>
      </c>
      <c r="D415" s="9" t="s">
        <v>750</v>
      </c>
    </row>
    <row r="416" spans="1:4" ht="12.5">
      <c r="A416" s="186">
        <v>46152</v>
      </c>
      <c r="B416" s="184">
        <v>7002273338</v>
      </c>
      <c r="C416" s="184">
        <v>2</v>
      </c>
      <c r="D416" s="9" t="s">
        <v>751</v>
      </c>
    </row>
    <row r="417" spans="1:4" ht="12.5">
      <c r="A417" s="186">
        <v>46152</v>
      </c>
      <c r="B417" s="184">
        <v>7002273451</v>
      </c>
      <c r="C417" s="184">
        <v>2</v>
      </c>
      <c r="D417" s="9" t="s">
        <v>751</v>
      </c>
    </row>
    <row r="418" spans="1:4" ht="12.5">
      <c r="A418" s="186">
        <v>46152</v>
      </c>
      <c r="B418" s="184">
        <v>7002274392</v>
      </c>
      <c r="C418" s="184">
        <v>3</v>
      </c>
      <c r="D418" s="9" t="s">
        <v>751</v>
      </c>
    </row>
    <row r="419" spans="1:4" ht="12.5">
      <c r="A419" s="186">
        <v>46152</v>
      </c>
      <c r="B419" s="184">
        <v>7002275306</v>
      </c>
      <c r="C419" s="184">
        <v>6</v>
      </c>
      <c r="D419" s="9" t="s">
        <v>753</v>
      </c>
    </row>
    <row r="420" spans="1:4" ht="12.5">
      <c r="A420" s="186">
        <v>46152</v>
      </c>
      <c r="B420" s="184">
        <v>7002276307</v>
      </c>
      <c r="C420" s="184">
        <v>2</v>
      </c>
      <c r="D420" s="9" t="s">
        <v>751</v>
      </c>
    </row>
    <row r="421" spans="1:4" ht="12.5">
      <c r="A421" s="186">
        <v>46152</v>
      </c>
      <c r="B421" s="184">
        <v>7002276311</v>
      </c>
      <c r="C421" s="184">
        <v>2</v>
      </c>
      <c r="D421" s="9" t="s">
        <v>751</v>
      </c>
    </row>
    <row r="422" spans="1:4" ht="12.5">
      <c r="A422" s="186">
        <v>46152</v>
      </c>
      <c r="B422" s="184">
        <v>7002276353</v>
      </c>
      <c r="C422" s="184">
        <v>1</v>
      </c>
      <c r="D422" s="9" t="s">
        <v>750</v>
      </c>
    </row>
    <row r="423" spans="1:4" ht="12.5">
      <c r="A423" s="186">
        <v>46152</v>
      </c>
      <c r="B423" s="184">
        <v>7002277349</v>
      </c>
      <c r="C423" s="184">
        <v>2</v>
      </c>
      <c r="D423" s="9" t="s">
        <v>751</v>
      </c>
    </row>
    <row r="424" spans="1:4" ht="12.5">
      <c r="A424" s="186">
        <v>46152</v>
      </c>
      <c r="B424" s="184">
        <v>7002277365</v>
      </c>
      <c r="C424" s="184">
        <v>2</v>
      </c>
      <c r="D424" s="9" t="s">
        <v>751</v>
      </c>
    </row>
    <row r="425" spans="1:4" ht="12.5">
      <c r="A425" s="186">
        <v>46152</v>
      </c>
      <c r="B425" s="184">
        <v>7002277404</v>
      </c>
      <c r="C425" s="184">
        <v>2</v>
      </c>
      <c r="D425" s="9" t="s">
        <v>751</v>
      </c>
    </row>
    <row r="426" spans="1:4" ht="12.5">
      <c r="A426" s="186">
        <v>46152</v>
      </c>
      <c r="B426" s="184">
        <v>7002279082</v>
      </c>
      <c r="C426" s="184">
        <v>36</v>
      </c>
      <c r="D426" s="9" t="s">
        <v>752</v>
      </c>
    </row>
    <row r="427" spans="1:4" ht="12.5">
      <c r="A427" s="186">
        <v>46152</v>
      </c>
      <c r="B427" s="184">
        <v>7002280417</v>
      </c>
      <c r="C427" s="184">
        <v>6</v>
      </c>
      <c r="D427" s="9" t="s">
        <v>753</v>
      </c>
    </row>
    <row r="428" spans="1:4" ht="12.5">
      <c r="A428" s="186">
        <v>46152</v>
      </c>
      <c r="B428" s="184">
        <v>7002280775</v>
      </c>
      <c r="C428" s="184">
        <v>74</v>
      </c>
      <c r="D428" s="9" t="s">
        <v>752</v>
      </c>
    </row>
    <row r="429" spans="1:4" ht="12.5">
      <c r="A429" s="186">
        <v>46152</v>
      </c>
      <c r="B429" s="184">
        <v>7002280803</v>
      </c>
      <c r="C429" s="184">
        <v>2</v>
      </c>
      <c r="D429" s="9" t="s">
        <v>751</v>
      </c>
    </row>
    <row r="430" spans="1:4" ht="12.5">
      <c r="A430" s="186">
        <v>46152</v>
      </c>
      <c r="B430" s="184">
        <v>7002281779</v>
      </c>
      <c r="C430" s="184">
        <v>105</v>
      </c>
      <c r="D430" s="9" t="s">
        <v>752</v>
      </c>
    </row>
    <row r="431" spans="1:4" ht="12.5">
      <c r="A431" s="186">
        <v>46152</v>
      </c>
      <c r="B431" s="184">
        <v>7002281780</v>
      </c>
      <c r="C431" s="184">
        <v>104</v>
      </c>
      <c r="D431" s="9" t="s">
        <v>752</v>
      </c>
    </row>
    <row r="432" spans="1:4" ht="12.5">
      <c r="A432" s="186">
        <v>46152</v>
      </c>
      <c r="B432" s="184">
        <v>7002282778</v>
      </c>
      <c r="C432" s="184">
        <v>66</v>
      </c>
      <c r="D432" s="9" t="s">
        <v>752</v>
      </c>
    </row>
    <row r="433" spans="1:4" ht="12.5">
      <c r="A433" s="186">
        <v>46152</v>
      </c>
      <c r="B433" s="184">
        <v>7002285876</v>
      </c>
      <c r="C433" s="184">
        <v>8</v>
      </c>
      <c r="D433" s="9" t="s">
        <v>753</v>
      </c>
    </row>
    <row r="434" spans="1:4" ht="12.5">
      <c r="A434" s="186">
        <v>46152</v>
      </c>
      <c r="B434" s="184">
        <v>7002286877</v>
      </c>
      <c r="C434" s="184">
        <v>3</v>
      </c>
      <c r="D434" s="9" t="s">
        <v>751</v>
      </c>
    </row>
    <row r="435" spans="1:4" ht="12.5">
      <c r="A435" s="186">
        <v>46152</v>
      </c>
      <c r="B435" s="184">
        <v>7002287866</v>
      </c>
      <c r="C435" s="184">
        <v>1</v>
      </c>
      <c r="D435" s="9" t="s">
        <v>750</v>
      </c>
    </row>
    <row r="436" spans="1:4" ht="12.5">
      <c r="A436" s="186">
        <v>46152</v>
      </c>
      <c r="B436" s="184">
        <v>7002287878</v>
      </c>
      <c r="C436" s="184">
        <v>1</v>
      </c>
      <c r="D436" s="9" t="s">
        <v>750</v>
      </c>
    </row>
    <row r="437" spans="1:4" ht="12.5">
      <c r="A437" s="186">
        <v>46152</v>
      </c>
      <c r="B437" s="184">
        <v>7002287914</v>
      </c>
      <c r="C437" s="184">
        <v>1</v>
      </c>
      <c r="D437" s="9" t="s">
        <v>750</v>
      </c>
    </row>
    <row r="438" spans="1:4" ht="12.5">
      <c r="A438" s="186">
        <v>46152</v>
      </c>
      <c r="B438" s="184">
        <v>7002288773</v>
      </c>
      <c r="C438" s="184">
        <v>18</v>
      </c>
      <c r="D438" s="9" t="s">
        <v>752</v>
      </c>
    </row>
    <row r="439" spans="1:4" ht="12.5">
      <c r="A439" s="186">
        <v>46152</v>
      </c>
      <c r="B439" s="184">
        <v>7002288879</v>
      </c>
      <c r="C439" s="184">
        <v>4</v>
      </c>
      <c r="D439" s="9" t="s">
        <v>751</v>
      </c>
    </row>
    <row r="440" spans="1:4" ht="12.5">
      <c r="A440" s="186">
        <v>46152</v>
      </c>
      <c r="B440" s="184">
        <v>7002288880</v>
      </c>
      <c r="C440" s="184">
        <v>2</v>
      </c>
      <c r="D440" s="9" t="s">
        <v>751</v>
      </c>
    </row>
    <row r="441" spans="1:4" ht="12.5">
      <c r="A441" s="186">
        <v>46152</v>
      </c>
      <c r="B441" s="184">
        <v>7002289875</v>
      </c>
      <c r="C441" s="184">
        <v>3</v>
      </c>
      <c r="D441" s="9" t="s">
        <v>751</v>
      </c>
    </row>
    <row r="442" spans="1:4" ht="12.5">
      <c r="A442" s="186">
        <v>46152</v>
      </c>
      <c r="B442" s="184">
        <v>7002293946</v>
      </c>
      <c r="C442" s="184">
        <v>6</v>
      </c>
      <c r="D442" s="9" t="s">
        <v>753</v>
      </c>
    </row>
    <row r="443" spans="1:4" ht="12.5">
      <c r="A443" s="186">
        <v>46152</v>
      </c>
      <c r="B443" s="184">
        <v>7002295069</v>
      </c>
      <c r="C443" s="184">
        <v>5</v>
      </c>
      <c r="D443" s="9" t="s">
        <v>751</v>
      </c>
    </row>
    <row r="444" spans="1:4" ht="12.5">
      <c r="A444" s="186">
        <v>46152</v>
      </c>
      <c r="B444" s="184">
        <v>7002298320</v>
      </c>
      <c r="C444" s="184">
        <v>4</v>
      </c>
      <c r="D444" s="9" t="s">
        <v>751</v>
      </c>
    </row>
    <row r="445" spans="1:4" ht="12.5">
      <c r="A445" s="186">
        <v>46152</v>
      </c>
      <c r="B445" s="184">
        <v>7002301512</v>
      </c>
      <c r="C445" s="184">
        <v>2</v>
      </c>
      <c r="D445" s="9" t="s">
        <v>751</v>
      </c>
    </row>
    <row r="446" spans="1:4" ht="12.5">
      <c r="A446" s="186">
        <v>46152</v>
      </c>
      <c r="B446" s="184">
        <v>7002302309</v>
      </c>
      <c r="C446" s="184">
        <v>4</v>
      </c>
      <c r="D446" s="9" t="s">
        <v>751</v>
      </c>
    </row>
    <row r="447" spans="1:4" ht="12.5">
      <c r="A447" s="186">
        <v>46152</v>
      </c>
      <c r="B447" s="184">
        <v>7002302321</v>
      </c>
      <c r="C447" s="184">
        <v>21</v>
      </c>
      <c r="D447" s="9" t="s">
        <v>752</v>
      </c>
    </row>
    <row r="448" spans="1:4" ht="12.5">
      <c r="A448" s="186">
        <v>46152</v>
      </c>
      <c r="B448" s="184">
        <v>7002302345</v>
      </c>
      <c r="C448" s="184">
        <v>1</v>
      </c>
      <c r="D448" s="9" t="s">
        <v>750</v>
      </c>
    </row>
    <row r="449" spans="1:4" ht="12.5">
      <c r="A449" s="186">
        <v>46152</v>
      </c>
      <c r="B449" s="184">
        <v>7002302384</v>
      </c>
      <c r="C449" s="184">
        <v>1</v>
      </c>
      <c r="D449" s="9" t="s">
        <v>750</v>
      </c>
    </row>
    <row r="450" spans="1:4" ht="12.5">
      <c r="A450" s="186">
        <v>46152</v>
      </c>
      <c r="B450" s="184">
        <v>7002303534</v>
      </c>
      <c r="C450" s="184">
        <v>16</v>
      </c>
      <c r="D450" s="9" t="s">
        <v>752</v>
      </c>
    </row>
    <row r="451" spans="1:4" ht="12.5">
      <c r="A451" s="186">
        <v>46152</v>
      </c>
      <c r="B451" s="184">
        <v>7002304330</v>
      </c>
      <c r="C451" s="184">
        <v>8</v>
      </c>
      <c r="D451" s="9" t="s">
        <v>753</v>
      </c>
    </row>
    <row r="452" spans="1:4" ht="12.5">
      <c r="A452" s="186">
        <v>46152</v>
      </c>
      <c r="B452" s="184">
        <v>7002304488</v>
      </c>
      <c r="C452" s="184">
        <v>26</v>
      </c>
      <c r="D452" s="9" t="s">
        <v>752</v>
      </c>
    </row>
    <row r="453" spans="1:4" ht="12.5">
      <c r="A453" s="186">
        <v>46152</v>
      </c>
      <c r="B453" s="184">
        <v>7002305327</v>
      </c>
      <c r="C453" s="184">
        <v>4</v>
      </c>
      <c r="D453" s="9" t="s">
        <v>751</v>
      </c>
    </row>
    <row r="454" spans="1:4" ht="12.5">
      <c r="A454" s="186">
        <v>46152</v>
      </c>
      <c r="B454" s="184">
        <v>7002305644</v>
      </c>
      <c r="C454" s="184">
        <v>1</v>
      </c>
      <c r="D454" s="9" t="s">
        <v>750</v>
      </c>
    </row>
    <row r="455" spans="1:4" ht="12.5">
      <c r="A455" s="186">
        <v>46152</v>
      </c>
      <c r="B455" s="184">
        <v>7002306502</v>
      </c>
      <c r="C455" s="184">
        <v>3</v>
      </c>
      <c r="D455" s="9" t="s">
        <v>751</v>
      </c>
    </row>
    <row r="456" spans="1:4" ht="12.5">
      <c r="A456" s="186">
        <v>46152</v>
      </c>
      <c r="B456" s="184">
        <v>7002308265</v>
      </c>
      <c r="C456" s="184">
        <v>1</v>
      </c>
      <c r="D456" s="9" t="s">
        <v>750</v>
      </c>
    </row>
    <row r="457" spans="1:4" ht="12.5">
      <c r="A457" s="186">
        <v>46152</v>
      </c>
      <c r="B457" s="184">
        <v>7002308318</v>
      </c>
      <c r="C457" s="184">
        <v>4</v>
      </c>
      <c r="D457" s="9" t="s">
        <v>751</v>
      </c>
    </row>
    <row r="458" spans="1:4" ht="12.5">
      <c r="A458" s="186">
        <v>46152</v>
      </c>
      <c r="B458" s="184">
        <v>7002308325</v>
      </c>
      <c r="C458" s="184">
        <v>11</v>
      </c>
      <c r="D458" s="9" t="s">
        <v>752</v>
      </c>
    </row>
    <row r="459" spans="1:4" ht="12.5">
      <c r="A459" s="186">
        <v>46152</v>
      </c>
      <c r="B459" s="184">
        <v>7002308339</v>
      </c>
      <c r="C459" s="184">
        <v>3</v>
      </c>
      <c r="D459" s="9" t="s">
        <v>751</v>
      </c>
    </row>
    <row r="460" spans="1:4" ht="12.5">
      <c r="A460" s="186">
        <v>46152</v>
      </c>
      <c r="B460" s="184">
        <v>7002308570</v>
      </c>
      <c r="C460" s="184">
        <v>1</v>
      </c>
      <c r="D460" s="9" t="s">
        <v>750</v>
      </c>
    </row>
    <row r="461" spans="1:4" ht="12.5">
      <c r="A461" s="186">
        <v>46152</v>
      </c>
      <c r="B461" s="184">
        <v>7002309326</v>
      </c>
      <c r="C461" s="184">
        <v>1</v>
      </c>
      <c r="D461" s="9" t="s">
        <v>750</v>
      </c>
    </row>
    <row r="462" spans="1:4" ht="12.5">
      <c r="A462" s="186">
        <v>46152</v>
      </c>
      <c r="B462" s="184">
        <v>7002309335</v>
      </c>
      <c r="C462" s="184">
        <v>4</v>
      </c>
      <c r="D462" s="9" t="s">
        <v>751</v>
      </c>
    </row>
    <row r="463" spans="1:4" ht="12.5">
      <c r="A463" s="186">
        <v>46152</v>
      </c>
      <c r="B463" s="184">
        <v>7002309342</v>
      </c>
      <c r="C463" s="184">
        <v>100</v>
      </c>
      <c r="D463" s="9" t="s">
        <v>752</v>
      </c>
    </row>
    <row r="464" spans="1:4" ht="12.5">
      <c r="A464" s="186">
        <v>46152</v>
      </c>
      <c r="B464" s="184">
        <v>7002310212</v>
      </c>
      <c r="C464" s="184">
        <v>41</v>
      </c>
      <c r="D464" s="9" t="s">
        <v>752</v>
      </c>
    </row>
    <row r="465" spans="1:4" ht="12.5">
      <c r="A465" s="186">
        <v>46152</v>
      </c>
      <c r="B465" s="184">
        <v>7002310764</v>
      </c>
      <c r="C465" s="184">
        <v>242</v>
      </c>
      <c r="D465" s="9" t="s">
        <v>752</v>
      </c>
    </row>
    <row r="466" spans="1:4" ht="12.5">
      <c r="A466" s="186">
        <v>46152</v>
      </c>
      <c r="B466" s="184">
        <v>7002310922</v>
      </c>
      <c r="C466" s="184">
        <v>50</v>
      </c>
      <c r="D466" s="9" t="s">
        <v>752</v>
      </c>
    </row>
    <row r="467" spans="1:4" ht="12.5">
      <c r="A467" s="186">
        <v>46152</v>
      </c>
      <c r="B467" s="184">
        <v>7002311062</v>
      </c>
      <c r="C467" s="184">
        <v>11</v>
      </c>
      <c r="D467" s="9" t="s">
        <v>752</v>
      </c>
    </row>
    <row r="468" spans="1:4" ht="12.5">
      <c r="A468" s="186">
        <v>46152</v>
      </c>
      <c r="B468" s="184">
        <v>7002311785</v>
      </c>
      <c r="C468" s="184">
        <v>5</v>
      </c>
      <c r="D468" s="9" t="s">
        <v>751</v>
      </c>
    </row>
    <row r="469" spans="1:4" ht="12.5">
      <c r="A469" s="186">
        <v>46152</v>
      </c>
      <c r="B469" s="184">
        <v>7002312167</v>
      </c>
      <c r="C469" s="184">
        <v>2</v>
      </c>
      <c r="D469" s="9" t="s">
        <v>751</v>
      </c>
    </row>
    <row r="470" spans="1:4" ht="12.5">
      <c r="A470" s="186">
        <v>46152</v>
      </c>
      <c r="B470" s="184">
        <v>7002312807</v>
      </c>
      <c r="C470" s="184">
        <v>32</v>
      </c>
      <c r="D470" s="9" t="s">
        <v>752</v>
      </c>
    </row>
    <row r="471" spans="1:4" ht="12.5">
      <c r="A471" s="186">
        <v>46152</v>
      </c>
      <c r="B471" s="184">
        <v>7002312954</v>
      </c>
      <c r="C471" s="184">
        <v>1</v>
      </c>
      <c r="D471" s="9" t="s">
        <v>750</v>
      </c>
    </row>
    <row r="472" spans="1:4" ht="12.5">
      <c r="A472" s="186">
        <v>46152</v>
      </c>
      <c r="B472" s="184">
        <v>7002313742</v>
      </c>
      <c r="C472" s="184">
        <v>3</v>
      </c>
      <c r="D472" s="9" t="s">
        <v>751</v>
      </c>
    </row>
    <row r="473" spans="1:4" ht="12.5">
      <c r="A473" s="186">
        <v>46152</v>
      </c>
      <c r="B473" s="184">
        <v>7002314756</v>
      </c>
      <c r="C473" s="184">
        <v>137</v>
      </c>
      <c r="D473" s="9" t="s">
        <v>752</v>
      </c>
    </row>
    <row r="474" spans="1:4" ht="12.5">
      <c r="A474" s="186">
        <v>46152</v>
      </c>
      <c r="B474" s="184">
        <v>7002314805</v>
      </c>
      <c r="C474" s="184">
        <v>1</v>
      </c>
      <c r="D474" s="9" t="s">
        <v>750</v>
      </c>
    </row>
    <row r="475" spans="1:4" ht="12.5">
      <c r="A475" s="186">
        <v>46152</v>
      </c>
      <c r="B475" s="184">
        <v>7002315014</v>
      </c>
      <c r="C475" s="184">
        <v>6</v>
      </c>
      <c r="D475" s="9" t="s">
        <v>753</v>
      </c>
    </row>
    <row r="476" spans="1:4" ht="12.5">
      <c r="A476" s="186">
        <v>46152</v>
      </c>
      <c r="B476" s="184">
        <v>7002315797</v>
      </c>
      <c r="C476" s="184">
        <v>39</v>
      </c>
      <c r="D476" s="9" t="s">
        <v>752</v>
      </c>
    </row>
    <row r="477" spans="1:4" ht="12.5">
      <c r="A477" s="186">
        <v>46152</v>
      </c>
      <c r="B477" s="184">
        <v>7002316733</v>
      </c>
      <c r="C477" s="184">
        <v>2</v>
      </c>
      <c r="D477" s="9" t="s">
        <v>751</v>
      </c>
    </row>
    <row r="478" spans="1:4" ht="12.5">
      <c r="A478" s="186">
        <v>46152</v>
      </c>
      <c r="B478" s="184">
        <v>7002316767</v>
      </c>
      <c r="C478" s="184">
        <v>3</v>
      </c>
      <c r="D478" s="9" t="s">
        <v>751</v>
      </c>
    </row>
    <row r="479" spans="1:4" ht="12.5">
      <c r="A479" s="186">
        <v>46152</v>
      </c>
      <c r="B479" s="184">
        <v>7002317775</v>
      </c>
      <c r="C479" s="184">
        <v>1</v>
      </c>
      <c r="D479" s="9" t="s">
        <v>750</v>
      </c>
    </row>
    <row r="480" spans="1:4" ht="12.5">
      <c r="A480" s="186">
        <v>46152</v>
      </c>
      <c r="B480" s="184">
        <v>7002318054</v>
      </c>
      <c r="C480" s="184">
        <v>6</v>
      </c>
      <c r="D480" s="9" t="s">
        <v>753</v>
      </c>
    </row>
    <row r="481" spans="1:4" ht="12.5">
      <c r="A481" s="186">
        <v>46152</v>
      </c>
      <c r="B481" s="184">
        <v>7002318748</v>
      </c>
      <c r="C481" s="184">
        <v>1</v>
      </c>
      <c r="D481" s="9" t="s">
        <v>750</v>
      </c>
    </row>
    <row r="482" spans="1:4" ht="12.5">
      <c r="A482" s="186">
        <v>46152</v>
      </c>
      <c r="B482" s="184">
        <v>7002318769</v>
      </c>
      <c r="C482" s="184">
        <v>35</v>
      </c>
      <c r="D482" s="9" t="s">
        <v>752</v>
      </c>
    </row>
    <row r="483" spans="1:4" ht="12.5">
      <c r="A483" s="186">
        <v>46152</v>
      </c>
      <c r="B483" s="184">
        <v>7002318782</v>
      </c>
      <c r="C483" s="184">
        <v>11</v>
      </c>
      <c r="D483" s="9" t="s">
        <v>752</v>
      </c>
    </row>
    <row r="484" spans="1:4" ht="12.5">
      <c r="A484" s="186">
        <v>46152</v>
      </c>
      <c r="B484" s="184">
        <v>7002318795</v>
      </c>
      <c r="C484" s="184">
        <v>42</v>
      </c>
      <c r="D484" s="9" t="s">
        <v>752</v>
      </c>
    </row>
    <row r="485" spans="1:4" ht="12.5">
      <c r="A485" s="186">
        <v>46152</v>
      </c>
      <c r="B485" s="184">
        <v>7002319765</v>
      </c>
      <c r="C485" s="184">
        <v>106</v>
      </c>
      <c r="D485" s="9" t="s">
        <v>752</v>
      </c>
    </row>
    <row r="486" spans="1:4" ht="12.5">
      <c r="A486" s="186">
        <v>46152</v>
      </c>
      <c r="B486" s="184">
        <v>7002320308</v>
      </c>
      <c r="C486" s="184">
        <v>1</v>
      </c>
      <c r="D486" s="9" t="s">
        <v>750</v>
      </c>
    </row>
    <row r="487" spans="1:4" ht="12.5">
      <c r="A487" s="186">
        <v>46152</v>
      </c>
      <c r="B487" s="184">
        <v>7002320458</v>
      </c>
      <c r="C487" s="184">
        <v>40</v>
      </c>
      <c r="D487" s="9" t="s">
        <v>752</v>
      </c>
    </row>
    <row r="488" spans="1:4" ht="12.5">
      <c r="A488" s="186">
        <v>46152</v>
      </c>
      <c r="B488" s="184">
        <v>7002320607</v>
      </c>
      <c r="C488" s="184">
        <v>55</v>
      </c>
      <c r="D488" s="9" t="s">
        <v>752</v>
      </c>
    </row>
    <row r="489" spans="1:4" ht="12.5">
      <c r="A489" s="186">
        <v>46152</v>
      </c>
      <c r="B489" s="184">
        <v>7002322614</v>
      </c>
      <c r="C489" s="184">
        <v>2</v>
      </c>
      <c r="D489" s="9" t="s">
        <v>751</v>
      </c>
    </row>
    <row r="490" spans="1:4" ht="12.5">
      <c r="A490" s="186">
        <v>46152</v>
      </c>
      <c r="B490" s="184">
        <v>7002323455</v>
      </c>
      <c r="C490" s="184">
        <v>5</v>
      </c>
      <c r="D490" s="9" t="s">
        <v>751</v>
      </c>
    </row>
    <row r="491" spans="1:4" ht="12.5">
      <c r="A491" s="186">
        <v>46152</v>
      </c>
      <c r="B491" s="184">
        <v>7002323554</v>
      </c>
      <c r="C491" s="184">
        <v>2</v>
      </c>
      <c r="D491" s="9" t="s">
        <v>751</v>
      </c>
    </row>
    <row r="492" spans="1:4" ht="12.5">
      <c r="A492" s="186">
        <v>46152</v>
      </c>
      <c r="B492" s="184">
        <v>7002324612</v>
      </c>
      <c r="C492" s="184">
        <v>2</v>
      </c>
      <c r="D492" s="9" t="s">
        <v>751</v>
      </c>
    </row>
    <row r="493" spans="1:4" ht="12.5">
      <c r="A493" s="186">
        <v>46152</v>
      </c>
      <c r="B493" s="184">
        <v>7002325452</v>
      </c>
      <c r="C493" s="184">
        <v>1</v>
      </c>
      <c r="D493" s="9" t="s">
        <v>750</v>
      </c>
    </row>
    <row r="494" spans="1:4" ht="12.5">
      <c r="A494" s="186">
        <v>46152</v>
      </c>
      <c r="B494" s="184">
        <v>7002326469</v>
      </c>
      <c r="C494" s="184">
        <v>1</v>
      </c>
      <c r="D494" s="9" t="s">
        <v>750</v>
      </c>
    </row>
    <row r="495" spans="1:4" ht="12.5">
      <c r="A495" s="186">
        <v>46152</v>
      </c>
      <c r="B495" s="184">
        <v>7002327616</v>
      </c>
      <c r="C495" s="184">
        <v>2</v>
      </c>
      <c r="D495" s="9" t="s">
        <v>751</v>
      </c>
    </row>
    <row r="496" spans="1:4" ht="12.5">
      <c r="A496" s="186">
        <v>46152</v>
      </c>
      <c r="B496" s="184">
        <v>7002328770</v>
      </c>
      <c r="C496" s="184">
        <v>1</v>
      </c>
      <c r="D496" s="9" t="s">
        <v>750</v>
      </c>
    </row>
    <row r="497" spans="1:4" ht="12.5">
      <c r="A497" s="186">
        <v>46152</v>
      </c>
      <c r="B497" s="184">
        <v>7002329625</v>
      </c>
      <c r="C497" s="184">
        <v>1</v>
      </c>
      <c r="D497" s="9" t="s">
        <v>750</v>
      </c>
    </row>
    <row r="498" spans="1:4" ht="14.5">
      <c r="A498" s="186"/>
      <c r="B498" s="190"/>
      <c r="C498" s="190"/>
      <c r="D498" s="9"/>
    </row>
    <row r="499" spans="1:4" ht="14.5">
      <c r="A499" s="186">
        <v>46153</v>
      </c>
      <c r="B499" s="190">
        <v>7000908997</v>
      </c>
      <c r="C499" s="190">
        <v>1</v>
      </c>
      <c r="D499" s="9" t="s">
        <v>750</v>
      </c>
    </row>
    <row r="500" spans="1:4" ht="14.5">
      <c r="A500" s="186">
        <v>46153</v>
      </c>
      <c r="B500" s="190">
        <v>7000918024</v>
      </c>
      <c r="C500" s="190">
        <v>19</v>
      </c>
      <c r="D500" s="9" t="s">
        <v>752</v>
      </c>
    </row>
    <row r="501" spans="1:4" ht="14.5">
      <c r="A501" s="186">
        <v>46153</v>
      </c>
      <c r="B501" s="190">
        <v>7001727096</v>
      </c>
      <c r="C501" s="190">
        <v>1</v>
      </c>
      <c r="D501" s="9" t="s">
        <v>750</v>
      </c>
    </row>
    <row r="502" spans="1:4" ht="14.5">
      <c r="A502" s="186">
        <v>46153</v>
      </c>
      <c r="B502" s="190">
        <v>7001778553</v>
      </c>
      <c r="C502" s="190">
        <v>605</v>
      </c>
      <c r="D502" s="9" t="s">
        <v>752</v>
      </c>
    </row>
    <row r="503" spans="1:4" ht="14.5">
      <c r="A503" s="186">
        <v>46153</v>
      </c>
      <c r="B503" s="190">
        <v>7001856907</v>
      </c>
      <c r="C503" s="190">
        <v>4</v>
      </c>
      <c r="D503" s="9" t="s">
        <v>751</v>
      </c>
    </row>
    <row r="504" spans="1:4" ht="14.5">
      <c r="A504" s="186">
        <v>46153</v>
      </c>
      <c r="B504" s="190">
        <v>7002093685</v>
      </c>
      <c r="C504" s="190">
        <v>14</v>
      </c>
      <c r="D504" s="9" t="s">
        <v>752</v>
      </c>
    </row>
    <row r="505" spans="1:4" ht="14.5">
      <c r="A505" s="186">
        <v>46153</v>
      </c>
      <c r="B505" s="190">
        <v>7002109803</v>
      </c>
      <c r="C505" s="190">
        <v>53</v>
      </c>
      <c r="D505" s="9" t="s">
        <v>752</v>
      </c>
    </row>
    <row r="506" spans="1:4" ht="14.5">
      <c r="A506" s="186">
        <v>46153</v>
      </c>
      <c r="B506" s="190">
        <v>7002112724</v>
      </c>
      <c r="C506" s="190">
        <v>51</v>
      </c>
      <c r="D506" s="9" t="s">
        <v>752</v>
      </c>
    </row>
    <row r="507" spans="1:4" ht="14.5">
      <c r="A507" s="186">
        <v>46153</v>
      </c>
      <c r="B507" s="190">
        <v>7002114631</v>
      </c>
      <c r="C507" s="190">
        <v>4</v>
      </c>
      <c r="D507" s="9" t="s">
        <v>751</v>
      </c>
    </row>
    <row r="508" spans="1:4" ht="14.5">
      <c r="A508" s="186">
        <v>46153</v>
      </c>
      <c r="B508" s="190">
        <v>7002119660</v>
      </c>
      <c r="C508" s="190">
        <v>2</v>
      </c>
      <c r="D508" s="9" t="s">
        <v>751</v>
      </c>
    </row>
    <row r="509" spans="1:4" ht="14.5">
      <c r="A509" s="186">
        <v>46153</v>
      </c>
      <c r="B509" s="190">
        <v>7002125893</v>
      </c>
      <c r="C509" s="190">
        <v>3</v>
      </c>
      <c r="D509" s="9" t="s">
        <v>751</v>
      </c>
    </row>
    <row r="510" spans="1:4" ht="14.5">
      <c r="A510" s="186">
        <v>46153</v>
      </c>
      <c r="B510" s="190">
        <v>7002129647</v>
      </c>
      <c r="C510" s="190">
        <v>7</v>
      </c>
      <c r="D510" s="9" t="s">
        <v>753</v>
      </c>
    </row>
    <row r="511" spans="1:4" ht="14.5">
      <c r="A511" s="186">
        <v>46153</v>
      </c>
      <c r="B511" s="190">
        <v>7002138602</v>
      </c>
      <c r="C511" s="190">
        <v>60</v>
      </c>
      <c r="D511" s="9" t="s">
        <v>752</v>
      </c>
    </row>
    <row r="512" spans="1:4" ht="14.5">
      <c r="A512" s="186">
        <v>46153</v>
      </c>
      <c r="B512" s="190">
        <v>7002142944</v>
      </c>
      <c r="C512" s="190">
        <v>2</v>
      </c>
      <c r="D512" s="9" t="s">
        <v>751</v>
      </c>
    </row>
    <row r="513" spans="1:4" ht="14.5">
      <c r="A513" s="186">
        <v>46153</v>
      </c>
      <c r="B513" s="190">
        <v>7002148615</v>
      </c>
      <c r="C513" s="190">
        <v>5</v>
      </c>
      <c r="D513" s="9" t="s">
        <v>751</v>
      </c>
    </row>
    <row r="514" spans="1:4" ht="14.5">
      <c r="A514" s="186">
        <v>46153</v>
      </c>
      <c r="B514" s="190">
        <v>7002150284</v>
      </c>
      <c r="C514" s="190">
        <v>7</v>
      </c>
      <c r="D514" s="9" t="s">
        <v>753</v>
      </c>
    </row>
    <row r="515" spans="1:4" ht="14.5">
      <c r="A515" s="186">
        <v>46153</v>
      </c>
      <c r="B515" s="190">
        <v>7002150411</v>
      </c>
      <c r="C515" s="190">
        <v>7</v>
      </c>
      <c r="D515" s="9" t="s">
        <v>753</v>
      </c>
    </row>
    <row r="516" spans="1:4" ht="14.5">
      <c r="A516" s="186">
        <v>46153</v>
      </c>
      <c r="B516" s="190">
        <v>7002151071</v>
      </c>
      <c r="C516" s="190">
        <v>7</v>
      </c>
      <c r="D516" s="9" t="s">
        <v>753</v>
      </c>
    </row>
    <row r="517" spans="1:4" ht="14.5">
      <c r="A517" s="186">
        <v>46153</v>
      </c>
      <c r="B517" s="190">
        <v>7002152340</v>
      </c>
      <c r="C517" s="190">
        <v>9</v>
      </c>
      <c r="D517" s="9" t="s">
        <v>753</v>
      </c>
    </row>
    <row r="518" spans="1:4" ht="14.5">
      <c r="A518" s="186">
        <v>46153</v>
      </c>
      <c r="B518" s="190">
        <v>7002156126</v>
      </c>
      <c r="C518" s="190">
        <v>60</v>
      </c>
      <c r="D518" s="9" t="s">
        <v>752</v>
      </c>
    </row>
    <row r="519" spans="1:4" ht="14.5">
      <c r="A519" s="186">
        <v>46153</v>
      </c>
      <c r="B519" s="190">
        <v>7002160779</v>
      </c>
      <c r="C519" s="190">
        <v>2</v>
      </c>
      <c r="D519" s="9" t="s">
        <v>751</v>
      </c>
    </row>
    <row r="520" spans="1:4" ht="14.5">
      <c r="A520" s="186">
        <v>46153</v>
      </c>
      <c r="B520" s="190">
        <v>7002160839</v>
      </c>
      <c r="C520" s="190">
        <v>2</v>
      </c>
      <c r="D520" s="9" t="s">
        <v>751</v>
      </c>
    </row>
    <row r="521" spans="1:4" ht="14.5">
      <c r="A521" s="186">
        <v>46153</v>
      </c>
      <c r="B521" s="190">
        <v>7002160841</v>
      </c>
      <c r="C521" s="190">
        <v>2</v>
      </c>
      <c r="D521" s="9" t="s">
        <v>751</v>
      </c>
    </row>
    <row r="522" spans="1:4" ht="14.5">
      <c r="A522" s="186">
        <v>46153</v>
      </c>
      <c r="B522" s="190">
        <v>7002161349</v>
      </c>
      <c r="C522" s="190">
        <v>5</v>
      </c>
      <c r="D522" s="9" t="s">
        <v>751</v>
      </c>
    </row>
    <row r="523" spans="1:4" ht="14.5">
      <c r="A523" s="186">
        <v>46153</v>
      </c>
      <c r="B523" s="190">
        <v>7002161713</v>
      </c>
      <c r="C523" s="190">
        <v>5</v>
      </c>
      <c r="D523" s="9" t="s">
        <v>751</v>
      </c>
    </row>
    <row r="524" spans="1:4" ht="14.5">
      <c r="A524" s="186">
        <v>46153</v>
      </c>
      <c r="B524" s="190">
        <v>7002161838</v>
      </c>
      <c r="C524" s="190">
        <v>3</v>
      </c>
      <c r="D524" s="9" t="s">
        <v>751</v>
      </c>
    </row>
    <row r="525" spans="1:4" ht="14.5">
      <c r="A525" s="186">
        <v>46153</v>
      </c>
      <c r="B525" s="190">
        <v>7002162915</v>
      </c>
      <c r="C525" s="190">
        <v>1</v>
      </c>
      <c r="D525" s="9" t="s">
        <v>750</v>
      </c>
    </row>
    <row r="526" spans="1:4" ht="14.5">
      <c r="A526" s="186">
        <v>46153</v>
      </c>
      <c r="B526" s="190">
        <v>7002163776</v>
      </c>
      <c r="C526" s="190">
        <v>10</v>
      </c>
      <c r="D526" s="9" t="s">
        <v>753</v>
      </c>
    </row>
    <row r="527" spans="1:4" ht="14.5">
      <c r="A527" s="186">
        <v>46153</v>
      </c>
      <c r="B527" s="190">
        <v>7002164775</v>
      </c>
      <c r="C527" s="190">
        <v>3</v>
      </c>
      <c r="D527" s="9" t="s">
        <v>751</v>
      </c>
    </row>
    <row r="528" spans="1:4" ht="14.5">
      <c r="A528" s="186">
        <v>46153</v>
      </c>
      <c r="B528" s="190">
        <v>7002165849</v>
      </c>
      <c r="C528" s="190">
        <v>2</v>
      </c>
      <c r="D528" s="9" t="s">
        <v>751</v>
      </c>
    </row>
    <row r="529" spans="1:4" ht="14.5">
      <c r="A529" s="186">
        <v>46153</v>
      </c>
      <c r="B529" s="190">
        <v>7002166845</v>
      </c>
      <c r="C529" s="190">
        <v>3</v>
      </c>
      <c r="D529" s="9" t="s">
        <v>751</v>
      </c>
    </row>
    <row r="530" spans="1:4" ht="14.5">
      <c r="A530" s="186">
        <v>46153</v>
      </c>
      <c r="B530" s="190">
        <v>7002167805</v>
      </c>
      <c r="C530" s="190">
        <v>1</v>
      </c>
      <c r="D530" s="9" t="s">
        <v>750</v>
      </c>
    </row>
    <row r="531" spans="1:4" ht="14.5">
      <c r="A531" s="186">
        <v>46153</v>
      </c>
      <c r="B531" s="190">
        <v>7002167846</v>
      </c>
      <c r="C531" s="190">
        <v>3</v>
      </c>
      <c r="D531" s="9" t="s">
        <v>751</v>
      </c>
    </row>
    <row r="532" spans="1:4" ht="14.5">
      <c r="A532" s="186">
        <v>46153</v>
      </c>
      <c r="B532" s="190">
        <v>7002168847</v>
      </c>
      <c r="C532" s="190">
        <v>3</v>
      </c>
      <c r="D532" s="9" t="s">
        <v>751</v>
      </c>
    </row>
    <row r="533" spans="1:4" ht="14.5">
      <c r="A533" s="186">
        <v>46153</v>
      </c>
      <c r="B533" s="190">
        <v>7002169758</v>
      </c>
      <c r="C533" s="190">
        <v>1</v>
      </c>
      <c r="D533" s="9" t="s">
        <v>750</v>
      </c>
    </row>
    <row r="534" spans="1:4" ht="14.5">
      <c r="A534" s="186">
        <v>46153</v>
      </c>
      <c r="B534" s="190">
        <v>7002170003</v>
      </c>
      <c r="C534" s="190">
        <v>16</v>
      </c>
      <c r="D534" s="9" t="s">
        <v>752</v>
      </c>
    </row>
    <row r="535" spans="1:4" ht="14.5">
      <c r="A535" s="186">
        <v>46153</v>
      </c>
      <c r="B535" s="190">
        <v>7002177708</v>
      </c>
      <c r="C535" s="190">
        <v>2</v>
      </c>
      <c r="D535" s="9" t="s">
        <v>751</v>
      </c>
    </row>
    <row r="536" spans="1:4" ht="14.5">
      <c r="A536" s="186">
        <v>46153</v>
      </c>
      <c r="B536" s="190">
        <v>7002177904</v>
      </c>
      <c r="C536" s="190">
        <v>3</v>
      </c>
      <c r="D536" s="9" t="s">
        <v>751</v>
      </c>
    </row>
    <row r="537" spans="1:4" ht="14.5">
      <c r="A537" s="186">
        <v>46153</v>
      </c>
      <c r="B537" s="190">
        <v>7002183294</v>
      </c>
      <c r="C537" s="190">
        <v>3</v>
      </c>
      <c r="D537" s="9" t="s">
        <v>751</v>
      </c>
    </row>
    <row r="538" spans="1:4" ht="14.5">
      <c r="A538" s="186">
        <v>46153</v>
      </c>
      <c r="B538" s="190">
        <v>7002185214</v>
      </c>
      <c r="C538" s="190">
        <v>4</v>
      </c>
      <c r="D538" s="9" t="s">
        <v>751</v>
      </c>
    </row>
    <row r="539" spans="1:4" ht="14.5">
      <c r="A539" s="186">
        <v>46153</v>
      </c>
      <c r="B539" s="190">
        <v>7002189232</v>
      </c>
      <c r="C539" s="190">
        <v>12</v>
      </c>
      <c r="D539" s="9" t="s">
        <v>752</v>
      </c>
    </row>
    <row r="540" spans="1:4" ht="14.5">
      <c r="A540" s="186">
        <v>46153</v>
      </c>
      <c r="B540" s="190">
        <v>7002190338</v>
      </c>
      <c r="C540" s="190">
        <v>16</v>
      </c>
      <c r="D540" s="9" t="s">
        <v>752</v>
      </c>
    </row>
    <row r="541" spans="1:4" ht="14.5">
      <c r="A541" s="186">
        <v>46153</v>
      </c>
      <c r="B541" s="190">
        <v>7002191268</v>
      </c>
      <c r="C541" s="190">
        <v>13</v>
      </c>
      <c r="D541" s="9" t="s">
        <v>752</v>
      </c>
    </row>
    <row r="542" spans="1:4" ht="14.5">
      <c r="A542" s="186">
        <v>46153</v>
      </c>
      <c r="B542" s="190">
        <v>7002191363</v>
      </c>
      <c r="C542" s="190">
        <v>2</v>
      </c>
      <c r="D542" s="9" t="s">
        <v>751</v>
      </c>
    </row>
    <row r="543" spans="1:4" ht="14.5">
      <c r="A543" s="186">
        <v>46153</v>
      </c>
      <c r="B543" s="190">
        <v>7002195321</v>
      </c>
      <c r="C543" s="190">
        <v>86</v>
      </c>
      <c r="D543" s="9" t="s">
        <v>752</v>
      </c>
    </row>
    <row r="544" spans="1:4" ht="14.5">
      <c r="A544" s="186">
        <v>46153</v>
      </c>
      <c r="B544" s="190">
        <v>7002195350</v>
      </c>
      <c r="C544" s="190">
        <v>1</v>
      </c>
      <c r="D544" s="9" t="s">
        <v>750</v>
      </c>
    </row>
    <row r="545" spans="1:4" ht="14.5">
      <c r="A545" s="186">
        <v>46153</v>
      </c>
      <c r="B545" s="190">
        <v>7002197597</v>
      </c>
      <c r="C545" s="190">
        <v>5</v>
      </c>
      <c r="D545" s="9" t="s">
        <v>751</v>
      </c>
    </row>
    <row r="546" spans="1:4" ht="14.5">
      <c r="A546" s="186">
        <v>46153</v>
      </c>
      <c r="B546" s="190">
        <v>7002197711</v>
      </c>
      <c r="C546" s="190">
        <v>36</v>
      </c>
      <c r="D546" s="9" t="s">
        <v>752</v>
      </c>
    </row>
    <row r="547" spans="1:4" ht="14.5">
      <c r="A547" s="186">
        <v>46153</v>
      </c>
      <c r="B547" s="190">
        <v>7002209460</v>
      </c>
      <c r="C547" s="190">
        <v>5</v>
      </c>
      <c r="D547" s="9" t="s">
        <v>751</v>
      </c>
    </row>
    <row r="548" spans="1:4" ht="14.5">
      <c r="A548" s="186">
        <v>46153</v>
      </c>
      <c r="B548" s="190">
        <v>7002209584</v>
      </c>
      <c r="C548" s="190">
        <v>2</v>
      </c>
      <c r="D548" s="9" t="s">
        <v>751</v>
      </c>
    </row>
    <row r="549" spans="1:4" ht="14.5">
      <c r="A549" s="186">
        <v>46153</v>
      </c>
      <c r="B549" s="190">
        <v>7002210348</v>
      </c>
      <c r="C549" s="190">
        <v>23</v>
      </c>
      <c r="D549" s="9" t="s">
        <v>752</v>
      </c>
    </row>
    <row r="550" spans="1:4" ht="14.5">
      <c r="A550" s="186">
        <v>46153</v>
      </c>
      <c r="B550" s="190">
        <v>7002211381</v>
      </c>
      <c r="C550" s="190">
        <v>11</v>
      </c>
      <c r="D550" s="9" t="s">
        <v>752</v>
      </c>
    </row>
    <row r="551" spans="1:4" ht="14.5">
      <c r="A551" s="186">
        <v>46153</v>
      </c>
      <c r="B551" s="190">
        <v>7002211974</v>
      </c>
      <c r="C551" s="190">
        <v>5</v>
      </c>
      <c r="D551" s="9" t="s">
        <v>751</v>
      </c>
    </row>
    <row r="552" spans="1:4" ht="14.5">
      <c r="A552" s="186">
        <v>46153</v>
      </c>
      <c r="B552" s="190">
        <v>7002215469</v>
      </c>
      <c r="C552" s="190">
        <v>5</v>
      </c>
      <c r="D552" s="9" t="s">
        <v>751</v>
      </c>
    </row>
    <row r="553" spans="1:4" ht="14.5">
      <c r="A553" s="186">
        <v>46153</v>
      </c>
      <c r="B553" s="190">
        <v>7002215658</v>
      </c>
      <c r="C553" s="190">
        <v>82</v>
      </c>
      <c r="D553" s="9" t="s">
        <v>752</v>
      </c>
    </row>
    <row r="554" spans="1:4" ht="14.5">
      <c r="A554" s="186">
        <v>46153</v>
      </c>
      <c r="B554" s="190">
        <v>7002217638</v>
      </c>
      <c r="C554" s="190">
        <v>7</v>
      </c>
      <c r="D554" s="9" t="s">
        <v>753</v>
      </c>
    </row>
    <row r="555" spans="1:4" ht="14.5">
      <c r="A555" s="186">
        <v>46153</v>
      </c>
      <c r="B555" s="190">
        <v>7002217664</v>
      </c>
      <c r="C555" s="190">
        <v>12</v>
      </c>
      <c r="D555" s="9" t="s">
        <v>752</v>
      </c>
    </row>
    <row r="556" spans="1:4" ht="14.5">
      <c r="A556" s="186">
        <v>46153</v>
      </c>
      <c r="B556" s="190">
        <v>7002222540</v>
      </c>
      <c r="C556" s="190">
        <v>2</v>
      </c>
      <c r="D556" s="9" t="s">
        <v>751</v>
      </c>
    </row>
    <row r="557" spans="1:4" ht="14.5">
      <c r="A557" s="186">
        <v>46153</v>
      </c>
      <c r="B557" s="190">
        <v>7002224543</v>
      </c>
      <c r="C557" s="190">
        <v>1</v>
      </c>
      <c r="D557" s="9" t="s">
        <v>750</v>
      </c>
    </row>
    <row r="558" spans="1:4" ht="14.5">
      <c r="A558" s="186">
        <v>46153</v>
      </c>
      <c r="B558" s="190">
        <v>7002224591</v>
      </c>
      <c r="C558" s="190">
        <v>1</v>
      </c>
      <c r="D558" s="9" t="s">
        <v>750</v>
      </c>
    </row>
    <row r="559" spans="1:4" ht="14.5">
      <c r="A559" s="186">
        <v>46153</v>
      </c>
      <c r="B559" s="190">
        <v>7002225485</v>
      </c>
      <c r="C559" s="190">
        <v>18</v>
      </c>
      <c r="D559" s="9" t="s">
        <v>752</v>
      </c>
    </row>
    <row r="560" spans="1:4" ht="14.5">
      <c r="A560" s="186">
        <v>46153</v>
      </c>
      <c r="B560" s="190">
        <v>7002226549</v>
      </c>
      <c r="C560" s="190">
        <v>5</v>
      </c>
      <c r="D560" s="9" t="s">
        <v>751</v>
      </c>
    </row>
    <row r="561" spans="1:4" ht="14.5">
      <c r="A561" s="186">
        <v>46153</v>
      </c>
      <c r="B561" s="190">
        <v>7002228958</v>
      </c>
      <c r="C561" s="190">
        <v>2</v>
      </c>
      <c r="D561" s="9" t="s">
        <v>751</v>
      </c>
    </row>
    <row r="562" spans="1:4" ht="14.5">
      <c r="A562" s="186">
        <v>46153</v>
      </c>
      <c r="B562" s="190">
        <v>7002229547</v>
      </c>
      <c r="C562" s="190">
        <v>21</v>
      </c>
      <c r="D562" s="9" t="s">
        <v>752</v>
      </c>
    </row>
    <row r="563" spans="1:4" ht="14.5">
      <c r="A563" s="186">
        <v>46153</v>
      </c>
      <c r="B563" s="190">
        <v>7002230101</v>
      </c>
      <c r="C563" s="190">
        <v>1</v>
      </c>
      <c r="D563" s="9" t="s">
        <v>750</v>
      </c>
    </row>
    <row r="564" spans="1:4" ht="14.5">
      <c r="A564" s="186">
        <v>46153</v>
      </c>
      <c r="B564" s="190">
        <v>7002230292</v>
      </c>
      <c r="C564" s="190">
        <v>5</v>
      </c>
      <c r="D564" s="9" t="s">
        <v>751</v>
      </c>
    </row>
    <row r="565" spans="1:4" ht="14.5">
      <c r="A565" s="186">
        <v>46153</v>
      </c>
      <c r="B565" s="190">
        <v>7002230439</v>
      </c>
      <c r="C565" s="190">
        <v>2</v>
      </c>
      <c r="D565" s="9" t="s">
        <v>751</v>
      </c>
    </row>
    <row r="566" spans="1:4" ht="14.5">
      <c r="A566" s="186">
        <v>46153</v>
      </c>
      <c r="B566" s="190">
        <v>7002230935</v>
      </c>
      <c r="C566" s="190">
        <v>2</v>
      </c>
      <c r="D566" s="9" t="s">
        <v>751</v>
      </c>
    </row>
    <row r="567" spans="1:4" ht="14.5">
      <c r="A567" s="186">
        <v>46153</v>
      </c>
      <c r="B567" s="190">
        <v>7002231861</v>
      </c>
      <c r="C567" s="190">
        <v>2</v>
      </c>
      <c r="D567" s="9" t="s">
        <v>751</v>
      </c>
    </row>
    <row r="568" spans="1:4" ht="14.5">
      <c r="A568" s="186">
        <v>46153</v>
      </c>
      <c r="B568" s="190">
        <v>7002232530</v>
      </c>
      <c r="C568" s="190">
        <v>23</v>
      </c>
      <c r="D568" s="9" t="s">
        <v>752</v>
      </c>
    </row>
    <row r="569" spans="1:4" ht="14.5">
      <c r="A569" s="186">
        <v>46153</v>
      </c>
      <c r="B569" s="190">
        <v>7002232631</v>
      </c>
      <c r="C569" s="190">
        <v>3</v>
      </c>
      <c r="D569" s="9" t="s">
        <v>751</v>
      </c>
    </row>
    <row r="570" spans="1:4" ht="14.5">
      <c r="A570" s="186">
        <v>46153</v>
      </c>
      <c r="B570" s="190">
        <v>7002233119</v>
      </c>
      <c r="C570" s="190">
        <v>2</v>
      </c>
      <c r="D570" s="9" t="s">
        <v>751</v>
      </c>
    </row>
    <row r="571" spans="1:4" ht="14.5">
      <c r="A571" s="186">
        <v>46153</v>
      </c>
      <c r="B571" s="190">
        <v>7002233256</v>
      </c>
      <c r="C571" s="190">
        <v>2</v>
      </c>
      <c r="D571" s="9" t="s">
        <v>751</v>
      </c>
    </row>
    <row r="572" spans="1:4" ht="14.5">
      <c r="A572" s="186">
        <v>46153</v>
      </c>
      <c r="B572" s="190">
        <v>7002233294</v>
      </c>
      <c r="C572" s="190">
        <v>1</v>
      </c>
      <c r="D572" s="9" t="s">
        <v>750</v>
      </c>
    </row>
    <row r="573" spans="1:4" ht="14.5">
      <c r="A573" s="186">
        <v>46153</v>
      </c>
      <c r="B573" s="190">
        <v>7002233354</v>
      </c>
      <c r="C573" s="190">
        <v>14</v>
      </c>
      <c r="D573" s="9" t="s">
        <v>752</v>
      </c>
    </row>
    <row r="574" spans="1:4" ht="14.5">
      <c r="A574" s="186">
        <v>46153</v>
      </c>
      <c r="B574" s="190">
        <v>7002233624</v>
      </c>
      <c r="C574" s="190">
        <v>1</v>
      </c>
      <c r="D574" s="9" t="s">
        <v>750</v>
      </c>
    </row>
    <row r="575" spans="1:4" ht="14.5">
      <c r="A575" s="186">
        <v>46153</v>
      </c>
      <c r="B575" s="190">
        <v>7002233648</v>
      </c>
      <c r="C575" s="190">
        <v>100</v>
      </c>
      <c r="D575" s="9" t="s">
        <v>752</v>
      </c>
    </row>
    <row r="576" spans="1:4" ht="14.5">
      <c r="A576" s="186">
        <v>46153</v>
      </c>
      <c r="B576" s="190">
        <v>7002234403</v>
      </c>
      <c r="C576" s="190">
        <v>6</v>
      </c>
      <c r="D576" s="9" t="s">
        <v>753</v>
      </c>
    </row>
    <row r="577" spans="1:4" ht="14.5">
      <c r="A577" s="186">
        <v>46153</v>
      </c>
      <c r="B577" s="190">
        <v>7002234579</v>
      </c>
      <c r="C577" s="190">
        <v>20</v>
      </c>
      <c r="D577" s="9" t="s">
        <v>752</v>
      </c>
    </row>
    <row r="578" spans="1:4" ht="14.5">
      <c r="A578" s="186">
        <v>46153</v>
      </c>
      <c r="B578" s="190">
        <v>7002234652</v>
      </c>
      <c r="C578" s="190">
        <v>17</v>
      </c>
      <c r="D578" s="9" t="s">
        <v>752</v>
      </c>
    </row>
    <row r="579" spans="1:4" ht="14.5">
      <c r="A579" s="186">
        <v>46153</v>
      </c>
      <c r="B579" s="190">
        <v>7002237984</v>
      </c>
      <c r="C579" s="190">
        <v>17</v>
      </c>
      <c r="D579" s="9" t="s">
        <v>752</v>
      </c>
    </row>
    <row r="580" spans="1:4" ht="14.5">
      <c r="A580" s="186">
        <v>46153</v>
      </c>
      <c r="B580" s="190">
        <v>7002238738</v>
      </c>
      <c r="C580" s="190">
        <v>1</v>
      </c>
      <c r="D580" s="9" t="s">
        <v>750</v>
      </c>
    </row>
    <row r="581" spans="1:4" ht="14.5">
      <c r="A581" s="186">
        <v>46153</v>
      </c>
      <c r="B581" s="190">
        <v>7002238845</v>
      </c>
      <c r="C581" s="190">
        <v>2</v>
      </c>
      <c r="D581" s="9" t="s">
        <v>751</v>
      </c>
    </row>
    <row r="582" spans="1:4" ht="14.5">
      <c r="A582" s="186">
        <v>46153</v>
      </c>
      <c r="B582" s="190">
        <v>7002238914</v>
      </c>
      <c r="C582" s="190">
        <v>2</v>
      </c>
      <c r="D582" s="9" t="s">
        <v>751</v>
      </c>
    </row>
    <row r="583" spans="1:4" ht="14.5">
      <c r="A583" s="186">
        <v>46153</v>
      </c>
      <c r="B583" s="190">
        <v>7002239718</v>
      </c>
      <c r="C583" s="190">
        <v>1</v>
      </c>
      <c r="D583" s="9" t="s">
        <v>750</v>
      </c>
    </row>
    <row r="584" spans="1:4" ht="14.5">
      <c r="A584" s="186">
        <v>46153</v>
      </c>
      <c r="B584" s="190">
        <v>7002241855</v>
      </c>
      <c r="C584" s="190">
        <v>4</v>
      </c>
      <c r="D584" s="9" t="s">
        <v>751</v>
      </c>
    </row>
    <row r="585" spans="1:4" ht="14.5">
      <c r="A585" s="186">
        <v>46153</v>
      </c>
      <c r="B585" s="190">
        <v>7002242579</v>
      </c>
      <c r="C585" s="190">
        <v>3</v>
      </c>
      <c r="D585" s="9" t="s">
        <v>751</v>
      </c>
    </row>
    <row r="586" spans="1:4" ht="14.5">
      <c r="A586" s="186">
        <v>46153</v>
      </c>
      <c r="B586" s="190">
        <v>7002243425</v>
      </c>
      <c r="C586" s="190">
        <v>2</v>
      </c>
      <c r="D586" s="9" t="s">
        <v>751</v>
      </c>
    </row>
    <row r="587" spans="1:4" ht="14.5">
      <c r="A587" s="186">
        <v>46153</v>
      </c>
      <c r="B587" s="190">
        <v>7002243441</v>
      </c>
      <c r="C587" s="190">
        <v>1</v>
      </c>
      <c r="D587" s="9" t="s">
        <v>750</v>
      </c>
    </row>
    <row r="588" spans="1:4" ht="14.5">
      <c r="A588" s="186">
        <v>46153</v>
      </c>
      <c r="B588" s="190">
        <v>7002244583</v>
      </c>
      <c r="C588" s="190">
        <v>3</v>
      </c>
      <c r="D588" s="9" t="s">
        <v>751</v>
      </c>
    </row>
    <row r="589" spans="1:4" ht="14.5">
      <c r="A589" s="186">
        <v>46153</v>
      </c>
      <c r="B589" s="190">
        <v>7002245433</v>
      </c>
      <c r="C589" s="190">
        <v>11</v>
      </c>
      <c r="D589" s="9" t="s">
        <v>752</v>
      </c>
    </row>
    <row r="590" spans="1:4" ht="14.5">
      <c r="A590" s="186">
        <v>46153</v>
      </c>
      <c r="B590" s="190">
        <v>7002245618</v>
      </c>
      <c r="C590" s="190">
        <v>53</v>
      </c>
      <c r="D590" s="9" t="s">
        <v>752</v>
      </c>
    </row>
    <row r="591" spans="1:4" ht="14.5">
      <c r="A591" s="186">
        <v>46153</v>
      </c>
      <c r="B591" s="190">
        <v>7002246619</v>
      </c>
      <c r="C591" s="190">
        <v>44</v>
      </c>
      <c r="D591" s="9" t="s">
        <v>752</v>
      </c>
    </row>
    <row r="592" spans="1:4" ht="14.5">
      <c r="A592" s="186">
        <v>46153</v>
      </c>
      <c r="B592" s="190">
        <v>7002247571</v>
      </c>
      <c r="C592" s="190">
        <v>8</v>
      </c>
      <c r="D592" s="9" t="s">
        <v>753</v>
      </c>
    </row>
    <row r="593" spans="1:4" ht="14.5">
      <c r="A593" s="186">
        <v>46153</v>
      </c>
      <c r="B593" s="190">
        <v>7002247756</v>
      </c>
      <c r="C593" s="190">
        <v>8</v>
      </c>
      <c r="D593" s="9" t="s">
        <v>753</v>
      </c>
    </row>
    <row r="594" spans="1:4" ht="14.5">
      <c r="A594" s="186">
        <v>46153</v>
      </c>
      <c r="B594" s="190">
        <v>7002247947</v>
      </c>
      <c r="C594" s="190">
        <v>1</v>
      </c>
      <c r="D594" s="9" t="s">
        <v>750</v>
      </c>
    </row>
    <row r="595" spans="1:4" ht="14.5">
      <c r="A595" s="186">
        <v>46153</v>
      </c>
      <c r="B595" s="190">
        <v>7002249762</v>
      </c>
      <c r="C595" s="190">
        <v>33</v>
      </c>
      <c r="D595" s="9" t="s">
        <v>752</v>
      </c>
    </row>
    <row r="596" spans="1:4" ht="14.5">
      <c r="A596" s="186">
        <v>46153</v>
      </c>
      <c r="B596" s="190">
        <v>7002251027</v>
      </c>
      <c r="C596" s="190">
        <v>1</v>
      </c>
      <c r="D596" s="9" t="s">
        <v>750</v>
      </c>
    </row>
    <row r="597" spans="1:4" ht="14.5">
      <c r="A597" s="186">
        <v>46153</v>
      </c>
      <c r="B597" s="190">
        <v>7002251123</v>
      </c>
      <c r="C597" s="190">
        <v>28</v>
      </c>
      <c r="D597" s="9" t="s">
        <v>752</v>
      </c>
    </row>
    <row r="598" spans="1:4" ht="14.5">
      <c r="A598" s="186">
        <v>46153</v>
      </c>
      <c r="B598" s="190">
        <v>7002251950</v>
      </c>
      <c r="C598" s="190">
        <v>8</v>
      </c>
      <c r="D598" s="9" t="s">
        <v>753</v>
      </c>
    </row>
    <row r="599" spans="1:4" ht="14.5">
      <c r="A599" s="186">
        <v>46153</v>
      </c>
      <c r="B599" s="190">
        <v>7002253018</v>
      </c>
      <c r="C599" s="190">
        <v>5</v>
      </c>
      <c r="D599" s="9" t="s">
        <v>751</v>
      </c>
    </row>
    <row r="600" spans="1:4" ht="14.5">
      <c r="A600" s="186">
        <v>46153</v>
      </c>
      <c r="B600" s="190">
        <v>7002258843</v>
      </c>
      <c r="C600" s="190">
        <v>3</v>
      </c>
      <c r="D600" s="9" t="s">
        <v>751</v>
      </c>
    </row>
    <row r="601" spans="1:4" ht="14.5">
      <c r="A601" s="186">
        <v>46153</v>
      </c>
      <c r="B601" s="190">
        <v>7002261255</v>
      </c>
      <c r="C601" s="190">
        <v>2</v>
      </c>
      <c r="D601" s="9" t="s">
        <v>751</v>
      </c>
    </row>
    <row r="602" spans="1:4" ht="14.5">
      <c r="A602" s="186">
        <v>46153</v>
      </c>
      <c r="B602" s="190">
        <v>7002262974</v>
      </c>
      <c r="C602" s="190">
        <v>10</v>
      </c>
      <c r="D602" s="9" t="s">
        <v>753</v>
      </c>
    </row>
    <row r="603" spans="1:4" ht="14.5">
      <c r="A603" s="186">
        <v>46153</v>
      </c>
      <c r="B603" s="190">
        <v>7002264471</v>
      </c>
      <c r="C603" s="190">
        <v>37</v>
      </c>
      <c r="D603" s="9" t="s">
        <v>752</v>
      </c>
    </row>
    <row r="604" spans="1:4" ht="14.5">
      <c r="A604" s="186">
        <v>46153</v>
      </c>
      <c r="B604" s="190">
        <v>7002265394</v>
      </c>
      <c r="C604" s="190">
        <v>9</v>
      </c>
      <c r="D604" s="9" t="s">
        <v>753</v>
      </c>
    </row>
    <row r="605" spans="1:4" ht="14.5">
      <c r="A605" s="186">
        <v>46153</v>
      </c>
      <c r="B605" s="190">
        <v>7002266209</v>
      </c>
      <c r="C605" s="190">
        <v>2</v>
      </c>
      <c r="D605" s="9" t="s">
        <v>751</v>
      </c>
    </row>
    <row r="606" spans="1:4" ht="14.5">
      <c r="A606" s="186">
        <v>46153</v>
      </c>
      <c r="B606" s="190">
        <v>7002266342</v>
      </c>
      <c r="C606" s="190">
        <v>2</v>
      </c>
      <c r="D606" s="9" t="s">
        <v>751</v>
      </c>
    </row>
    <row r="607" spans="1:4" ht="14.5">
      <c r="A607" s="186">
        <v>46153</v>
      </c>
      <c r="B607" s="190">
        <v>7002267788</v>
      </c>
      <c r="C607" s="190">
        <v>1</v>
      </c>
      <c r="D607" s="9" t="s">
        <v>750</v>
      </c>
    </row>
    <row r="608" spans="1:4" ht="14.5">
      <c r="A608" s="186">
        <v>46153</v>
      </c>
      <c r="B608" s="190">
        <v>7002267847</v>
      </c>
      <c r="C608" s="190">
        <v>4</v>
      </c>
      <c r="D608" s="9" t="s">
        <v>751</v>
      </c>
    </row>
    <row r="609" spans="1:4" ht="14.5">
      <c r="A609" s="186">
        <v>46153</v>
      </c>
      <c r="B609" s="190">
        <v>7002267953</v>
      </c>
      <c r="C609" s="190">
        <v>9</v>
      </c>
      <c r="D609" s="9" t="s">
        <v>753</v>
      </c>
    </row>
    <row r="610" spans="1:4" ht="14.5">
      <c r="A610" s="186">
        <v>46153</v>
      </c>
      <c r="B610" s="190">
        <v>7002268977</v>
      </c>
      <c r="C610" s="190">
        <v>4</v>
      </c>
      <c r="D610" s="9" t="s">
        <v>751</v>
      </c>
    </row>
    <row r="611" spans="1:4" ht="14.5">
      <c r="A611" s="186">
        <v>46153</v>
      </c>
      <c r="B611" s="190">
        <v>7002269147</v>
      </c>
      <c r="C611" s="190">
        <v>7</v>
      </c>
      <c r="D611" s="9" t="s">
        <v>753</v>
      </c>
    </row>
    <row r="612" spans="1:4" ht="14.5">
      <c r="A612" s="186">
        <v>46153</v>
      </c>
      <c r="B612" s="190">
        <v>7002272092</v>
      </c>
      <c r="C612" s="190">
        <v>6</v>
      </c>
      <c r="D612" s="9" t="s">
        <v>753</v>
      </c>
    </row>
    <row r="613" spans="1:4" ht="14.5">
      <c r="A613" s="186">
        <v>46153</v>
      </c>
      <c r="B613" s="190">
        <v>7002274704</v>
      </c>
      <c r="C613" s="190">
        <v>33</v>
      </c>
      <c r="D613" s="9" t="s">
        <v>752</v>
      </c>
    </row>
    <row r="614" spans="1:4" ht="14.5">
      <c r="A614" s="186">
        <v>46153</v>
      </c>
      <c r="B614" s="190">
        <v>7002276217</v>
      </c>
      <c r="C614" s="190">
        <v>1</v>
      </c>
      <c r="D614" s="9" t="s">
        <v>750</v>
      </c>
    </row>
    <row r="615" spans="1:4" ht="14.5">
      <c r="A615" s="186">
        <v>46153</v>
      </c>
      <c r="B615" s="190">
        <v>7002276634</v>
      </c>
      <c r="C615" s="190">
        <v>4</v>
      </c>
      <c r="D615" s="9" t="s">
        <v>751</v>
      </c>
    </row>
    <row r="616" spans="1:4" ht="14.5">
      <c r="A616" s="186">
        <v>46153</v>
      </c>
      <c r="B616" s="190">
        <v>7002276828</v>
      </c>
      <c r="C616" s="190">
        <v>1</v>
      </c>
      <c r="D616" s="9" t="s">
        <v>750</v>
      </c>
    </row>
    <row r="617" spans="1:4" ht="14.5">
      <c r="A617" s="186">
        <v>46153</v>
      </c>
      <c r="B617" s="190">
        <v>7002279621</v>
      </c>
      <c r="C617" s="190">
        <v>2</v>
      </c>
      <c r="D617" s="9" t="s">
        <v>751</v>
      </c>
    </row>
    <row r="618" spans="1:4" ht="14.5">
      <c r="A618" s="186">
        <v>46153</v>
      </c>
      <c r="B618" s="190">
        <v>7002279861</v>
      </c>
      <c r="C618" s="190">
        <v>3</v>
      </c>
      <c r="D618" s="9" t="s">
        <v>751</v>
      </c>
    </row>
    <row r="619" spans="1:4" ht="14.5">
      <c r="A619" s="186">
        <v>46153</v>
      </c>
      <c r="B619" s="190">
        <v>7002280163</v>
      </c>
      <c r="C619" s="190">
        <v>2</v>
      </c>
      <c r="D619" s="9" t="s">
        <v>751</v>
      </c>
    </row>
    <row r="620" spans="1:4" ht="14.5">
      <c r="A620" s="186">
        <v>46153</v>
      </c>
      <c r="B620" s="190">
        <v>7002280520</v>
      </c>
      <c r="C620" s="190">
        <v>8</v>
      </c>
      <c r="D620" s="9" t="s">
        <v>753</v>
      </c>
    </row>
    <row r="621" spans="1:4" ht="14.5">
      <c r="A621" s="186">
        <v>46153</v>
      </c>
      <c r="B621" s="190">
        <v>7002280781</v>
      </c>
      <c r="C621" s="190">
        <v>294</v>
      </c>
      <c r="D621" s="9" t="s">
        <v>752</v>
      </c>
    </row>
    <row r="622" spans="1:4" ht="14.5">
      <c r="A622" s="186">
        <v>46153</v>
      </c>
      <c r="B622" s="190">
        <v>7002282427</v>
      </c>
      <c r="C622" s="190">
        <v>2</v>
      </c>
      <c r="D622" s="9" t="s">
        <v>751</v>
      </c>
    </row>
    <row r="623" spans="1:4" ht="14.5">
      <c r="A623" s="186">
        <v>46153</v>
      </c>
      <c r="B623" s="190">
        <v>7002282778</v>
      </c>
      <c r="C623" s="190">
        <v>66</v>
      </c>
      <c r="D623" s="9" t="s">
        <v>752</v>
      </c>
    </row>
    <row r="624" spans="1:4" ht="14.5">
      <c r="A624" s="186">
        <v>46153</v>
      </c>
      <c r="B624" s="190">
        <v>7002283286</v>
      </c>
      <c r="C624" s="190">
        <v>8</v>
      </c>
      <c r="D624" s="9" t="s">
        <v>753</v>
      </c>
    </row>
    <row r="625" spans="1:4" ht="14.5">
      <c r="A625" s="186">
        <v>46153</v>
      </c>
      <c r="B625" s="190">
        <v>7002285556</v>
      </c>
      <c r="C625" s="190">
        <v>1</v>
      </c>
      <c r="D625" s="9" t="s">
        <v>750</v>
      </c>
    </row>
    <row r="626" spans="1:4" ht="14.5">
      <c r="A626" s="186">
        <v>46153</v>
      </c>
      <c r="B626" s="190">
        <v>7002287786</v>
      </c>
      <c r="C626" s="190">
        <v>14</v>
      </c>
      <c r="D626" s="9" t="s">
        <v>752</v>
      </c>
    </row>
    <row r="627" spans="1:4" ht="14.5">
      <c r="A627" s="186">
        <v>46153</v>
      </c>
      <c r="B627" s="190">
        <v>7002289564</v>
      </c>
      <c r="C627" s="190">
        <v>7</v>
      </c>
      <c r="D627" s="9" t="s">
        <v>753</v>
      </c>
    </row>
    <row r="628" spans="1:4" ht="14.5">
      <c r="A628" s="186">
        <v>46153</v>
      </c>
      <c r="B628" s="190">
        <v>7002290895</v>
      </c>
      <c r="C628" s="190">
        <v>3</v>
      </c>
      <c r="D628" s="9" t="s">
        <v>751</v>
      </c>
    </row>
    <row r="629" spans="1:4" ht="14.5">
      <c r="A629" s="186">
        <v>46153</v>
      </c>
      <c r="B629" s="190">
        <v>7002292335</v>
      </c>
      <c r="C629" s="190">
        <v>4</v>
      </c>
      <c r="D629" s="9" t="s">
        <v>751</v>
      </c>
    </row>
    <row r="630" spans="1:4" ht="14.5">
      <c r="A630" s="186">
        <v>46153</v>
      </c>
      <c r="B630" s="190">
        <v>7002294372</v>
      </c>
      <c r="C630" s="190">
        <v>2</v>
      </c>
      <c r="D630" s="9" t="s">
        <v>751</v>
      </c>
    </row>
    <row r="631" spans="1:4" ht="14.5">
      <c r="A631" s="186">
        <v>46153</v>
      </c>
      <c r="B631" s="190">
        <v>7002294896</v>
      </c>
      <c r="C631" s="190">
        <v>2</v>
      </c>
      <c r="D631" s="9" t="s">
        <v>751</v>
      </c>
    </row>
    <row r="632" spans="1:4" ht="14.5">
      <c r="A632" s="186">
        <v>46153</v>
      </c>
      <c r="B632" s="190">
        <v>7002297156</v>
      </c>
      <c r="C632" s="190">
        <v>3</v>
      </c>
      <c r="D632" s="9" t="s">
        <v>751</v>
      </c>
    </row>
    <row r="633" spans="1:4" ht="14.5">
      <c r="A633" s="186">
        <v>46153</v>
      </c>
      <c r="B633" s="190">
        <v>7002300244</v>
      </c>
      <c r="C633" s="190">
        <v>2</v>
      </c>
      <c r="D633" s="9" t="s">
        <v>751</v>
      </c>
    </row>
    <row r="634" spans="1:4" ht="14.5">
      <c r="A634" s="186">
        <v>46153</v>
      </c>
      <c r="B634" s="190">
        <v>7002300402</v>
      </c>
      <c r="C634" s="190">
        <v>5</v>
      </c>
      <c r="D634" s="9" t="s">
        <v>751</v>
      </c>
    </row>
    <row r="635" spans="1:4" ht="14.5">
      <c r="A635" s="186">
        <v>46153</v>
      </c>
      <c r="B635" s="190">
        <v>7002300858</v>
      </c>
      <c r="C635" s="190">
        <v>6</v>
      </c>
      <c r="D635" s="9" t="s">
        <v>753</v>
      </c>
    </row>
    <row r="636" spans="1:4" ht="14.5">
      <c r="A636" s="186">
        <v>46153</v>
      </c>
      <c r="B636" s="190">
        <v>7002301192</v>
      </c>
      <c r="C636" s="190">
        <v>2</v>
      </c>
      <c r="D636" s="9" t="s">
        <v>751</v>
      </c>
    </row>
    <row r="637" spans="1:4" ht="14.5">
      <c r="A637" s="186">
        <v>46153</v>
      </c>
      <c r="B637" s="190">
        <v>7002302099</v>
      </c>
      <c r="C637" s="190">
        <v>2</v>
      </c>
      <c r="D637" s="9" t="s">
        <v>751</v>
      </c>
    </row>
    <row r="638" spans="1:4" ht="14.5">
      <c r="A638" s="186">
        <v>46153</v>
      </c>
      <c r="B638" s="190">
        <v>7002303190</v>
      </c>
      <c r="C638" s="190">
        <v>1</v>
      </c>
      <c r="D638" s="9" t="s">
        <v>750</v>
      </c>
    </row>
    <row r="639" spans="1:4" ht="14.5">
      <c r="A639" s="186">
        <v>46153</v>
      </c>
      <c r="B639" s="190">
        <v>7002304238</v>
      </c>
      <c r="C639" s="190">
        <v>8</v>
      </c>
      <c r="D639" s="9" t="s">
        <v>753</v>
      </c>
    </row>
    <row r="640" spans="1:4" ht="14.5">
      <c r="A640" s="186">
        <v>46153</v>
      </c>
      <c r="B640" s="190">
        <v>7002304376</v>
      </c>
      <c r="C640" s="190">
        <v>5</v>
      </c>
      <c r="D640" s="9" t="s">
        <v>751</v>
      </c>
    </row>
    <row r="641" spans="1:4" ht="14.5">
      <c r="A641" s="186">
        <v>46153</v>
      </c>
      <c r="B641" s="190">
        <v>7002305343</v>
      </c>
      <c r="C641" s="190">
        <v>5</v>
      </c>
      <c r="D641" s="9" t="s">
        <v>751</v>
      </c>
    </row>
    <row r="642" spans="1:4" ht="14.5">
      <c r="A642" s="186">
        <v>46153</v>
      </c>
      <c r="B642" s="190">
        <v>7002305358</v>
      </c>
      <c r="C642" s="190">
        <v>5</v>
      </c>
      <c r="D642" s="9" t="s">
        <v>751</v>
      </c>
    </row>
    <row r="643" spans="1:4" ht="14.5">
      <c r="A643" s="186">
        <v>46153</v>
      </c>
      <c r="B643" s="190">
        <v>7002307110</v>
      </c>
      <c r="C643" s="190">
        <v>2</v>
      </c>
      <c r="D643" s="9" t="s">
        <v>751</v>
      </c>
    </row>
    <row r="644" spans="1:4" ht="14.5">
      <c r="A644" s="186">
        <v>46153</v>
      </c>
      <c r="B644" s="190">
        <v>7002307372</v>
      </c>
      <c r="C644" s="190">
        <v>5</v>
      </c>
      <c r="D644" s="9" t="s">
        <v>751</v>
      </c>
    </row>
    <row r="645" spans="1:4" ht="14.5">
      <c r="A645" s="186">
        <v>46153</v>
      </c>
      <c r="B645" s="190">
        <v>7002308092</v>
      </c>
      <c r="C645" s="190">
        <v>5</v>
      </c>
      <c r="D645" s="9" t="s">
        <v>751</v>
      </c>
    </row>
    <row r="646" spans="1:4" ht="14.5">
      <c r="A646" s="186">
        <v>46153</v>
      </c>
      <c r="B646" s="190">
        <v>7002310764</v>
      </c>
      <c r="C646" s="190">
        <v>242</v>
      </c>
      <c r="D646" s="9" t="s">
        <v>752</v>
      </c>
    </row>
    <row r="647" spans="1:4" ht="14.5">
      <c r="A647" s="186">
        <v>46153</v>
      </c>
      <c r="B647" s="190">
        <v>7002310946</v>
      </c>
      <c r="C647" s="190">
        <v>60</v>
      </c>
      <c r="D647" s="9" t="s">
        <v>752</v>
      </c>
    </row>
    <row r="648" spans="1:4" ht="14.5">
      <c r="A648" s="186">
        <v>46153</v>
      </c>
      <c r="B648" s="190">
        <v>7002311792</v>
      </c>
      <c r="C648" s="190">
        <v>36</v>
      </c>
      <c r="D648" s="9" t="s">
        <v>752</v>
      </c>
    </row>
    <row r="649" spans="1:4" ht="14.5">
      <c r="A649" s="186">
        <v>46153</v>
      </c>
      <c r="B649" s="190">
        <v>7002312770</v>
      </c>
      <c r="C649" s="190">
        <v>5</v>
      </c>
      <c r="D649" s="9" t="s">
        <v>751</v>
      </c>
    </row>
    <row r="650" spans="1:4" ht="14.5">
      <c r="A650" s="186">
        <v>46153</v>
      </c>
      <c r="B650" s="190">
        <v>7002312791</v>
      </c>
      <c r="C650" s="190">
        <v>40</v>
      </c>
      <c r="D650" s="9" t="s">
        <v>752</v>
      </c>
    </row>
    <row r="651" spans="1:4" ht="14.5">
      <c r="A651" s="186">
        <v>46153</v>
      </c>
      <c r="B651" s="190">
        <v>7002313790</v>
      </c>
      <c r="C651" s="190">
        <v>35</v>
      </c>
      <c r="D651" s="9" t="s">
        <v>752</v>
      </c>
    </row>
    <row r="652" spans="1:4" ht="14.5">
      <c r="A652" s="186">
        <v>46153</v>
      </c>
      <c r="B652" s="190">
        <v>7002313806</v>
      </c>
      <c r="C652" s="190">
        <v>10</v>
      </c>
      <c r="D652" s="9" t="s">
        <v>753</v>
      </c>
    </row>
    <row r="653" spans="1:4" ht="14.5">
      <c r="A653" s="186">
        <v>46153</v>
      </c>
      <c r="B653" s="190">
        <v>7002319754</v>
      </c>
      <c r="C653" s="190">
        <v>10</v>
      </c>
      <c r="D653" s="9" t="s">
        <v>753</v>
      </c>
    </row>
    <row r="654" spans="1:4" ht="14.5">
      <c r="A654" s="186">
        <v>46153</v>
      </c>
      <c r="B654" s="190">
        <v>7002322988</v>
      </c>
      <c r="C654" s="190">
        <v>4</v>
      </c>
      <c r="D654" s="9" t="s">
        <v>751</v>
      </c>
    </row>
    <row r="655" spans="1:4" ht="14.5">
      <c r="A655" s="186">
        <v>46153</v>
      </c>
      <c r="B655" s="190">
        <v>7002323918</v>
      </c>
      <c r="C655" s="190">
        <v>4</v>
      </c>
      <c r="D655" s="9" t="s">
        <v>751</v>
      </c>
    </row>
    <row r="656" spans="1:4" ht="14.5">
      <c r="A656" s="186">
        <v>46153</v>
      </c>
      <c r="B656" s="190">
        <v>7002323973</v>
      </c>
      <c r="C656" s="190">
        <v>13</v>
      </c>
      <c r="D656" s="9" t="s">
        <v>752</v>
      </c>
    </row>
    <row r="657" spans="1:4" ht="14.5">
      <c r="A657" s="186">
        <v>46153</v>
      </c>
      <c r="B657" s="190">
        <v>7002324972</v>
      </c>
      <c r="C657" s="190">
        <v>1</v>
      </c>
      <c r="D657" s="9" t="s">
        <v>750</v>
      </c>
    </row>
    <row r="658" spans="1:4" ht="14.5">
      <c r="A658" s="186">
        <v>46153</v>
      </c>
      <c r="B658" s="190">
        <v>7002327056</v>
      </c>
      <c r="C658" s="190">
        <v>4</v>
      </c>
      <c r="D658" s="9" t="s">
        <v>751</v>
      </c>
    </row>
    <row r="659" spans="1:4" ht="14.5">
      <c r="A659" s="186">
        <v>46153</v>
      </c>
      <c r="B659" s="190">
        <v>7002327911</v>
      </c>
      <c r="C659" s="190">
        <v>5</v>
      </c>
      <c r="D659" s="9" t="s">
        <v>751</v>
      </c>
    </row>
    <row r="660" spans="1:4" ht="14.5">
      <c r="A660" s="186">
        <v>46153</v>
      </c>
      <c r="B660" s="190">
        <v>7002329771</v>
      </c>
      <c r="C660" s="190">
        <v>6</v>
      </c>
      <c r="D660" s="9" t="s">
        <v>753</v>
      </c>
    </row>
    <row r="661" spans="1:4" ht="14.5">
      <c r="A661" s="186">
        <v>46153</v>
      </c>
      <c r="B661" s="190">
        <v>7002329984</v>
      </c>
      <c r="C661" s="190">
        <v>1</v>
      </c>
      <c r="D661" s="9" t="s">
        <v>750</v>
      </c>
    </row>
    <row r="662" spans="1:4" ht="14.5">
      <c r="A662" s="186">
        <v>46153</v>
      </c>
      <c r="B662" s="190">
        <v>7002330001</v>
      </c>
      <c r="C662" s="190">
        <v>2</v>
      </c>
      <c r="D662" s="9" t="s">
        <v>751</v>
      </c>
    </row>
    <row r="663" spans="1:4" ht="14.5">
      <c r="A663" s="186">
        <v>46153</v>
      </c>
      <c r="B663" s="190">
        <v>7002330064</v>
      </c>
      <c r="C663" s="190">
        <v>2</v>
      </c>
      <c r="D663" s="9" t="s">
        <v>751</v>
      </c>
    </row>
    <row r="664" spans="1:4" ht="14.5">
      <c r="A664" s="186">
        <v>46153</v>
      </c>
      <c r="B664" s="190">
        <v>7002330086</v>
      </c>
      <c r="C664" s="190">
        <v>2</v>
      </c>
      <c r="D664" s="9" t="s">
        <v>751</v>
      </c>
    </row>
    <row r="665" spans="1:4" ht="14.5">
      <c r="A665" s="186">
        <v>46153</v>
      </c>
      <c r="B665" s="190">
        <v>7002331071</v>
      </c>
      <c r="C665" s="190">
        <v>2</v>
      </c>
      <c r="D665" s="9" t="s">
        <v>751</v>
      </c>
    </row>
    <row r="666" spans="1:4" ht="14.5">
      <c r="A666" s="186">
        <v>46153</v>
      </c>
      <c r="B666" s="190">
        <v>7002332070</v>
      </c>
      <c r="C666" s="190">
        <v>2</v>
      </c>
      <c r="D666" s="9" t="s">
        <v>751</v>
      </c>
    </row>
    <row r="667" spans="1:4" ht="14.5">
      <c r="A667" s="186">
        <v>46153</v>
      </c>
      <c r="B667" s="190">
        <v>7002333088</v>
      </c>
      <c r="C667" s="190">
        <v>2</v>
      </c>
      <c r="D667" s="9" t="s">
        <v>751</v>
      </c>
    </row>
    <row r="668" spans="1:4" ht="14.5">
      <c r="A668" s="186">
        <v>46153</v>
      </c>
      <c r="B668" s="190">
        <v>7002334073</v>
      </c>
      <c r="C668" s="190">
        <v>2</v>
      </c>
      <c r="D668" s="9" t="s">
        <v>751</v>
      </c>
    </row>
    <row r="669" spans="1:4" ht="14.5">
      <c r="A669" s="186">
        <v>46153</v>
      </c>
      <c r="B669" s="190">
        <v>7002334087</v>
      </c>
      <c r="C669" s="190">
        <v>2</v>
      </c>
      <c r="D669" s="9" t="s">
        <v>751</v>
      </c>
    </row>
    <row r="670" spans="1:4" ht="14.5">
      <c r="A670" s="186">
        <v>46153</v>
      </c>
      <c r="B670" s="190">
        <v>7002335066</v>
      </c>
      <c r="C670" s="190">
        <v>2</v>
      </c>
      <c r="D670" s="9" t="s">
        <v>751</v>
      </c>
    </row>
    <row r="671" spans="1:4" ht="14.5">
      <c r="A671" s="186">
        <v>46153</v>
      </c>
      <c r="B671" s="190">
        <v>7002335546</v>
      </c>
      <c r="C671" s="190">
        <v>3</v>
      </c>
      <c r="D671" s="9" t="s">
        <v>751</v>
      </c>
    </row>
    <row r="672" spans="1:4" ht="14.5">
      <c r="A672" s="186">
        <v>46153</v>
      </c>
      <c r="B672" s="190">
        <v>7002336067</v>
      </c>
      <c r="C672" s="190">
        <v>2</v>
      </c>
      <c r="D672" s="9" t="s">
        <v>751</v>
      </c>
    </row>
    <row r="673" spans="1:4" ht="14.5">
      <c r="A673" s="186">
        <v>46153</v>
      </c>
      <c r="B673" s="190">
        <v>7002336547</v>
      </c>
      <c r="C673" s="190">
        <v>20</v>
      </c>
      <c r="D673" s="9" t="s">
        <v>752</v>
      </c>
    </row>
    <row r="674" spans="1:4" ht="14.5">
      <c r="A674" s="186">
        <v>46153</v>
      </c>
      <c r="B674" s="190">
        <v>7002336611</v>
      </c>
      <c r="C674" s="190">
        <v>4</v>
      </c>
      <c r="D674" s="9" t="s">
        <v>751</v>
      </c>
    </row>
    <row r="675" spans="1:4" ht="14.5">
      <c r="A675" s="186">
        <v>46153</v>
      </c>
      <c r="B675" s="190">
        <v>7002337081</v>
      </c>
      <c r="C675" s="190">
        <v>2</v>
      </c>
      <c r="D675" s="9" t="s">
        <v>751</v>
      </c>
    </row>
    <row r="676" spans="1:4" ht="14.5">
      <c r="A676" s="186">
        <v>46153</v>
      </c>
      <c r="B676" s="190">
        <v>7002338007</v>
      </c>
      <c r="C676" s="190">
        <v>1</v>
      </c>
      <c r="D676" s="9" t="s">
        <v>750</v>
      </c>
    </row>
    <row r="677" spans="1:4" ht="14.5">
      <c r="A677" s="186">
        <v>46153</v>
      </c>
      <c r="B677" s="190">
        <v>7002338069</v>
      </c>
      <c r="C677" s="190">
        <v>2</v>
      </c>
      <c r="D677" s="9" t="s">
        <v>751</v>
      </c>
    </row>
    <row r="678" spans="1:4" ht="14.5">
      <c r="A678" s="186">
        <v>46153</v>
      </c>
      <c r="B678" s="190">
        <v>7002338076</v>
      </c>
      <c r="C678" s="190">
        <v>2</v>
      </c>
      <c r="D678" s="9" t="s">
        <v>751</v>
      </c>
    </row>
    <row r="679" spans="1:4" ht="14.5">
      <c r="A679" s="186">
        <v>46153</v>
      </c>
      <c r="B679" s="190">
        <v>7002339065</v>
      </c>
      <c r="C679" s="190">
        <v>2</v>
      </c>
      <c r="D679" s="9" t="s">
        <v>751</v>
      </c>
    </row>
    <row r="680" spans="1:4" ht="14.5">
      <c r="A680" s="186">
        <v>46153</v>
      </c>
      <c r="B680" s="190">
        <v>7002339083</v>
      </c>
      <c r="C680" s="190">
        <v>2</v>
      </c>
      <c r="D680" s="9" t="s">
        <v>751</v>
      </c>
    </row>
    <row r="681" spans="1:4" ht="14">
      <c r="A681" s="185" t="s">
        <v>747</v>
      </c>
      <c r="B681" s="185" t="s">
        <v>748</v>
      </c>
      <c r="C681" s="185" t="s">
        <v>71</v>
      </c>
      <c r="D681" s="185" t="s">
        <v>749</v>
      </c>
    </row>
    <row r="682" spans="1:4" ht="12.5">
      <c r="A682" s="186">
        <v>46154</v>
      </c>
      <c r="B682" s="9">
        <v>7001856907</v>
      </c>
      <c r="C682" s="9">
        <v>4</v>
      </c>
      <c r="D682" s="9" t="s">
        <v>751</v>
      </c>
    </row>
    <row r="683" spans="1:4" ht="12.5">
      <c r="A683" s="186">
        <v>46154</v>
      </c>
      <c r="B683" s="9">
        <v>7002174831</v>
      </c>
      <c r="C683" s="9">
        <v>3</v>
      </c>
      <c r="D683" s="9" t="s">
        <v>751</v>
      </c>
    </row>
    <row r="684" spans="1:4" ht="12.5">
      <c r="A684" s="186">
        <v>46154</v>
      </c>
      <c r="B684" s="9">
        <v>7002187763</v>
      </c>
      <c r="C684" s="9">
        <v>2</v>
      </c>
      <c r="D684" s="9" t="s">
        <v>751</v>
      </c>
    </row>
    <row r="685" spans="1:4" ht="12.5">
      <c r="A685" s="186">
        <v>46154</v>
      </c>
      <c r="B685" s="9">
        <v>7002196678</v>
      </c>
      <c r="C685" s="9">
        <v>3</v>
      </c>
      <c r="D685" s="9" t="s">
        <v>751</v>
      </c>
    </row>
    <row r="686" spans="1:4" ht="12.5">
      <c r="A686" s="186">
        <v>46154</v>
      </c>
      <c r="B686" s="9">
        <v>7002199624</v>
      </c>
      <c r="C686" s="9">
        <v>4</v>
      </c>
      <c r="D686" s="9" t="s">
        <v>751</v>
      </c>
    </row>
    <row r="687" spans="1:4" ht="12.5">
      <c r="A687" s="186">
        <v>46154</v>
      </c>
      <c r="B687" s="9">
        <v>7002200303</v>
      </c>
      <c r="C687" s="9">
        <v>3</v>
      </c>
      <c r="D687" s="9" t="s">
        <v>751</v>
      </c>
    </row>
    <row r="688" spans="1:4" ht="12.5">
      <c r="A688" s="186">
        <v>46154</v>
      </c>
      <c r="B688" s="9">
        <v>7002202728</v>
      </c>
      <c r="C688" s="9">
        <v>2</v>
      </c>
      <c r="D688" s="9" t="s">
        <v>751</v>
      </c>
    </row>
    <row r="689" spans="1:4" ht="12.5">
      <c r="A689" s="186">
        <v>46154</v>
      </c>
      <c r="B689" s="9">
        <v>7002206959</v>
      </c>
      <c r="C689" s="9">
        <v>4</v>
      </c>
      <c r="D689" s="9" t="s">
        <v>751</v>
      </c>
    </row>
    <row r="690" spans="1:4" ht="12.5">
      <c r="A690" s="186">
        <v>46154</v>
      </c>
      <c r="B690" s="9">
        <v>7002208706</v>
      </c>
      <c r="C690" s="9">
        <v>2</v>
      </c>
      <c r="D690" s="9" t="s">
        <v>751</v>
      </c>
    </row>
    <row r="691" spans="1:4" ht="12.5">
      <c r="A691" s="186">
        <v>46154</v>
      </c>
      <c r="B691" s="9">
        <v>7002213366</v>
      </c>
      <c r="C691" s="9">
        <v>2</v>
      </c>
      <c r="D691" s="9" t="s">
        <v>751</v>
      </c>
    </row>
    <row r="692" spans="1:4" ht="12.5">
      <c r="A692" s="186">
        <v>46154</v>
      </c>
      <c r="B692" s="9">
        <v>7002214840</v>
      </c>
      <c r="C692" s="9">
        <v>3</v>
      </c>
      <c r="D692" s="9" t="s">
        <v>751</v>
      </c>
    </row>
    <row r="693" spans="1:4" ht="12.5">
      <c r="A693" s="186">
        <v>46154</v>
      </c>
      <c r="B693" s="9">
        <v>7002217019</v>
      </c>
      <c r="C693" s="9">
        <v>4</v>
      </c>
      <c r="D693" s="9" t="s">
        <v>751</v>
      </c>
    </row>
    <row r="694" spans="1:4" ht="12.5">
      <c r="A694" s="186">
        <v>46154</v>
      </c>
      <c r="B694" s="9">
        <v>7002220737</v>
      </c>
      <c r="C694" s="9">
        <v>5</v>
      </c>
      <c r="D694" s="9" t="s">
        <v>751</v>
      </c>
    </row>
    <row r="695" spans="1:4" ht="12.5">
      <c r="A695" s="186">
        <v>46154</v>
      </c>
      <c r="B695" s="9">
        <v>7002224813</v>
      </c>
      <c r="C695" s="9">
        <v>2</v>
      </c>
      <c r="D695" s="9" t="s">
        <v>751</v>
      </c>
    </row>
    <row r="696" spans="1:4" ht="12.5">
      <c r="A696" s="186">
        <v>46154</v>
      </c>
      <c r="B696" s="9">
        <v>7002225553</v>
      </c>
      <c r="C696" s="9">
        <v>2</v>
      </c>
      <c r="D696" s="9" t="s">
        <v>751</v>
      </c>
    </row>
    <row r="697" spans="1:4" ht="12.5">
      <c r="A697" s="186">
        <v>46154</v>
      </c>
      <c r="B697" s="9">
        <v>7002227957</v>
      </c>
      <c r="C697" s="9">
        <v>2</v>
      </c>
      <c r="D697" s="9" t="s">
        <v>751</v>
      </c>
    </row>
    <row r="698" spans="1:4" ht="12.5">
      <c r="A698" s="186">
        <v>46154</v>
      </c>
      <c r="B698" s="9">
        <v>7002230724</v>
      </c>
      <c r="C698" s="9">
        <v>2</v>
      </c>
      <c r="D698" s="9" t="s">
        <v>751</v>
      </c>
    </row>
    <row r="699" spans="1:4" ht="12.5">
      <c r="A699" s="186">
        <v>46154</v>
      </c>
      <c r="B699" s="9">
        <v>7002233256</v>
      </c>
      <c r="C699" s="9">
        <v>2</v>
      </c>
      <c r="D699" s="9" t="s">
        <v>751</v>
      </c>
    </row>
    <row r="700" spans="1:4" ht="12.5">
      <c r="A700" s="186">
        <v>46154</v>
      </c>
      <c r="B700" s="9">
        <v>7002235719</v>
      </c>
      <c r="C700" s="9">
        <v>3</v>
      </c>
      <c r="D700" s="9" t="s">
        <v>751</v>
      </c>
    </row>
    <row r="701" spans="1:4" ht="12.5">
      <c r="A701" s="186">
        <v>46154</v>
      </c>
      <c r="B701" s="9">
        <v>7002241713</v>
      </c>
      <c r="C701" s="9">
        <v>2</v>
      </c>
      <c r="D701" s="9" t="s">
        <v>751</v>
      </c>
    </row>
    <row r="702" spans="1:4" ht="12.5">
      <c r="A702" s="186">
        <v>46154</v>
      </c>
      <c r="B702" s="9">
        <v>7002242668</v>
      </c>
      <c r="C702" s="9">
        <v>4</v>
      </c>
      <c r="D702" s="9" t="s">
        <v>751</v>
      </c>
    </row>
    <row r="703" spans="1:4" ht="12.5">
      <c r="A703" s="186">
        <v>46154</v>
      </c>
      <c r="B703" s="9">
        <v>7002243646</v>
      </c>
      <c r="C703" s="9">
        <v>3</v>
      </c>
      <c r="D703" s="9" t="s">
        <v>751</v>
      </c>
    </row>
    <row r="704" spans="1:4" ht="12.5">
      <c r="A704" s="186">
        <v>46154</v>
      </c>
      <c r="B704" s="9">
        <v>7002254999</v>
      </c>
      <c r="C704" s="9">
        <v>3</v>
      </c>
      <c r="D704" s="9" t="s">
        <v>751</v>
      </c>
    </row>
    <row r="705" spans="1:4" ht="12.5">
      <c r="A705" s="186">
        <v>46154</v>
      </c>
      <c r="B705" s="9">
        <v>7002260801</v>
      </c>
      <c r="C705" s="9">
        <v>2</v>
      </c>
      <c r="D705" s="9" t="s">
        <v>751</v>
      </c>
    </row>
    <row r="706" spans="1:4" ht="12.5">
      <c r="A706" s="186">
        <v>46154</v>
      </c>
      <c r="B706" s="9">
        <v>7002262782</v>
      </c>
      <c r="C706" s="9">
        <v>2</v>
      </c>
      <c r="D706" s="9" t="s">
        <v>751</v>
      </c>
    </row>
    <row r="707" spans="1:4" ht="12.5">
      <c r="A707" s="186">
        <v>46154</v>
      </c>
      <c r="B707" s="9">
        <v>7002262804</v>
      </c>
      <c r="C707" s="9">
        <v>2</v>
      </c>
      <c r="D707" s="9" t="s">
        <v>751</v>
      </c>
    </row>
    <row r="708" spans="1:4" ht="12.5">
      <c r="A708" s="186">
        <v>46154</v>
      </c>
      <c r="B708" s="9">
        <v>7002263781</v>
      </c>
      <c r="C708" s="9">
        <v>2</v>
      </c>
      <c r="D708" s="9" t="s">
        <v>751</v>
      </c>
    </row>
    <row r="709" spans="1:4" ht="12.5">
      <c r="A709" s="186">
        <v>46154</v>
      </c>
      <c r="B709" s="9">
        <v>7002264034</v>
      </c>
      <c r="C709" s="9">
        <v>3</v>
      </c>
      <c r="D709" s="9" t="s">
        <v>751</v>
      </c>
    </row>
    <row r="710" spans="1:4" ht="12.5">
      <c r="A710" s="186">
        <v>46154</v>
      </c>
      <c r="B710" s="9">
        <v>7002272626</v>
      </c>
      <c r="C710" s="9">
        <v>3</v>
      </c>
      <c r="D710" s="9" t="s">
        <v>751</v>
      </c>
    </row>
    <row r="711" spans="1:4" ht="12.5">
      <c r="A711" s="186">
        <v>46154</v>
      </c>
      <c r="B711" s="9">
        <v>7002275935</v>
      </c>
      <c r="C711" s="9">
        <v>2</v>
      </c>
      <c r="D711" s="9" t="s">
        <v>751</v>
      </c>
    </row>
    <row r="712" spans="1:4" ht="12.5">
      <c r="A712" s="186">
        <v>46154</v>
      </c>
      <c r="B712" s="9">
        <v>7002280137</v>
      </c>
      <c r="C712" s="9">
        <v>2</v>
      </c>
      <c r="D712" s="9" t="s">
        <v>751</v>
      </c>
    </row>
    <row r="713" spans="1:4" ht="12.5">
      <c r="A713" s="186">
        <v>46154</v>
      </c>
      <c r="B713" s="9">
        <v>7002286043</v>
      </c>
      <c r="C713" s="9">
        <v>4</v>
      </c>
      <c r="D713" s="9" t="s">
        <v>751</v>
      </c>
    </row>
    <row r="714" spans="1:4" ht="12.5">
      <c r="A714" s="186">
        <v>46154</v>
      </c>
      <c r="B714" s="9">
        <v>7002292335</v>
      </c>
      <c r="C714" s="9">
        <v>4</v>
      </c>
      <c r="D714" s="9" t="s">
        <v>751</v>
      </c>
    </row>
    <row r="715" spans="1:4" ht="12.5">
      <c r="A715" s="186">
        <v>46154</v>
      </c>
      <c r="B715" s="9">
        <v>7002298648</v>
      </c>
      <c r="C715" s="9">
        <v>2</v>
      </c>
      <c r="D715" s="9" t="s">
        <v>751</v>
      </c>
    </row>
    <row r="716" spans="1:4" ht="12.5">
      <c r="A716" s="186">
        <v>46154</v>
      </c>
      <c r="B716" s="9">
        <v>7002300795</v>
      </c>
      <c r="C716" s="9">
        <v>3</v>
      </c>
      <c r="D716" s="9" t="s">
        <v>751</v>
      </c>
    </row>
    <row r="717" spans="1:4" ht="12.5">
      <c r="A717" s="186">
        <v>46154</v>
      </c>
      <c r="B717" s="9">
        <v>7002301650</v>
      </c>
      <c r="C717" s="9">
        <v>4</v>
      </c>
      <c r="D717" s="9" t="s">
        <v>751</v>
      </c>
    </row>
    <row r="718" spans="1:4" ht="12.5">
      <c r="A718" s="186">
        <v>46154</v>
      </c>
      <c r="B718" s="9">
        <v>7002301803</v>
      </c>
      <c r="C718" s="9">
        <v>5</v>
      </c>
      <c r="D718" s="9" t="s">
        <v>751</v>
      </c>
    </row>
    <row r="719" spans="1:4" ht="12.5">
      <c r="A719" s="186">
        <v>46154</v>
      </c>
      <c r="B719" s="9">
        <v>7002303308</v>
      </c>
      <c r="C719" s="9">
        <v>5</v>
      </c>
      <c r="D719" s="9" t="s">
        <v>751</v>
      </c>
    </row>
    <row r="720" spans="1:4" ht="12.5">
      <c r="A720" s="186">
        <v>46154</v>
      </c>
      <c r="B720" s="9">
        <v>7002303383</v>
      </c>
      <c r="C720" s="9">
        <v>4</v>
      </c>
      <c r="D720" s="9" t="s">
        <v>751</v>
      </c>
    </row>
    <row r="721" spans="1:4" ht="12.5">
      <c r="A721" s="186">
        <v>46154</v>
      </c>
      <c r="B721" s="9">
        <v>7002304419</v>
      </c>
      <c r="C721" s="9">
        <v>5</v>
      </c>
      <c r="D721" s="9" t="s">
        <v>751</v>
      </c>
    </row>
    <row r="722" spans="1:4" ht="12.5">
      <c r="A722" s="186">
        <v>46154</v>
      </c>
      <c r="B722" s="9">
        <v>7002306882</v>
      </c>
      <c r="C722" s="9">
        <v>2</v>
      </c>
      <c r="D722" s="9" t="s">
        <v>751</v>
      </c>
    </row>
    <row r="723" spans="1:4" ht="12.5">
      <c r="A723" s="186">
        <v>46154</v>
      </c>
      <c r="B723" s="9">
        <v>7002306977</v>
      </c>
      <c r="C723" s="9">
        <v>4</v>
      </c>
      <c r="D723" s="9" t="s">
        <v>751</v>
      </c>
    </row>
    <row r="724" spans="1:4" ht="12.5">
      <c r="A724" s="186">
        <v>46154</v>
      </c>
      <c r="B724" s="9">
        <v>7002310832</v>
      </c>
      <c r="C724" s="9">
        <v>2</v>
      </c>
      <c r="D724" s="9" t="s">
        <v>751</v>
      </c>
    </row>
    <row r="725" spans="1:4" ht="12.5">
      <c r="A725" s="186">
        <v>46154</v>
      </c>
      <c r="B725" s="9">
        <v>7002311070</v>
      </c>
      <c r="C725" s="9">
        <v>5</v>
      </c>
      <c r="D725" s="9" t="s">
        <v>751</v>
      </c>
    </row>
    <row r="726" spans="1:4" ht="12.5">
      <c r="A726" s="186">
        <v>46154</v>
      </c>
      <c r="B726" s="9">
        <v>7002311808</v>
      </c>
      <c r="C726" s="9">
        <v>3</v>
      </c>
      <c r="D726" s="9" t="s">
        <v>751</v>
      </c>
    </row>
    <row r="727" spans="1:4" ht="12.5">
      <c r="A727" s="186">
        <v>46154</v>
      </c>
      <c r="B727" s="9">
        <v>7002319816</v>
      </c>
      <c r="C727" s="9">
        <v>3</v>
      </c>
      <c r="D727" s="9" t="s">
        <v>751</v>
      </c>
    </row>
    <row r="728" spans="1:4" ht="12.5">
      <c r="A728" s="186">
        <v>46154</v>
      </c>
      <c r="B728" s="9">
        <v>7002320801</v>
      </c>
      <c r="C728" s="9">
        <v>2</v>
      </c>
      <c r="D728" s="9" t="s">
        <v>751</v>
      </c>
    </row>
    <row r="729" spans="1:4" ht="12.5">
      <c r="A729" s="186">
        <v>46154</v>
      </c>
      <c r="B729" s="9">
        <v>7002321045</v>
      </c>
      <c r="C729" s="9">
        <v>4</v>
      </c>
      <c r="D729" s="9" t="s">
        <v>751</v>
      </c>
    </row>
    <row r="730" spans="1:4" ht="12.5">
      <c r="A730" s="186">
        <v>46154</v>
      </c>
      <c r="B730" s="9">
        <v>7002321647</v>
      </c>
      <c r="C730" s="9">
        <v>2</v>
      </c>
      <c r="D730" s="9" t="s">
        <v>751</v>
      </c>
    </row>
    <row r="731" spans="1:4" ht="12.5">
      <c r="A731" s="186">
        <v>46154</v>
      </c>
      <c r="B731" s="9">
        <v>7002323398</v>
      </c>
      <c r="C731" s="9">
        <v>3</v>
      </c>
      <c r="D731" s="9" t="s">
        <v>751</v>
      </c>
    </row>
    <row r="732" spans="1:4" ht="12.5">
      <c r="A732" s="186">
        <v>46154</v>
      </c>
      <c r="B732" s="9">
        <v>7002325980</v>
      </c>
      <c r="C732" s="9">
        <v>4</v>
      </c>
      <c r="D732" s="9" t="s">
        <v>751</v>
      </c>
    </row>
    <row r="733" spans="1:4" ht="12.5">
      <c r="A733" s="186">
        <v>46154</v>
      </c>
      <c r="B733" s="9">
        <v>7002331740</v>
      </c>
      <c r="C733" s="9">
        <v>5</v>
      </c>
      <c r="D733" s="9" t="s">
        <v>751</v>
      </c>
    </row>
    <row r="734" spans="1:4" ht="12.5">
      <c r="A734" s="186">
        <v>46154</v>
      </c>
      <c r="B734" s="9">
        <v>7002332641</v>
      </c>
      <c r="C734" s="9">
        <v>3</v>
      </c>
      <c r="D734" s="9" t="s">
        <v>751</v>
      </c>
    </row>
    <row r="735" spans="1:4" ht="12.5">
      <c r="A735" s="186">
        <v>46154</v>
      </c>
      <c r="B735" s="9">
        <v>7002332694</v>
      </c>
      <c r="C735" s="9">
        <v>5</v>
      </c>
      <c r="D735" s="9" t="s">
        <v>751</v>
      </c>
    </row>
    <row r="736" spans="1:4" ht="12.5">
      <c r="A736" s="186">
        <v>46154</v>
      </c>
      <c r="B736" s="9">
        <v>7002334496</v>
      </c>
      <c r="C736" s="9">
        <v>5</v>
      </c>
      <c r="D736" s="9" t="s">
        <v>751</v>
      </c>
    </row>
    <row r="737" spans="1:4" ht="12.5">
      <c r="A737" s="186">
        <v>46154</v>
      </c>
      <c r="B737" s="9">
        <v>7002336022</v>
      </c>
      <c r="C737" s="9">
        <v>2</v>
      </c>
      <c r="D737" s="9" t="s">
        <v>751</v>
      </c>
    </row>
    <row r="738" spans="1:4" ht="12.5">
      <c r="A738" s="186">
        <v>46154</v>
      </c>
      <c r="B738" s="9">
        <v>7002337665</v>
      </c>
      <c r="C738" s="9">
        <v>3</v>
      </c>
      <c r="D738" s="9" t="s">
        <v>751</v>
      </c>
    </row>
    <row r="739" spans="1:4" ht="12.5">
      <c r="A739" s="186">
        <v>46154</v>
      </c>
      <c r="B739" s="9">
        <v>7002337683</v>
      </c>
      <c r="C739" s="9">
        <v>2</v>
      </c>
      <c r="D739" s="9" t="s">
        <v>751</v>
      </c>
    </row>
    <row r="740" spans="1:4" ht="12.5">
      <c r="A740" s="186">
        <v>46154</v>
      </c>
      <c r="B740" s="9">
        <v>7002341644</v>
      </c>
      <c r="C740" s="9">
        <v>4</v>
      </c>
      <c r="D740" s="9" t="s">
        <v>751</v>
      </c>
    </row>
    <row r="741" spans="1:4" ht="12.5">
      <c r="A741" s="186">
        <v>46154</v>
      </c>
      <c r="B741" s="9">
        <v>7002341663</v>
      </c>
      <c r="C741" s="9">
        <v>5</v>
      </c>
      <c r="D741" s="9" t="s">
        <v>751</v>
      </c>
    </row>
    <row r="742" spans="1:4" ht="12.5">
      <c r="A742" s="186">
        <v>46154</v>
      </c>
      <c r="B742" s="9">
        <v>7002342112</v>
      </c>
      <c r="C742" s="9">
        <v>2</v>
      </c>
      <c r="D742" s="9" t="s">
        <v>751</v>
      </c>
    </row>
    <row r="743" spans="1:4" ht="12.5">
      <c r="A743" s="186">
        <v>46154</v>
      </c>
      <c r="B743" s="9">
        <v>7002343642</v>
      </c>
      <c r="C743" s="9">
        <v>2</v>
      </c>
      <c r="D743" s="9" t="s">
        <v>751</v>
      </c>
    </row>
    <row r="744" spans="1:4" ht="12.5">
      <c r="A744" s="186">
        <v>46154</v>
      </c>
      <c r="B744" s="9">
        <v>7002344147</v>
      </c>
      <c r="C744" s="9">
        <v>2</v>
      </c>
      <c r="D744" s="9" t="s">
        <v>751</v>
      </c>
    </row>
    <row r="745" spans="1:4" ht="12.5">
      <c r="A745" s="186">
        <v>46154</v>
      </c>
      <c r="B745" s="9">
        <v>7002345678</v>
      </c>
      <c r="C745" s="9">
        <v>4</v>
      </c>
      <c r="D745" s="9" t="s">
        <v>751</v>
      </c>
    </row>
    <row r="746" spans="1:4" ht="12.5">
      <c r="A746" s="186">
        <v>46154</v>
      </c>
      <c r="B746" s="9">
        <v>7002347712</v>
      </c>
      <c r="C746" s="9">
        <v>3</v>
      </c>
      <c r="D746" s="9" t="s">
        <v>751</v>
      </c>
    </row>
    <row r="747" spans="1:4" ht="12.5">
      <c r="A747" s="186">
        <v>46154</v>
      </c>
      <c r="B747" s="9">
        <v>7002349654</v>
      </c>
      <c r="C747" s="9">
        <v>4</v>
      </c>
      <c r="D747" s="9" t="s">
        <v>751</v>
      </c>
    </row>
    <row r="748" spans="1:4" ht="12.5">
      <c r="A748" s="186">
        <v>46154</v>
      </c>
      <c r="B748" s="9">
        <v>7002349714</v>
      </c>
      <c r="C748" s="9">
        <v>3</v>
      </c>
      <c r="D748" s="9" t="s">
        <v>751</v>
      </c>
    </row>
    <row r="749" spans="1:4" ht="12.5">
      <c r="A749" s="186">
        <v>46154</v>
      </c>
      <c r="B749" s="9">
        <v>7002351306</v>
      </c>
      <c r="C749" s="9">
        <v>4</v>
      </c>
      <c r="D749" s="9" t="s">
        <v>751</v>
      </c>
    </row>
    <row r="750" spans="1:4" ht="12.5">
      <c r="A750" s="186">
        <v>46154</v>
      </c>
      <c r="B750" s="9">
        <v>7002355165</v>
      </c>
      <c r="C750" s="9">
        <v>2</v>
      </c>
      <c r="D750" s="9" t="s">
        <v>751</v>
      </c>
    </row>
    <row r="751" spans="1:4" ht="12.5">
      <c r="A751" s="186">
        <v>46154</v>
      </c>
      <c r="B751" s="9">
        <v>7002357912</v>
      </c>
      <c r="C751" s="9">
        <v>4</v>
      </c>
      <c r="D751" s="9" t="s">
        <v>751</v>
      </c>
    </row>
    <row r="752" spans="1:4" ht="12.5">
      <c r="A752" s="186">
        <v>46154</v>
      </c>
      <c r="B752" s="9">
        <v>7002182553</v>
      </c>
      <c r="C752" s="9">
        <v>8</v>
      </c>
      <c r="D752" s="9" t="s">
        <v>756</v>
      </c>
    </row>
    <row r="753" spans="1:4" ht="12.5">
      <c r="A753" s="186">
        <v>46154</v>
      </c>
      <c r="B753" s="9">
        <v>7002192899</v>
      </c>
      <c r="C753" s="9">
        <v>10</v>
      </c>
      <c r="D753" s="9" t="s">
        <v>756</v>
      </c>
    </row>
    <row r="754" spans="1:4" ht="12.5">
      <c r="A754" s="186">
        <v>46154</v>
      </c>
      <c r="B754" s="9">
        <v>7002216529</v>
      </c>
      <c r="C754" s="9">
        <v>7</v>
      </c>
      <c r="D754" s="9" t="s">
        <v>756</v>
      </c>
    </row>
    <row r="755" spans="1:4" ht="12.5">
      <c r="A755" s="186">
        <v>46154</v>
      </c>
      <c r="B755" s="9">
        <v>7002221743</v>
      </c>
      <c r="C755" s="9">
        <v>9</v>
      </c>
      <c r="D755" s="9" t="s">
        <v>756</v>
      </c>
    </row>
    <row r="756" spans="1:4" ht="12.5">
      <c r="A756" s="186">
        <v>46154</v>
      </c>
      <c r="B756" s="9">
        <v>7002223297</v>
      </c>
      <c r="C756" s="9">
        <v>6</v>
      </c>
      <c r="D756" s="9" t="s">
        <v>756</v>
      </c>
    </row>
    <row r="757" spans="1:4" ht="12.5">
      <c r="A757" s="186">
        <v>46154</v>
      </c>
      <c r="B757" s="9">
        <v>7002243487</v>
      </c>
      <c r="C757" s="9">
        <v>8</v>
      </c>
      <c r="D757" s="9" t="s">
        <v>756</v>
      </c>
    </row>
    <row r="758" spans="1:4" ht="12.5">
      <c r="A758" s="186">
        <v>46154</v>
      </c>
      <c r="B758" s="9">
        <v>7002254177</v>
      </c>
      <c r="C758" s="9">
        <v>7</v>
      </c>
      <c r="D758" s="9" t="s">
        <v>756</v>
      </c>
    </row>
    <row r="759" spans="1:4" ht="12.5">
      <c r="A759" s="186">
        <v>46154</v>
      </c>
      <c r="B759" s="9">
        <v>7002261892</v>
      </c>
      <c r="C759" s="9">
        <v>6</v>
      </c>
      <c r="D759" s="9" t="s">
        <v>756</v>
      </c>
    </row>
    <row r="760" spans="1:4" ht="12.5">
      <c r="A760" s="186">
        <v>46154</v>
      </c>
      <c r="B760" s="9">
        <v>7002276579</v>
      </c>
      <c r="C760" s="9">
        <v>6</v>
      </c>
      <c r="D760" s="9" t="s">
        <v>756</v>
      </c>
    </row>
    <row r="761" spans="1:4" ht="12.5">
      <c r="A761" s="186">
        <v>46154</v>
      </c>
      <c r="B761" s="9">
        <v>7002302696</v>
      </c>
      <c r="C761" s="9">
        <v>9</v>
      </c>
      <c r="D761" s="9" t="s">
        <v>756</v>
      </c>
    </row>
    <row r="762" spans="1:4" ht="12.5">
      <c r="A762" s="186">
        <v>46154</v>
      </c>
      <c r="B762" s="9">
        <v>7002304675</v>
      </c>
      <c r="C762" s="9">
        <v>9</v>
      </c>
      <c r="D762" s="9" t="s">
        <v>756</v>
      </c>
    </row>
    <row r="763" spans="1:4" ht="12.5">
      <c r="A763" s="186">
        <v>46154</v>
      </c>
      <c r="B763" s="9">
        <v>7002306715</v>
      </c>
      <c r="C763" s="9">
        <v>10</v>
      </c>
      <c r="D763" s="9" t="s">
        <v>756</v>
      </c>
    </row>
    <row r="764" spans="1:4" ht="12.5">
      <c r="A764" s="186">
        <v>46154</v>
      </c>
      <c r="B764" s="9">
        <v>7002309725</v>
      </c>
      <c r="C764" s="9">
        <v>6</v>
      </c>
      <c r="D764" s="9" t="s">
        <v>756</v>
      </c>
    </row>
    <row r="765" spans="1:4" ht="12.5">
      <c r="A765" s="186">
        <v>46154</v>
      </c>
      <c r="B765" s="9">
        <v>7002313002</v>
      </c>
      <c r="C765" s="9">
        <v>8</v>
      </c>
      <c r="D765" s="9" t="s">
        <v>756</v>
      </c>
    </row>
    <row r="766" spans="1:4" ht="12.5">
      <c r="A766" s="186">
        <v>46154</v>
      </c>
      <c r="B766" s="9">
        <v>7002330689</v>
      </c>
      <c r="C766" s="9">
        <v>10</v>
      </c>
      <c r="D766" s="9" t="s">
        <v>756</v>
      </c>
    </row>
    <row r="767" spans="1:4" ht="12.5">
      <c r="A767" s="186">
        <v>46154</v>
      </c>
      <c r="B767" s="9">
        <v>7002331688</v>
      </c>
      <c r="C767" s="9">
        <v>7</v>
      </c>
      <c r="D767" s="9" t="s">
        <v>756</v>
      </c>
    </row>
    <row r="768" spans="1:4" ht="12.5">
      <c r="A768" s="186">
        <v>46154</v>
      </c>
      <c r="B768" s="9">
        <v>7002332561</v>
      </c>
      <c r="C768" s="9">
        <v>8</v>
      </c>
      <c r="D768" s="9" t="s">
        <v>756</v>
      </c>
    </row>
    <row r="769" spans="1:4" ht="12.5">
      <c r="A769" s="186">
        <v>46154</v>
      </c>
      <c r="B769" s="9">
        <v>7002333664</v>
      </c>
      <c r="C769" s="9">
        <v>9</v>
      </c>
      <c r="D769" s="9" t="s">
        <v>756</v>
      </c>
    </row>
    <row r="770" spans="1:4" ht="12.5">
      <c r="A770" s="186">
        <v>46154</v>
      </c>
      <c r="B770" s="9">
        <v>7002334663</v>
      </c>
      <c r="C770" s="9">
        <v>10</v>
      </c>
      <c r="D770" s="9" t="s">
        <v>756</v>
      </c>
    </row>
    <row r="771" spans="1:4" ht="12.5">
      <c r="A771" s="186">
        <v>46154</v>
      </c>
      <c r="B771" s="9">
        <v>7002335652</v>
      </c>
      <c r="C771" s="9">
        <v>6</v>
      </c>
      <c r="D771" s="9" t="s">
        <v>756</v>
      </c>
    </row>
    <row r="772" spans="1:4" ht="12.5">
      <c r="A772" s="186">
        <v>46154</v>
      </c>
      <c r="B772" s="9">
        <v>7002336676</v>
      </c>
      <c r="C772" s="9">
        <v>8</v>
      </c>
      <c r="D772" s="9" t="s">
        <v>756</v>
      </c>
    </row>
    <row r="773" spans="1:4" ht="12.5">
      <c r="A773" s="186">
        <v>46154</v>
      </c>
      <c r="B773" s="9">
        <v>7002336721</v>
      </c>
      <c r="C773" s="9">
        <v>6</v>
      </c>
      <c r="D773" s="9" t="s">
        <v>756</v>
      </c>
    </row>
    <row r="774" spans="1:4" ht="12.5">
      <c r="A774" s="186">
        <v>46154</v>
      </c>
      <c r="B774" s="9">
        <v>7002338666</v>
      </c>
      <c r="C774" s="9">
        <v>7</v>
      </c>
      <c r="D774" s="9" t="s">
        <v>756</v>
      </c>
    </row>
    <row r="775" spans="1:4" ht="12.5">
      <c r="A775" s="186">
        <v>46154</v>
      </c>
      <c r="B775" s="9">
        <v>7002342658</v>
      </c>
      <c r="C775" s="9">
        <v>10</v>
      </c>
      <c r="D775" s="9" t="s">
        <v>756</v>
      </c>
    </row>
    <row r="776" spans="1:4" ht="12.5">
      <c r="A776" s="186">
        <v>46154</v>
      </c>
      <c r="B776" s="9">
        <v>7002343661</v>
      </c>
      <c r="C776" s="9">
        <v>10</v>
      </c>
      <c r="D776" s="9" t="s">
        <v>756</v>
      </c>
    </row>
    <row r="777" spans="1:4" ht="12.5">
      <c r="A777" s="186">
        <v>46154</v>
      </c>
      <c r="B777" s="9">
        <v>7002343674</v>
      </c>
      <c r="C777" s="9">
        <v>6</v>
      </c>
      <c r="D777" s="9" t="s">
        <v>756</v>
      </c>
    </row>
    <row r="778" spans="1:4" ht="12.5">
      <c r="A778" s="186">
        <v>46154</v>
      </c>
      <c r="B778" s="9">
        <v>7002344673</v>
      </c>
      <c r="C778" s="9">
        <v>8</v>
      </c>
      <c r="D778" s="9" t="s">
        <v>756</v>
      </c>
    </row>
    <row r="779" spans="1:4" ht="12.5">
      <c r="A779" s="186">
        <v>46154</v>
      </c>
      <c r="B779" s="9">
        <v>7002345508</v>
      </c>
      <c r="C779" s="9">
        <v>7</v>
      </c>
      <c r="D779" s="9" t="s">
        <v>756</v>
      </c>
    </row>
    <row r="780" spans="1:4" ht="12.5">
      <c r="A780" s="186">
        <v>46154</v>
      </c>
      <c r="B780" s="9">
        <v>7002357223</v>
      </c>
      <c r="C780" s="9">
        <v>10</v>
      </c>
      <c r="D780" s="9" t="s">
        <v>756</v>
      </c>
    </row>
    <row r="781" spans="1:4" ht="12.5">
      <c r="A781" s="186">
        <v>46154</v>
      </c>
      <c r="B781" s="9">
        <v>7000918024</v>
      </c>
      <c r="C781" s="9">
        <v>19</v>
      </c>
      <c r="D781" s="9" t="s">
        <v>752</v>
      </c>
    </row>
    <row r="782" spans="1:4" ht="12.5">
      <c r="A782" s="186">
        <v>46154</v>
      </c>
      <c r="B782" s="9">
        <v>7002171616</v>
      </c>
      <c r="C782" s="9">
        <v>42</v>
      </c>
      <c r="D782" s="9" t="s">
        <v>752</v>
      </c>
    </row>
    <row r="783" spans="1:4" ht="12.5">
      <c r="A783" s="186">
        <v>46154</v>
      </c>
      <c r="B783" s="9">
        <v>7002181554</v>
      </c>
      <c r="C783" s="9">
        <v>32</v>
      </c>
      <c r="D783" s="9" t="s">
        <v>752</v>
      </c>
    </row>
    <row r="784" spans="1:4" ht="12.5">
      <c r="A784" s="186">
        <v>46154</v>
      </c>
      <c r="B784" s="9">
        <v>7002190503</v>
      </c>
      <c r="C784" s="9">
        <v>19</v>
      </c>
      <c r="D784" s="9" t="s">
        <v>752</v>
      </c>
    </row>
    <row r="785" spans="1:4" ht="12.5">
      <c r="A785" s="186">
        <v>46154</v>
      </c>
      <c r="B785" s="9">
        <v>7002215357</v>
      </c>
      <c r="C785" s="9">
        <v>50</v>
      </c>
      <c r="D785" s="9" t="s">
        <v>752</v>
      </c>
    </row>
    <row r="786" spans="1:4" ht="12.5">
      <c r="A786" s="186">
        <v>46154</v>
      </c>
      <c r="B786" s="9">
        <v>7002221629</v>
      </c>
      <c r="C786" s="9">
        <v>13</v>
      </c>
      <c r="D786" s="9" t="s">
        <v>752</v>
      </c>
    </row>
    <row r="787" spans="1:4" ht="12.5">
      <c r="A787" s="186">
        <v>46154</v>
      </c>
      <c r="B787" s="9">
        <v>7002226438</v>
      </c>
      <c r="C787" s="9">
        <v>27</v>
      </c>
      <c r="D787" s="9" t="s">
        <v>752</v>
      </c>
    </row>
    <row r="788" spans="1:4" ht="12.5">
      <c r="A788" s="186">
        <v>46154</v>
      </c>
      <c r="B788" s="9">
        <v>7002234579</v>
      </c>
      <c r="C788" s="9">
        <v>20</v>
      </c>
      <c r="D788" s="9" t="s">
        <v>752</v>
      </c>
    </row>
    <row r="789" spans="1:4" ht="12.5">
      <c r="A789" s="186">
        <v>46154</v>
      </c>
      <c r="B789" s="9">
        <v>7002243375</v>
      </c>
      <c r="C789" s="9">
        <v>85</v>
      </c>
      <c r="D789" s="9" t="s">
        <v>752</v>
      </c>
    </row>
    <row r="790" spans="1:4" ht="12.5">
      <c r="A790" s="186">
        <v>46154</v>
      </c>
      <c r="B790" s="9">
        <v>7002250951</v>
      </c>
      <c r="C790" s="9">
        <v>17</v>
      </c>
      <c r="D790" s="9" t="s">
        <v>752</v>
      </c>
    </row>
    <row r="791" spans="1:4" ht="12.5">
      <c r="A791" s="186">
        <v>46154</v>
      </c>
      <c r="B791" s="9">
        <v>7002270995</v>
      </c>
      <c r="C791" s="9">
        <v>66</v>
      </c>
      <c r="D791" s="9" t="s">
        <v>752</v>
      </c>
    </row>
    <row r="792" spans="1:4" ht="12.5">
      <c r="A792" s="186">
        <v>46154</v>
      </c>
      <c r="B792" s="9">
        <v>7002279455</v>
      </c>
      <c r="C792" s="9">
        <v>100</v>
      </c>
      <c r="D792" s="9" t="s">
        <v>752</v>
      </c>
    </row>
    <row r="793" spans="1:4" ht="12.5">
      <c r="A793" s="186">
        <v>46154</v>
      </c>
      <c r="B793" s="9">
        <v>7002293642</v>
      </c>
      <c r="C793" s="9">
        <v>21</v>
      </c>
      <c r="D793" s="9" t="s">
        <v>752</v>
      </c>
    </row>
    <row r="794" spans="1:4" ht="12.5">
      <c r="A794" s="186">
        <v>46154</v>
      </c>
      <c r="B794" s="9">
        <v>7002297369</v>
      </c>
      <c r="C794" s="9">
        <v>226</v>
      </c>
      <c r="D794" s="9" t="s">
        <v>752</v>
      </c>
    </row>
    <row r="795" spans="1:4" ht="12.5">
      <c r="A795" s="186">
        <v>46154</v>
      </c>
      <c r="B795" s="9">
        <v>7002303709</v>
      </c>
      <c r="C795" s="9">
        <v>11</v>
      </c>
      <c r="D795" s="9" t="s">
        <v>752</v>
      </c>
    </row>
    <row r="796" spans="1:4" ht="12.5">
      <c r="A796" s="186">
        <v>46154</v>
      </c>
      <c r="B796" s="9">
        <v>7002303963</v>
      </c>
      <c r="C796" s="9">
        <v>50</v>
      </c>
      <c r="D796" s="9" t="s">
        <v>752</v>
      </c>
    </row>
    <row r="797" spans="1:4" ht="12.5">
      <c r="A797" s="186">
        <v>46154</v>
      </c>
      <c r="B797" s="9">
        <v>7002304311</v>
      </c>
      <c r="C797" s="9">
        <v>16</v>
      </c>
      <c r="D797" s="9" t="s">
        <v>752</v>
      </c>
    </row>
    <row r="798" spans="1:4" ht="12.5">
      <c r="A798" s="186">
        <v>46154</v>
      </c>
      <c r="B798" s="9">
        <v>7002306316</v>
      </c>
      <c r="C798" s="9">
        <v>11</v>
      </c>
      <c r="D798" s="9" t="s">
        <v>752</v>
      </c>
    </row>
    <row r="799" spans="1:4" ht="12.5">
      <c r="A799" s="186">
        <v>46154</v>
      </c>
      <c r="B799" s="9">
        <v>7002310755</v>
      </c>
      <c r="C799" s="9">
        <v>200</v>
      </c>
      <c r="D799" s="9" t="s">
        <v>752</v>
      </c>
    </row>
    <row r="800" spans="1:4" ht="12.5">
      <c r="A800" s="186">
        <v>46154</v>
      </c>
      <c r="B800" s="9">
        <v>7002321598</v>
      </c>
      <c r="C800" s="9">
        <v>15</v>
      </c>
      <c r="D800" s="9" t="s">
        <v>752</v>
      </c>
    </row>
    <row r="801" spans="1:4" ht="12.5">
      <c r="A801" s="186">
        <v>46154</v>
      </c>
      <c r="B801" s="9">
        <v>7002324143</v>
      </c>
      <c r="C801" s="9">
        <v>35</v>
      </c>
      <c r="D801" s="9" t="s">
        <v>752</v>
      </c>
    </row>
    <row r="802" spans="1:4" ht="12.5">
      <c r="A802" s="186">
        <v>46154</v>
      </c>
      <c r="B802" s="9">
        <v>7002327150</v>
      </c>
      <c r="C802" s="9">
        <v>12</v>
      </c>
      <c r="D802" s="9" t="s">
        <v>752</v>
      </c>
    </row>
    <row r="803" spans="1:4" ht="12.5">
      <c r="A803" s="186">
        <v>46154</v>
      </c>
      <c r="B803" s="9">
        <v>7002330627</v>
      </c>
      <c r="C803" s="9">
        <v>53</v>
      </c>
      <c r="D803" s="9" t="s">
        <v>752</v>
      </c>
    </row>
    <row r="804" spans="1:4" ht="12.5">
      <c r="A804" s="186">
        <v>46154</v>
      </c>
      <c r="B804" s="9">
        <v>7002330718</v>
      </c>
      <c r="C804" s="9">
        <v>18</v>
      </c>
      <c r="D804" s="9" t="s">
        <v>752</v>
      </c>
    </row>
    <row r="805" spans="1:4" ht="12.5">
      <c r="A805" s="186">
        <v>46154</v>
      </c>
      <c r="B805" s="9">
        <v>7002333601</v>
      </c>
      <c r="C805" s="9">
        <v>28</v>
      </c>
      <c r="D805" s="9" t="s">
        <v>752</v>
      </c>
    </row>
    <row r="806" spans="1:4" ht="12.5">
      <c r="A806" s="186">
        <v>46154</v>
      </c>
      <c r="B806" s="9">
        <v>7002333693</v>
      </c>
      <c r="C806" s="9">
        <v>13</v>
      </c>
      <c r="D806" s="9" t="s">
        <v>752</v>
      </c>
    </row>
    <row r="807" spans="1:4" ht="12.5">
      <c r="A807" s="186">
        <v>46154</v>
      </c>
      <c r="B807" s="9">
        <v>7002335634</v>
      </c>
      <c r="C807" s="9">
        <v>63</v>
      </c>
      <c r="D807" s="9" t="s">
        <v>752</v>
      </c>
    </row>
    <row r="808" spans="1:4" ht="12.5">
      <c r="A808" s="186">
        <v>46154</v>
      </c>
      <c r="B808" s="9">
        <v>7002336682</v>
      </c>
      <c r="C808" s="9">
        <v>13</v>
      </c>
      <c r="D808" s="9" t="s">
        <v>752</v>
      </c>
    </row>
    <row r="809" spans="1:4" ht="12.5">
      <c r="A809" s="186">
        <v>46154</v>
      </c>
      <c r="B809" s="9">
        <v>7002338752</v>
      </c>
      <c r="C809" s="9">
        <v>39</v>
      </c>
      <c r="D809" s="9" t="s">
        <v>752</v>
      </c>
    </row>
    <row r="810" spans="1:4" ht="12.5">
      <c r="A810" s="186">
        <v>46154</v>
      </c>
      <c r="B810" s="9">
        <v>7002340655</v>
      </c>
      <c r="C810" s="9">
        <v>19</v>
      </c>
      <c r="D810" s="9" t="s">
        <v>752</v>
      </c>
    </row>
    <row r="811" spans="1:4" ht="12.5">
      <c r="A811" s="186">
        <v>46154</v>
      </c>
      <c r="B811" s="9">
        <v>7002342670</v>
      </c>
      <c r="C811" s="9">
        <v>37</v>
      </c>
      <c r="D811" s="9" t="s">
        <v>752</v>
      </c>
    </row>
    <row r="812" spans="1:4" ht="12.5">
      <c r="A812" s="186">
        <v>46154</v>
      </c>
      <c r="B812" s="9">
        <v>7002342691</v>
      </c>
      <c r="C812" s="9">
        <v>15</v>
      </c>
      <c r="D812" s="9" t="s">
        <v>752</v>
      </c>
    </row>
    <row r="813" spans="1:4" ht="12.5">
      <c r="A813" s="186">
        <v>46154</v>
      </c>
      <c r="B813" s="9">
        <v>7002343688</v>
      </c>
      <c r="C813" s="9">
        <v>100</v>
      </c>
      <c r="D813" s="9" t="s">
        <v>752</v>
      </c>
    </row>
    <row r="814" spans="1:4" ht="12.5">
      <c r="A814" s="186">
        <v>46154</v>
      </c>
      <c r="B814" s="9">
        <v>7002343690</v>
      </c>
      <c r="C814" s="9">
        <v>16</v>
      </c>
      <c r="D814" s="9" t="s">
        <v>752</v>
      </c>
    </row>
    <row r="815" spans="1:4" ht="12.5">
      <c r="A815" s="186">
        <v>46154</v>
      </c>
      <c r="B815" s="9">
        <v>7002344134</v>
      </c>
      <c r="C815" s="9">
        <v>30</v>
      </c>
      <c r="D815" s="9" t="s">
        <v>752</v>
      </c>
    </row>
    <row r="816" spans="1:4" ht="12.5">
      <c r="A816" s="186">
        <v>46154</v>
      </c>
      <c r="B816" s="9">
        <v>7002344687</v>
      </c>
      <c r="C816" s="9">
        <v>50</v>
      </c>
      <c r="D816" s="9" t="s">
        <v>752</v>
      </c>
    </row>
    <row r="817" spans="1:4" ht="12.5">
      <c r="A817" s="186">
        <v>46154</v>
      </c>
      <c r="B817" s="9">
        <v>7002348669</v>
      </c>
      <c r="C817" s="9">
        <v>45</v>
      </c>
      <c r="D817" s="9" t="s">
        <v>752</v>
      </c>
    </row>
    <row r="818" spans="1:4" ht="12.5">
      <c r="A818" s="186">
        <v>46154</v>
      </c>
      <c r="B818" s="9">
        <v>7002348778</v>
      </c>
      <c r="C818" s="9">
        <v>14</v>
      </c>
      <c r="D818" s="9" t="s">
        <v>752</v>
      </c>
    </row>
    <row r="819" spans="1:4" ht="12.5">
      <c r="A819" s="186">
        <v>46154</v>
      </c>
      <c r="B819" s="9">
        <v>7002349779</v>
      </c>
      <c r="C819" s="9">
        <v>15</v>
      </c>
      <c r="D819" s="9" t="s">
        <v>752</v>
      </c>
    </row>
    <row r="820" spans="1:4" ht="12.5">
      <c r="A820" s="186">
        <v>46154</v>
      </c>
      <c r="B820" s="9">
        <v>7002351271</v>
      </c>
      <c r="C820" s="9">
        <v>20</v>
      </c>
      <c r="D820" s="9" t="s">
        <v>752</v>
      </c>
    </row>
    <row r="821" spans="1:4" ht="12.5">
      <c r="A821" s="186">
        <v>46154</v>
      </c>
      <c r="B821" s="9">
        <v>7002352163</v>
      </c>
      <c r="C821" s="9">
        <v>29</v>
      </c>
      <c r="D821" s="9" t="s">
        <v>752</v>
      </c>
    </row>
    <row r="822" spans="1:4" ht="12.5">
      <c r="A822" s="186">
        <v>46154</v>
      </c>
      <c r="B822" s="9">
        <v>7002359283</v>
      </c>
      <c r="C822" s="9">
        <v>30</v>
      </c>
      <c r="D822" s="9" t="s">
        <v>752</v>
      </c>
    </row>
    <row r="823" spans="1:4" ht="12.5">
      <c r="A823" s="186">
        <v>46154</v>
      </c>
      <c r="B823" s="9">
        <v>7000908997</v>
      </c>
      <c r="C823" s="9">
        <v>1</v>
      </c>
      <c r="D823" s="9" t="s">
        <v>750</v>
      </c>
    </row>
    <row r="824" spans="1:4" ht="12.5">
      <c r="A824" s="186">
        <v>46154</v>
      </c>
      <c r="B824" s="9">
        <v>7001727096</v>
      </c>
      <c r="C824" s="9">
        <v>1</v>
      </c>
      <c r="D824" s="9" t="s">
        <v>750</v>
      </c>
    </row>
    <row r="825" spans="1:4" ht="12.5">
      <c r="A825" s="186">
        <v>46154</v>
      </c>
      <c r="B825" s="9">
        <v>7002169758</v>
      </c>
      <c r="C825" s="9">
        <v>1</v>
      </c>
      <c r="D825" s="9" t="s">
        <v>750</v>
      </c>
    </row>
    <row r="826" spans="1:4" ht="12.5">
      <c r="A826" s="186">
        <v>46154</v>
      </c>
      <c r="B826" s="9">
        <v>7002181367</v>
      </c>
      <c r="C826" s="9">
        <v>1</v>
      </c>
      <c r="D826" s="9" t="s">
        <v>750</v>
      </c>
    </row>
    <row r="827" spans="1:4" ht="12.5">
      <c r="A827" s="186">
        <v>46154</v>
      </c>
      <c r="B827" s="9">
        <v>7002189040</v>
      </c>
      <c r="C827" s="9">
        <v>1</v>
      </c>
      <c r="D827" s="9" t="s">
        <v>750</v>
      </c>
    </row>
    <row r="828" spans="1:4" ht="12.5">
      <c r="A828" s="186">
        <v>46154</v>
      </c>
      <c r="B828" s="9">
        <v>7002198579</v>
      </c>
      <c r="C828" s="9">
        <v>1</v>
      </c>
      <c r="D828" s="9" t="s">
        <v>750</v>
      </c>
    </row>
    <row r="829" spans="1:4" ht="12.5">
      <c r="A829" s="186">
        <v>46154</v>
      </c>
      <c r="B829" s="9">
        <v>7002199653</v>
      </c>
      <c r="C829" s="9">
        <v>1</v>
      </c>
      <c r="D829" s="9" t="s">
        <v>750</v>
      </c>
    </row>
    <row r="830" spans="1:4" ht="12.5">
      <c r="A830" s="186">
        <v>46154</v>
      </c>
      <c r="B830" s="9">
        <v>7002201729</v>
      </c>
      <c r="C830" s="9">
        <v>1</v>
      </c>
      <c r="D830" s="9" t="s">
        <v>750</v>
      </c>
    </row>
    <row r="831" spans="1:4" ht="12.5">
      <c r="A831" s="186">
        <v>46154</v>
      </c>
      <c r="B831" s="9">
        <v>7002223741</v>
      </c>
      <c r="C831" s="9">
        <v>1</v>
      </c>
      <c r="D831" s="9" t="s">
        <v>750</v>
      </c>
    </row>
    <row r="832" spans="1:4" ht="12.5">
      <c r="A832" s="186">
        <v>46154</v>
      </c>
      <c r="B832" s="9">
        <v>7002232115</v>
      </c>
      <c r="C832" s="9">
        <v>1</v>
      </c>
      <c r="D832" s="9" t="s">
        <v>750</v>
      </c>
    </row>
    <row r="833" spans="1:4" ht="12.5">
      <c r="A833" s="186">
        <v>46154</v>
      </c>
      <c r="B833" s="9">
        <v>7002241458</v>
      </c>
      <c r="C833" s="9">
        <v>1</v>
      </c>
      <c r="D833" s="9" t="s">
        <v>750</v>
      </c>
    </row>
    <row r="834" spans="1:4" ht="12.5">
      <c r="A834" s="186">
        <v>46154</v>
      </c>
      <c r="B834" s="9">
        <v>7002258827</v>
      </c>
      <c r="C834" s="9">
        <v>1</v>
      </c>
      <c r="D834" s="9" t="s">
        <v>750</v>
      </c>
    </row>
    <row r="835" spans="1:4" ht="12.5">
      <c r="A835" s="186">
        <v>46154</v>
      </c>
      <c r="B835" s="9">
        <v>7002260033</v>
      </c>
      <c r="C835" s="9">
        <v>1</v>
      </c>
      <c r="D835" s="9" t="s">
        <v>750</v>
      </c>
    </row>
    <row r="836" spans="1:4" ht="12.5">
      <c r="A836" s="186">
        <v>46154</v>
      </c>
      <c r="B836" s="9">
        <v>7002272028</v>
      </c>
      <c r="C836" s="9">
        <v>1</v>
      </c>
      <c r="D836" s="9" t="s">
        <v>750</v>
      </c>
    </row>
    <row r="837" spans="1:4" ht="12.5">
      <c r="A837" s="186">
        <v>46154</v>
      </c>
      <c r="B837" s="9">
        <v>7002301346</v>
      </c>
      <c r="C837" s="9">
        <v>1</v>
      </c>
      <c r="D837" s="9" t="s">
        <v>750</v>
      </c>
    </row>
    <row r="838" spans="1:4" ht="12.5">
      <c r="A838" s="186">
        <v>46154</v>
      </c>
      <c r="B838" s="9">
        <v>7002302887</v>
      </c>
      <c r="C838" s="9">
        <v>1</v>
      </c>
      <c r="D838" s="9" t="s">
        <v>750</v>
      </c>
    </row>
    <row r="839" spans="1:4" ht="12.5">
      <c r="A839" s="186">
        <v>46154</v>
      </c>
      <c r="B839" s="9">
        <v>7002304369</v>
      </c>
      <c r="C839" s="9">
        <v>1</v>
      </c>
      <c r="D839" s="9" t="s">
        <v>750</v>
      </c>
    </row>
    <row r="840" spans="1:4" ht="12.5">
      <c r="A840" s="186">
        <v>46154</v>
      </c>
      <c r="B840" s="9">
        <v>7002305806</v>
      </c>
      <c r="C840" s="9">
        <v>1</v>
      </c>
      <c r="D840" s="9" t="s">
        <v>750</v>
      </c>
    </row>
    <row r="841" spans="1:4" ht="12.5">
      <c r="A841" s="186">
        <v>46154</v>
      </c>
      <c r="B841" s="9">
        <v>7002307792</v>
      </c>
      <c r="C841" s="9">
        <v>1</v>
      </c>
      <c r="D841" s="9" t="s">
        <v>750</v>
      </c>
    </row>
    <row r="842" spans="1:4" ht="12.5">
      <c r="A842" s="186">
        <v>46154</v>
      </c>
      <c r="B842" s="9">
        <v>7002308341</v>
      </c>
      <c r="C842" s="9">
        <v>1</v>
      </c>
      <c r="D842" s="9" t="s">
        <v>750</v>
      </c>
    </row>
    <row r="843" spans="1:4" ht="12.5">
      <c r="A843" s="186">
        <v>46154</v>
      </c>
      <c r="B843" s="9">
        <v>7002310813</v>
      </c>
      <c r="C843" s="9">
        <v>1</v>
      </c>
      <c r="D843" s="9" t="s">
        <v>750</v>
      </c>
    </row>
    <row r="844" spans="1:4" ht="12.5">
      <c r="A844" s="186">
        <v>46154</v>
      </c>
      <c r="B844" s="9">
        <v>7002316929</v>
      </c>
      <c r="C844" s="9">
        <v>1</v>
      </c>
      <c r="D844" s="9" t="s">
        <v>750</v>
      </c>
    </row>
    <row r="845" spans="1:4" ht="12.5">
      <c r="A845" s="186">
        <v>46154</v>
      </c>
      <c r="B845" s="9">
        <v>7002322903</v>
      </c>
      <c r="C845" s="9">
        <v>1</v>
      </c>
      <c r="D845" s="9" t="s">
        <v>750</v>
      </c>
    </row>
    <row r="846" spans="1:4" ht="12.5">
      <c r="A846" s="186">
        <v>46154</v>
      </c>
      <c r="B846" s="9">
        <v>7002324940</v>
      </c>
      <c r="C846" s="9">
        <v>1</v>
      </c>
      <c r="D846" s="9" t="s">
        <v>750</v>
      </c>
    </row>
    <row r="847" spans="1:4" ht="12.5">
      <c r="A847" s="186">
        <v>46154</v>
      </c>
      <c r="B847" s="9">
        <v>7002326411</v>
      </c>
      <c r="C847" s="9">
        <v>1</v>
      </c>
      <c r="D847" s="9" t="s">
        <v>750</v>
      </c>
    </row>
    <row r="848" spans="1:4" ht="12.5">
      <c r="A848" s="186">
        <v>46154</v>
      </c>
      <c r="B848" s="9">
        <v>7002326814</v>
      </c>
      <c r="C848" s="9">
        <v>1</v>
      </c>
      <c r="D848" s="9" t="s">
        <v>750</v>
      </c>
    </row>
    <row r="849" spans="1:4" ht="12.5">
      <c r="A849" s="186">
        <v>46154</v>
      </c>
      <c r="B849" s="9">
        <v>7002333019</v>
      </c>
      <c r="C849" s="9">
        <v>1</v>
      </c>
      <c r="D849" s="9" t="s">
        <v>750</v>
      </c>
    </row>
    <row r="850" spans="1:4" ht="12.5">
      <c r="A850" s="186">
        <v>46154</v>
      </c>
      <c r="B850" s="9">
        <v>7002337047</v>
      </c>
      <c r="C850" s="9">
        <v>1</v>
      </c>
      <c r="D850" s="9" t="s">
        <v>750</v>
      </c>
    </row>
    <row r="851" spans="1:4" ht="12.5">
      <c r="A851" s="186">
        <v>46154</v>
      </c>
      <c r="B851" s="9">
        <v>7002340704</v>
      </c>
      <c r="C851" s="9">
        <v>1</v>
      </c>
      <c r="D851" s="9" t="s">
        <v>750</v>
      </c>
    </row>
    <row r="852" spans="1:4" ht="12.5">
      <c r="A852" s="186">
        <v>46154</v>
      </c>
      <c r="B852" s="9">
        <v>7002341685</v>
      </c>
      <c r="C852" s="9">
        <v>1</v>
      </c>
      <c r="D852" s="9" t="s">
        <v>750</v>
      </c>
    </row>
    <row r="853" spans="1:4" ht="12.5">
      <c r="A853" s="186">
        <v>46154</v>
      </c>
      <c r="B853" s="9">
        <v>7002344694</v>
      </c>
      <c r="C853" s="9">
        <v>1</v>
      </c>
      <c r="D853" s="9" t="s">
        <v>750</v>
      </c>
    </row>
    <row r="854" spans="1:4" ht="12.5">
      <c r="A854" s="186">
        <v>46154</v>
      </c>
      <c r="B854" s="9">
        <v>7002346889</v>
      </c>
      <c r="C854" s="9">
        <v>1</v>
      </c>
      <c r="D854" s="9" t="s">
        <v>750</v>
      </c>
    </row>
    <row r="855" spans="1:4" ht="12.5">
      <c r="A855" s="186">
        <v>46154</v>
      </c>
      <c r="B855" s="9">
        <v>7002348713</v>
      </c>
      <c r="C855" s="9">
        <v>1</v>
      </c>
      <c r="D855" s="9" t="s">
        <v>750</v>
      </c>
    </row>
    <row r="856" spans="1:4" ht="12.5">
      <c r="A856" s="186">
        <v>46154</v>
      </c>
      <c r="B856" s="9">
        <v>7002348721</v>
      </c>
      <c r="C856" s="9">
        <v>1</v>
      </c>
      <c r="D856" s="9" t="s">
        <v>750</v>
      </c>
    </row>
    <row r="857" spans="1:4" ht="12.5">
      <c r="A857" s="186">
        <v>46154</v>
      </c>
      <c r="B857" s="9">
        <v>7002352918</v>
      </c>
      <c r="C857" s="9">
        <v>1</v>
      </c>
      <c r="D857" s="9" t="s">
        <v>750</v>
      </c>
    </row>
    <row r="858" spans="1:4" ht="12.5">
      <c r="A858" s="186">
        <v>46154</v>
      </c>
      <c r="B858" s="9">
        <v>7002353608</v>
      </c>
      <c r="C858" s="9">
        <v>1</v>
      </c>
      <c r="D858" s="9" t="s">
        <v>750</v>
      </c>
    </row>
    <row r="859" spans="1:4" ht="12.5">
      <c r="A859" s="186">
        <v>46154</v>
      </c>
      <c r="B859" s="9">
        <v>7002353612</v>
      </c>
      <c r="C859" s="9">
        <v>1</v>
      </c>
      <c r="D859" s="9" t="s">
        <v>750</v>
      </c>
    </row>
    <row r="860" spans="1:4" ht="12.5">
      <c r="A860" s="186">
        <v>46154</v>
      </c>
      <c r="B860" s="9">
        <v>7002357275</v>
      </c>
      <c r="C860" s="9">
        <v>1</v>
      </c>
      <c r="D860" s="9" t="s">
        <v>750</v>
      </c>
    </row>
    <row r="861" spans="1:4" ht="12.5">
      <c r="A861" s="186">
        <v>46154</v>
      </c>
      <c r="B861" s="9">
        <v>7002357281</v>
      </c>
      <c r="C861" s="9">
        <v>1</v>
      </c>
      <c r="D861" s="9" t="s">
        <v>750</v>
      </c>
    </row>
    <row r="862" spans="1:4" ht="12.5">
      <c r="A862" s="186">
        <v>46154</v>
      </c>
      <c r="B862" s="9">
        <v>7002357518</v>
      </c>
      <c r="C862" s="9">
        <v>1</v>
      </c>
      <c r="D862" s="9" t="s">
        <v>750</v>
      </c>
    </row>
    <row r="863" spans="1:4" ht="12.5">
      <c r="A863" s="186">
        <v>46154</v>
      </c>
      <c r="B863" s="9">
        <v>7002357525</v>
      </c>
      <c r="C863" s="9">
        <v>1</v>
      </c>
      <c r="D863" s="9" t="s">
        <v>750</v>
      </c>
    </row>
    <row r="864" spans="1:4" ht="12.5">
      <c r="A864" s="186">
        <v>46154</v>
      </c>
      <c r="B864" s="9">
        <v>7002358618</v>
      </c>
      <c r="C864" s="9">
        <v>1</v>
      </c>
      <c r="D864" s="9" t="s">
        <v>750</v>
      </c>
    </row>
    <row r="865" spans="1:4" ht="12.5">
      <c r="A865" s="186">
        <v>46154</v>
      </c>
      <c r="B865" s="9">
        <v>7002359277</v>
      </c>
      <c r="C865" s="9">
        <v>1</v>
      </c>
      <c r="D865" s="9" t="s">
        <v>750</v>
      </c>
    </row>
    <row r="866" spans="1:4" ht="12.5">
      <c r="A866" s="9"/>
      <c r="B866" s="9"/>
      <c r="C866" s="9"/>
      <c r="D866" s="9"/>
    </row>
    <row r="867" spans="1:4" ht="12.5">
      <c r="A867" s="186">
        <v>46155</v>
      </c>
      <c r="B867" s="184">
        <v>7001727096</v>
      </c>
      <c r="C867" s="184">
        <v>1</v>
      </c>
      <c r="D867" s="9" t="s">
        <v>750</v>
      </c>
    </row>
    <row r="868" spans="1:4" ht="12.5">
      <c r="A868" s="186">
        <v>46155</v>
      </c>
      <c r="B868" s="184">
        <v>7002169758</v>
      </c>
      <c r="C868" s="184">
        <v>1</v>
      </c>
      <c r="D868" s="9" t="s">
        <v>750</v>
      </c>
    </row>
    <row r="869" spans="1:4" ht="12.5">
      <c r="A869" s="186">
        <v>46155</v>
      </c>
      <c r="B869" s="184">
        <v>7002189040</v>
      </c>
      <c r="C869" s="184">
        <v>1</v>
      </c>
      <c r="D869" s="9" t="s">
        <v>750</v>
      </c>
    </row>
    <row r="870" spans="1:4" ht="12.5">
      <c r="A870" s="186">
        <v>46155</v>
      </c>
      <c r="B870" s="184">
        <v>7002233256</v>
      </c>
      <c r="C870" s="184">
        <v>2</v>
      </c>
      <c r="D870" s="9" t="s">
        <v>751</v>
      </c>
    </row>
    <row r="871" spans="1:4" ht="12.5">
      <c r="A871" s="186">
        <v>46155</v>
      </c>
      <c r="B871" s="184">
        <v>7002234579</v>
      </c>
      <c r="C871" s="184">
        <v>20</v>
      </c>
      <c r="D871" s="9" t="s">
        <v>752</v>
      </c>
    </row>
    <row r="872" spans="1:4" ht="12.5">
      <c r="A872" s="186">
        <v>46155</v>
      </c>
      <c r="B872" s="184">
        <v>7002270362</v>
      </c>
      <c r="C872" s="184">
        <v>26</v>
      </c>
      <c r="D872" s="9" t="s">
        <v>752</v>
      </c>
    </row>
    <row r="873" spans="1:4" ht="12.5">
      <c r="A873" s="186">
        <v>46155</v>
      </c>
      <c r="B873" s="184">
        <v>7002300352</v>
      </c>
      <c r="C873" s="184">
        <v>42</v>
      </c>
      <c r="D873" s="9" t="s">
        <v>752</v>
      </c>
    </row>
    <row r="874" spans="1:4" ht="12.5">
      <c r="A874" s="186">
        <v>46155</v>
      </c>
      <c r="B874" s="184">
        <v>7002303963</v>
      </c>
      <c r="C874" s="184">
        <v>50</v>
      </c>
      <c r="D874" s="9" t="s">
        <v>752</v>
      </c>
    </row>
    <row r="875" spans="1:4" ht="12.5">
      <c r="A875" s="186">
        <v>46155</v>
      </c>
      <c r="B875" s="184">
        <v>7002304419</v>
      </c>
      <c r="C875" s="184">
        <v>5</v>
      </c>
      <c r="D875" s="9" t="s">
        <v>751</v>
      </c>
    </row>
    <row r="876" spans="1:4" ht="12.5">
      <c r="A876" s="186">
        <v>46155</v>
      </c>
      <c r="B876" s="184">
        <v>7002304681</v>
      </c>
      <c r="C876" s="184">
        <v>5</v>
      </c>
      <c r="D876" s="9" t="s">
        <v>751</v>
      </c>
    </row>
    <row r="877" spans="1:4" ht="12.5">
      <c r="A877" s="186">
        <v>46155</v>
      </c>
      <c r="B877" s="184">
        <v>7002306977</v>
      </c>
      <c r="C877" s="184">
        <v>4</v>
      </c>
      <c r="D877" s="9" t="s">
        <v>751</v>
      </c>
    </row>
    <row r="878" spans="1:4" ht="12.5">
      <c r="A878" s="186">
        <v>46155</v>
      </c>
      <c r="B878" s="184">
        <v>7002310772</v>
      </c>
      <c r="C878" s="184">
        <v>22</v>
      </c>
      <c r="D878" s="9" t="s">
        <v>752</v>
      </c>
    </row>
    <row r="879" spans="1:4" ht="12.5">
      <c r="A879" s="186">
        <v>46155</v>
      </c>
      <c r="B879" s="184">
        <v>7002311771</v>
      </c>
      <c r="C879" s="184">
        <v>40</v>
      </c>
      <c r="D879" s="9" t="s">
        <v>752</v>
      </c>
    </row>
    <row r="880" spans="1:4" ht="12.5">
      <c r="A880" s="186">
        <v>46155</v>
      </c>
      <c r="B880" s="184">
        <v>7002311808</v>
      </c>
      <c r="C880" s="184">
        <v>3</v>
      </c>
      <c r="D880" s="9" t="s">
        <v>751</v>
      </c>
    </row>
    <row r="881" spans="1:4" ht="12.5">
      <c r="A881" s="186">
        <v>46155</v>
      </c>
      <c r="B881" s="184">
        <v>7002311896</v>
      </c>
      <c r="C881" s="184">
        <v>36</v>
      </c>
      <c r="D881" s="9" t="s">
        <v>752</v>
      </c>
    </row>
    <row r="882" spans="1:4" ht="12.5">
      <c r="A882" s="186">
        <v>46155</v>
      </c>
      <c r="B882" s="184">
        <v>7002313774</v>
      </c>
      <c r="C882" s="184">
        <v>32</v>
      </c>
      <c r="D882" s="9" t="s">
        <v>752</v>
      </c>
    </row>
    <row r="883" spans="1:4" ht="12.5">
      <c r="A883" s="186">
        <v>46155</v>
      </c>
      <c r="B883" s="184">
        <v>7002314773</v>
      </c>
      <c r="C883" s="184">
        <v>23</v>
      </c>
      <c r="D883" s="9" t="s">
        <v>752</v>
      </c>
    </row>
    <row r="884" spans="1:4" ht="12.5">
      <c r="A884" s="186">
        <v>46155</v>
      </c>
      <c r="B884" s="184">
        <v>7002315766</v>
      </c>
      <c r="C884" s="184">
        <v>25</v>
      </c>
      <c r="D884" s="9" t="s">
        <v>752</v>
      </c>
    </row>
    <row r="885" spans="1:4" ht="12.5">
      <c r="A885" s="186">
        <v>46155</v>
      </c>
      <c r="B885" s="184">
        <v>7002319816</v>
      </c>
      <c r="C885" s="184">
        <v>3</v>
      </c>
      <c r="D885" s="9" t="s">
        <v>751</v>
      </c>
    </row>
    <row r="886" spans="1:4" ht="12.5">
      <c r="A886" s="186">
        <v>46155</v>
      </c>
      <c r="B886" s="184">
        <v>7002321991</v>
      </c>
      <c r="C886" s="184">
        <v>48</v>
      </c>
      <c r="D886" s="9" t="s">
        <v>752</v>
      </c>
    </row>
    <row r="887" spans="1:4" ht="12.5">
      <c r="A887" s="186">
        <v>46155</v>
      </c>
      <c r="B887" s="184">
        <v>7002326407</v>
      </c>
      <c r="C887" s="184">
        <v>10</v>
      </c>
      <c r="D887" s="9" t="s">
        <v>753</v>
      </c>
    </row>
    <row r="888" spans="1:4" ht="12.5">
      <c r="A888" s="186">
        <v>46155</v>
      </c>
      <c r="B888" s="184">
        <v>7002331922</v>
      </c>
      <c r="C888" s="184">
        <v>3</v>
      </c>
      <c r="D888" s="9" t="s">
        <v>751</v>
      </c>
    </row>
    <row r="889" spans="1:4" ht="12.5">
      <c r="A889" s="186">
        <v>46155</v>
      </c>
      <c r="B889" s="184">
        <v>7002332639</v>
      </c>
      <c r="C889" s="184">
        <v>10</v>
      </c>
      <c r="D889" s="9" t="s">
        <v>753</v>
      </c>
    </row>
    <row r="890" spans="1:4" ht="12.5">
      <c r="A890" s="186">
        <v>46155</v>
      </c>
      <c r="B890" s="184">
        <v>7002333655</v>
      </c>
      <c r="C890" s="184">
        <v>50</v>
      </c>
      <c r="D890" s="9" t="s">
        <v>752</v>
      </c>
    </row>
    <row r="891" spans="1:4" ht="12.5">
      <c r="A891" s="186">
        <v>46155</v>
      </c>
      <c r="B891" s="184">
        <v>7002333762</v>
      </c>
      <c r="C891" s="184">
        <v>24</v>
      </c>
      <c r="D891" s="9" t="s">
        <v>752</v>
      </c>
    </row>
    <row r="892" spans="1:4" ht="12.5">
      <c r="A892" s="186">
        <v>46155</v>
      </c>
      <c r="B892" s="184">
        <v>7002333954</v>
      </c>
      <c r="C892" s="184">
        <v>3</v>
      </c>
      <c r="D892" s="9" t="s">
        <v>751</v>
      </c>
    </row>
    <row r="893" spans="1:4" ht="12.5">
      <c r="A893" s="186">
        <v>46155</v>
      </c>
      <c r="B893" s="184">
        <v>7002334637</v>
      </c>
      <c r="C893" s="184">
        <v>27</v>
      </c>
      <c r="D893" s="9" t="s">
        <v>752</v>
      </c>
    </row>
    <row r="894" spans="1:4" ht="12.5">
      <c r="A894" s="186">
        <v>46155</v>
      </c>
      <c r="B894" s="184">
        <v>7002334659</v>
      </c>
      <c r="C894" s="184">
        <v>2</v>
      </c>
      <c r="D894" s="9" t="s">
        <v>751</v>
      </c>
    </row>
    <row r="895" spans="1:4" ht="12.5">
      <c r="A895" s="186">
        <v>46155</v>
      </c>
      <c r="B895" s="184">
        <v>7002334692</v>
      </c>
      <c r="C895" s="184">
        <v>100</v>
      </c>
      <c r="D895" s="9" t="s">
        <v>752</v>
      </c>
    </row>
    <row r="896" spans="1:4" ht="12.5">
      <c r="A896" s="186">
        <v>46155</v>
      </c>
      <c r="B896" s="184">
        <v>7002335943</v>
      </c>
      <c r="C896" s="184">
        <v>3</v>
      </c>
      <c r="D896" s="9" t="s">
        <v>751</v>
      </c>
    </row>
    <row r="897" spans="1:4" ht="12.5">
      <c r="A897" s="186">
        <v>46155</v>
      </c>
      <c r="B897" s="184">
        <v>7002336695</v>
      </c>
      <c r="C897" s="184">
        <v>15</v>
      </c>
      <c r="D897" s="9" t="s">
        <v>752</v>
      </c>
    </row>
    <row r="898" spans="1:4" ht="12.5">
      <c r="A898" s="186">
        <v>46155</v>
      </c>
      <c r="B898" s="184">
        <v>7002336872</v>
      </c>
      <c r="C898" s="184">
        <v>3</v>
      </c>
      <c r="D898" s="9" t="s">
        <v>751</v>
      </c>
    </row>
    <row r="899" spans="1:4" ht="12.5">
      <c r="A899" s="186">
        <v>46155</v>
      </c>
      <c r="B899" s="184">
        <v>7002337798</v>
      </c>
      <c r="C899" s="184">
        <v>2</v>
      </c>
      <c r="D899" s="9" t="s">
        <v>751</v>
      </c>
    </row>
    <row r="900" spans="1:4" ht="12.5">
      <c r="A900" s="186">
        <v>46155</v>
      </c>
      <c r="B900" s="184">
        <v>7002338723</v>
      </c>
      <c r="C900" s="184">
        <v>20</v>
      </c>
      <c r="D900" s="9" t="s">
        <v>752</v>
      </c>
    </row>
    <row r="901" spans="1:4" ht="12.5">
      <c r="A901" s="186">
        <v>46155</v>
      </c>
      <c r="B901" s="184">
        <v>7002338734</v>
      </c>
      <c r="C901" s="184">
        <v>2</v>
      </c>
      <c r="D901" s="9" t="s">
        <v>751</v>
      </c>
    </row>
    <row r="902" spans="1:4" ht="12.5">
      <c r="A902" s="186">
        <v>46155</v>
      </c>
      <c r="B902" s="184">
        <v>7002338768</v>
      </c>
      <c r="C902" s="184">
        <v>40</v>
      </c>
      <c r="D902" s="9" t="s">
        <v>752</v>
      </c>
    </row>
    <row r="903" spans="1:4" ht="12.5">
      <c r="A903" s="186">
        <v>46155</v>
      </c>
      <c r="B903" s="184">
        <v>7002340252</v>
      </c>
      <c r="C903" s="184">
        <v>3</v>
      </c>
      <c r="D903" s="9" t="s">
        <v>751</v>
      </c>
    </row>
    <row r="904" spans="1:4" ht="12.5">
      <c r="A904" s="186">
        <v>46155</v>
      </c>
      <c r="B904" s="184">
        <v>7002340672</v>
      </c>
      <c r="C904" s="184">
        <v>400</v>
      </c>
      <c r="D904" s="9" t="s">
        <v>752</v>
      </c>
    </row>
    <row r="905" spans="1:4" ht="12.5">
      <c r="A905" s="186">
        <v>46155</v>
      </c>
      <c r="B905" s="184">
        <v>7002341555</v>
      </c>
      <c r="C905" s="184">
        <v>2</v>
      </c>
      <c r="D905" s="9" t="s">
        <v>751</v>
      </c>
    </row>
    <row r="906" spans="1:4" ht="12.5">
      <c r="A906" s="186">
        <v>46155</v>
      </c>
      <c r="B906" s="184">
        <v>7002341692</v>
      </c>
      <c r="C906" s="184">
        <v>4</v>
      </c>
      <c r="D906" s="9" t="s">
        <v>751</v>
      </c>
    </row>
    <row r="907" spans="1:4" ht="12.5">
      <c r="A907" s="186">
        <v>46155</v>
      </c>
      <c r="B907" s="184">
        <v>7002341834</v>
      </c>
      <c r="C907" s="184">
        <v>5</v>
      </c>
      <c r="D907" s="9" t="s">
        <v>751</v>
      </c>
    </row>
    <row r="908" spans="1:4" ht="12.5">
      <c r="A908" s="186">
        <v>46155</v>
      </c>
      <c r="B908" s="184">
        <v>7002342072</v>
      </c>
      <c r="C908" s="184">
        <v>13</v>
      </c>
      <c r="D908" s="9" t="s">
        <v>752</v>
      </c>
    </row>
    <row r="909" spans="1:4" ht="12.5">
      <c r="A909" s="186">
        <v>46155</v>
      </c>
      <c r="B909" s="184">
        <v>7002342689</v>
      </c>
      <c r="C909" s="184">
        <v>3</v>
      </c>
      <c r="D909" s="9" t="s">
        <v>751</v>
      </c>
    </row>
    <row r="910" spans="1:4" ht="12.5">
      <c r="A910" s="186">
        <v>46155</v>
      </c>
      <c r="B910" s="184">
        <v>7002343701</v>
      </c>
      <c r="C910" s="184">
        <v>1</v>
      </c>
      <c r="D910" s="9" t="s">
        <v>750</v>
      </c>
    </row>
    <row r="911" spans="1:4" ht="12.5">
      <c r="A911" s="186">
        <v>46155</v>
      </c>
      <c r="B911" s="184">
        <v>7002344700</v>
      </c>
      <c r="C911" s="184">
        <v>1</v>
      </c>
      <c r="D911" s="9" t="s">
        <v>750</v>
      </c>
    </row>
    <row r="912" spans="1:4" ht="12.5">
      <c r="A912" s="186">
        <v>46155</v>
      </c>
      <c r="B912" s="184">
        <v>7002345706</v>
      </c>
      <c r="C912" s="184">
        <v>7</v>
      </c>
      <c r="D912" s="9" t="s">
        <v>753</v>
      </c>
    </row>
    <row r="913" spans="1:4" ht="12.5">
      <c r="A913" s="186">
        <v>46155</v>
      </c>
      <c r="B913" s="184">
        <v>7002346667</v>
      </c>
      <c r="C913" s="184">
        <v>200</v>
      </c>
      <c r="D913" s="9" t="s">
        <v>752</v>
      </c>
    </row>
    <row r="914" spans="1:4" ht="12.5">
      <c r="A914" s="186">
        <v>46155</v>
      </c>
      <c r="B914" s="184">
        <v>7002347606</v>
      </c>
      <c r="C914" s="184">
        <v>4</v>
      </c>
      <c r="D914" s="9" t="s">
        <v>751</v>
      </c>
    </row>
    <row r="915" spans="1:4" ht="12.5">
      <c r="A915" s="186">
        <v>46155</v>
      </c>
      <c r="B915" s="184">
        <v>7002348695</v>
      </c>
      <c r="C915" s="184">
        <v>26</v>
      </c>
      <c r="D915" s="9" t="s">
        <v>752</v>
      </c>
    </row>
    <row r="916" spans="1:4" ht="12.5">
      <c r="A916" s="186">
        <v>46155</v>
      </c>
      <c r="B916" s="184">
        <v>7002349665</v>
      </c>
      <c r="C916" s="184">
        <v>2</v>
      </c>
      <c r="D916" s="9" t="s">
        <v>751</v>
      </c>
    </row>
    <row r="917" spans="1:4" ht="12.5">
      <c r="A917" s="186">
        <v>46155</v>
      </c>
      <c r="B917" s="184">
        <v>7002349705</v>
      </c>
      <c r="C917" s="184">
        <v>1</v>
      </c>
      <c r="D917" s="9" t="s">
        <v>750</v>
      </c>
    </row>
    <row r="918" spans="1:4" ht="12.5">
      <c r="A918" s="186">
        <v>46155</v>
      </c>
      <c r="B918" s="184">
        <v>7002349722</v>
      </c>
      <c r="C918" s="184">
        <v>4</v>
      </c>
      <c r="D918" s="9" t="s">
        <v>751</v>
      </c>
    </row>
    <row r="919" spans="1:4" ht="12.5">
      <c r="A919" s="186">
        <v>46155</v>
      </c>
      <c r="B919" s="184">
        <v>7002350816</v>
      </c>
      <c r="C919" s="184">
        <v>1</v>
      </c>
      <c r="D919" s="9" t="s">
        <v>750</v>
      </c>
    </row>
    <row r="920" spans="1:4" ht="12.5">
      <c r="A920" s="186">
        <v>46155</v>
      </c>
      <c r="B920" s="184">
        <v>7002352236</v>
      </c>
      <c r="C920" s="184">
        <v>5</v>
      </c>
      <c r="D920" s="9" t="s">
        <v>751</v>
      </c>
    </row>
    <row r="921" spans="1:4" ht="12.5">
      <c r="A921" s="186">
        <v>46155</v>
      </c>
      <c r="B921" s="184">
        <v>7002352941</v>
      </c>
      <c r="C921" s="184">
        <v>24</v>
      </c>
      <c r="D921" s="9" t="s">
        <v>752</v>
      </c>
    </row>
    <row r="922" spans="1:4" ht="12.5">
      <c r="A922" s="186">
        <v>46155</v>
      </c>
      <c r="B922" s="184">
        <v>7002352994</v>
      </c>
      <c r="C922" s="184">
        <v>1</v>
      </c>
      <c r="D922" s="9" t="s">
        <v>750</v>
      </c>
    </row>
    <row r="923" spans="1:4" ht="12.5">
      <c r="A923" s="186">
        <v>46155</v>
      </c>
      <c r="B923" s="184">
        <v>7002353955</v>
      </c>
      <c r="C923" s="184">
        <v>2</v>
      </c>
      <c r="D923" s="9" t="s">
        <v>751</v>
      </c>
    </row>
    <row r="924" spans="1:4" ht="12.5">
      <c r="A924" s="186">
        <v>46155</v>
      </c>
      <c r="B924" s="184">
        <v>7002353964</v>
      </c>
      <c r="C924" s="184">
        <v>18</v>
      </c>
      <c r="D924" s="9" t="s">
        <v>752</v>
      </c>
    </row>
    <row r="925" spans="1:4" ht="12.5">
      <c r="A925" s="186">
        <v>46155</v>
      </c>
      <c r="B925" s="184">
        <v>7002354157</v>
      </c>
      <c r="C925" s="184">
        <v>14</v>
      </c>
      <c r="D925" s="9" t="s">
        <v>752</v>
      </c>
    </row>
    <row r="926" spans="1:4" ht="12.5">
      <c r="A926" s="186">
        <v>46155</v>
      </c>
      <c r="B926" s="184">
        <v>7002355221</v>
      </c>
      <c r="C926" s="184">
        <v>52</v>
      </c>
      <c r="D926" s="9" t="s">
        <v>752</v>
      </c>
    </row>
    <row r="927" spans="1:4" ht="12.5">
      <c r="A927" s="186">
        <v>46155</v>
      </c>
      <c r="B927" s="184">
        <v>7002355592</v>
      </c>
      <c r="C927" s="184">
        <v>5</v>
      </c>
      <c r="D927" s="9" t="s">
        <v>751</v>
      </c>
    </row>
    <row r="928" spans="1:4" ht="12.5">
      <c r="A928" s="186">
        <v>46155</v>
      </c>
      <c r="B928" s="184">
        <v>7002355760</v>
      </c>
      <c r="C928" s="184">
        <v>1</v>
      </c>
      <c r="D928" s="9" t="s">
        <v>750</v>
      </c>
    </row>
    <row r="929" spans="1:4" ht="12.5">
      <c r="A929" s="186">
        <v>46155</v>
      </c>
      <c r="B929" s="184">
        <v>7002355947</v>
      </c>
      <c r="C929" s="184">
        <v>33</v>
      </c>
      <c r="D929" s="9" t="s">
        <v>752</v>
      </c>
    </row>
    <row r="930" spans="1:4" ht="12.5">
      <c r="A930" s="186">
        <v>46155</v>
      </c>
      <c r="B930" s="184">
        <v>7002355952</v>
      </c>
      <c r="C930" s="184">
        <v>8</v>
      </c>
      <c r="D930" s="9" t="s">
        <v>753</v>
      </c>
    </row>
    <row r="931" spans="1:4" ht="12.5">
      <c r="A931" s="186">
        <v>46155</v>
      </c>
      <c r="B931" s="184">
        <v>7002356823</v>
      </c>
      <c r="C931" s="184">
        <v>2</v>
      </c>
      <c r="D931" s="9" t="s">
        <v>751</v>
      </c>
    </row>
    <row r="932" spans="1:4" ht="12.5">
      <c r="A932" s="186">
        <v>46155</v>
      </c>
      <c r="B932" s="184">
        <v>7002356930</v>
      </c>
      <c r="C932" s="184">
        <v>14</v>
      </c>
      <c r="D932" s="9" t="s">
        <v>752</v>
      </c>
    </row>
    <row r="933" spans="1:4" ht="12.5">
      <c r="A933" s="186">
        <v>46155</v>
      </c>
      <c r="B933" s="184">
        <v>7002356953</v>
      </c>
      <c r="C933" s="184">
        <v>65</v>
      </c>
      <c r="D933" s="9" t="s">
        <v>752</v>
      </c>
    </row>
    <row r="934" spans="1:4" ht="12.5">
      <c r="A934" s="186">
        <v>46155</v>
      </c>
      <c r="B934" s="184">
        <v>7002357252</v>
      </c>
      <c r="C934" s="184">
        <v>9</v>
      </c>
      <c r="D934" s="9" t="s">
        <v>753</v>
      </c>
    </row>
    <row r="935" spans="1:4" ht="12.5">
      <c r="A935" s="186">
        <v>46155</v>
      </c>
      <c r="B935" s="184">
        <v>7002357281</v>
      </c>
      <c r="C935" s="184">
        <v>1</v>
      </c>
      <c r="D935" s="9" t="s">
        <v>750</v>
      </c>
    </row>
    <row r="936" spans="1:4" ht="12.5">
      <c r="A936" s="186">
        <v>46155</v>
      </c>
      <c r="B936" s="184">
        <v>7002357789</v>
      </c>
      <c r="C936" s="184">
        <v>6</v>
      </c>
      <c r="D936" s="9" t="s">
        <v>753</v>
      </c>
    </row>
    <row r="937" spans="1:4" ht="12.5">
      <c r="A937" s="186">
        <v>46155</v>
      </c>
      <c r="B937" s="184">
        <v>7002357824</v>
      </c>
      <c r="C937" s="184">
        <v>4</v>
      </c>
      <c r="D937" s="9" t="s">
        <v>751</v>
      </c>
    </row>
    <row r="938" spans="1:4" ht="12.5">
      <c r="A938" s="186">
        <v>46155</v>
      </c>
      <c r="B938" s="184">
        <v>7002357949</v>
      </c>
      <c r="C938" s="184">
        <v>1</v>
      </c>
      <c r="D938" s="9" t="s">
        <v>750</v>
      </c>
    </row>
    <row r="939" spans="1:4" ht="12.5">
      <c r="A939" s="186">
        <v>46155</v>
      </c>
      <c r="B939" s="184">
        <v>7002358248</v>
      </c>
      <c r="C939" s="184">
        <v>1</v>
      </c>
      <c r="D939" s="9" t="s">
        <v>750</v>
      </c>
    </row>
    <row r="940" spans="1:4" ht="12.5">
      <c r="A940" s="186">
        <v>46155</v>
      </c>
      <c r="B940" s="184">
        <v>7002358588</v>
      </c>
      <c r="C940" s="184">
        <v>1</v>
      </c>
      <c r="D940" s="9" t="s">
        <v>750</v>
      </c>
    </row>
    <row r="941" spans="1:4" ht="12.5">
      <c r="A941" s="186">
        <v>46155</v>
      </c>
      <c r="B941" s="184">
        <v>7002358932</v>
      </c>
      <c r="C941" s="184">
        <v>13</v>
      </c>
      <c r="D941" s="9" t="s">
        <v>752</v>
      </c>
    </row>
    <row r="942" spans="1:4" ht="12.5">
      <c r="A942" s="186">
        <v>46155</v>
      </c>
      <c r="B942" s="184">
        <v>7002358945</v>
      </c>
      <c r="C942" s="184">
        <v>27</v>
      </c>
      <c r="D942" s="9" t="s">
        <v>752</v>
      </c>
    </row>
    <row r="943" spans="1:4" ht="12.5">
      <c r="A943" s="186">
        <v>46155</v>
      </c>
      <c r="B943" s="184">
        <v>7002359850</v>
      </c>
      <c r="C943" s="184">
        <v>1</v>
      </c>
      <c r="D943" s="9" t="s">
        <v>750</v>
      </c>
    </row>
    <row r="944" spans="1:4" ht="12.5">
      <c r="A944" s="186">
        <v>46155</v>
      </c>
      <c r="B944" s="184">
        <v>7002360248</v>
      </c>
      <c r="C944" s="184">
        <v>1</v>
      </c>
      <c r="D944" s="9" t="s">
        <v>750</v>
      </c>
    </row>
    <row r="945" spans="1:4" ht="12.5">
      <c r="A945" s="186">
        <v>46155</v>
      </c>
      <c r="B945" s="184">
        <v>7002361003</v>
      </c>
      <c r="C945" s="184">
        <v>6</v>
      </c>
      <c r="D945" s="9" t="s">
        <v>753</v>
      </c>
    </row>
    <row r="946" spans="1:4" ht="12.5">
      <c r="A946" s="186">
        <v>46155</v>
      </c>
      <c r="B946" s="184">
        <v>7002361019</v>
      </c>
      <c r="C946" s="184">
        <v>1</v>
      </c>
      <c r="D946" s="9" t="s">
        <v>750</v>
      </c>
    </row>
    <row r="947" spans="1:4" ht="12.5">
      <c r="A947" s="186">
        <v>46155</v>
      </c>
      <c r="B947" s="184">
        <v>7002362184</v>
      </c>
      <c r="C947" s="184">
        <v>4</v>
      </c>
      <c r="D947" s="9" t="s">
        <v>751</v>
      </c>
    </row>
    <row r="948" spans="1:4" ht="12.5">
      <c r="A948" s="186">
        <v>46155</v>
      </c>
      <c r="B948" s="184">
        <v>7002362246</v>
      </c>
      <c r="C948" s="184">
        <v>1</v>
      </c>
      <c r="D948" s="9" t="s">
        <v>750</v>
      </c>
    </row>
    <row r="949" spans="1:4" ht="12.5">
      <c r="A949" s="186">
        <v>46155</v>
      </c>
      <c r="B949" s="184">
        <v>7002362671</v>
      </c>
      <c r="C949" s="184">
        <v>33</v>
      </c>
      <c r="D949" s="9" t="s">
        <v>752</v>
      </c>
    </row>
    <row r="950" spans="1:4" ht="12.5">
      <c r="A950" s="186">
        <v>46155</v>
      </c>
      <c r="B950" s="184">
        <v>7002363064</v>
      </c>
      <c r="C950" s="184">
        <v>17</v>
      </c>
      <c r="D950" s="9" t="s">
        <v>752</v>
      </c>
    </row>
    <row r="951" spans="1:4" ht="12.5">
      <c r="A951" s="186">
        <v>46155</v>
      </c>
      <c r="B951" s="184">
        <v>7002364674</v>
      </c>
      <c r="C951" s="184">
        <v>33</v>
      </c>
      <c r="D951" s="9" t="s">
        <v>752</v>
      </c>
    </row>
    <row r="952" spans="1:4" ht="12.5">
      <c r="A952" s="186">
        <v>46155</v>
      </c>
      <c r="B952" s="184">
        <v>7002365384</v>
      </c>
      <c r="C952" s="184">
        <v>16</v>
      </c>
      <c r="D952" s="9" t="s">
        <v>752</v>
      </c>
    </row>
    <row r="953" spans="1:4" ht="12.5">
      <c r="A953" s="186">
        <v>46155</v>
      </c>
      <c r="B953" s="184">
        <v>7002365530</v>
      </c>
      <c r="C953" s="184">
        <v>7</v>
      </c>
      <c r="D953" s="9" t="s">
        <v>753</v>
      </c>
    </row>
    <row r="954" spans="1:4" ht="12.5">
      <c r="A954" s="186">
        <v>46155</v>
      </c>
      <c r="B954" s="184">
        <v>7002368382</v>
      </c>
      <c r="C954" s="184">
        <v>14</v>
      </c>
      <c r="D954" s="9" t="s">
        <v>752</v>
      </c>
    </row>
    <row r="955" spans="1:4" ht="12.5">
      <c r="A955" s="186">
        <v>46155</v>
      </c>
      <c r="B955" s="184">
        <v>7002369157</v>
      </c>
      <c r="C955" s="184">
        <v>4</v>
      </c>
      <c r="D955" s="9" t="s">
        <v>751</v>
      </c>
    </row>
    <row r="956" spans="1:4" ht="12.5">
      <c r="A956" s="186">
        <v>46155</v>
      </c>
      <c r="B956" s="184">
        <v>7002369506</v>
      </c>
      <c r="C956" s="184">
        <v>3</v>
      </c>
      <c r="D956" s="9" t="s">
        <v>751</v>
      </c>
    </row>
    <row r="957" spans="1:4" ht="12.5">
      <c r="A957" s="186">
        <v>46155</v>
      </c>
      <c r="B957" s="184">
        <v>7002370185</v>
      </c>
      <c r="C957" s="184">
        <v>17</v>
      </c>
      <c r="D957" s="9" t="s">
        <v>752</v>
      </c>
    </row>
    <row r="958" spans="1:4" ht="12.5">
      <c r="A958" s="186">
        <v>46155</v>
      </c>
      <c r="B958" s="184">
        <v>7002370192</v>
      </c>
      <c r="C958" s="184">
        <v>4</v>
      </c>
      <c r="D958" s="9" t="s">
        <v>751</v>
      </c>
    </row>
    <row r="959" spans="1:4" ht="12.5">
      <c r="A959" s="186">
        <v>46155</v>
      </c>
      <c r="B959" s="184">
        <v>7002370204</v>
      </c>
      <c r="C959" s="184">
        <v>3</v>
      </c>
      <c r="D959" s="9" t="s">
        <v>751</v>
      </c>
    </row>
    <row r="960" spans="1:4" ht="12.5">
      <c r="A960" s="186">
        <v>46155</v>
      </c>
      <c r="B960" s="184">
        <v>7002370227</v>
      </c>
      <c r="C960" s="184">
        <v>94</v>
      </c>
      <c r="D960" s="9" t="s">
        <v>752</v>
      </c>
    </row>
    <row r="961" spans="1:4" ht="12.5">
      <c r="A961" s="186">
        <v>46155</v>
      </c>
      <c r="B961" s="184">
        <v>7002370401</v>
      </c>
      <c r="C961" s="184">
        <v>3</v>
      </c>
      <c r="D961" s="9" t="s">
        <v>751</v>
      </c>
    </row>
    <row r="962" spans="1:4" ht="12.5">
      <c r="A962" s="186">
        <v>46155</v>
      </c>
      <c r="B962" s="184">
        <v>7002370734</v>
      </c>
      <c r="C962" s="184">
        <v>2</v>
      </c>
      <c r="D962" s="9" t="s">
        <v>751</v>
      </c>
    </row>
    <row r="963" spans="1:4" ht="12.5">
      <c r="A963" s="186">
        <v>46155</v>
      </c>
      <c r="B963" s="184">
        <v>7002370842</v>
      </c>
      <c r="C963" s="184">
        <v>3</v>
      </c>
      <c r="D963" s="9" t="s">
        <v>751</v>
      </c>
    </row>
    <row r="964" spans="1:4" ht="12.5">
      <c r="A964" s="186">
        <v>46155</v>
      </c>
      <c r="B964" s="184">
        <v>7002371191</v>
      </c>
      <c r="C964" s="184">
        <v>5</v>
      </c>
      <c r="D964" s="9" t="s">
        <v>751</v>
      </c>
    </row>
    <row r="965" spans="1:4" ht="12.5">
      <c r="A965" s="186">
        <v>46155</v>
      </c>
      <c r="B965" s="184">
        <v>7002371203</v>
      </c>
      <c r="C965" s="184">
        <v>4</v>
      </c>
      <c r="D965" s="9" t="s">
        <v>751</v>
      </c>
    </row>
    <row r="966" spans="1:4" ht="12.5">
      <c r="A966" s="186">
        <v>46155</v>
      </c>
      <c r="B966" s="184">
        <v>7002371219</v>
      </c>
      <c r="C966" s="184">
        <v>4</v>
      </c>
      <c r="D966" s="9" t="s">
        <v>751</v>
      </c>
    </row>
    <row r="967" spans="1:4" ht="12.5">
      <c r="A967" s="186">
        <v>46155</v>
      </c>
      <c r="B967" s="184">
        <v>7002371226</v>
      </c>
      <c r="C967" s="184">
        <v>1</v>
      </c>
      <c r="D967" s="9" t="s">
        <v>750</v>
      </c>
    </row>
    <row r="968" spans="1:4" ht="12.5">
      <c r="A968" s="186">
        <v>46155</v>
      </c>
      <c r="B968" s="184">
        <v>7002371235</v>
      </c>
      <c r="C968" s="184">
        <v>1</v>
      </c>
      <c r="D968" s="9" t="s">
        <v>750</v>
      </c>
    </row>
    <row r="969" spans="1:4" ht="12.5">
      <c r="A969" s="186">
        <v>46155</v>
      </c>
      <c r="B969" s="184">
        <v>7002371242</v>
      </c>
      <c r="C969" s="184">
        <v>8</v>
      </c>
      <c r="D969" s="9" t="s">
        <v>753</v>
      </c>
    </row>
    <row r="970" spans="1:4" ht="12.5">
      <c r="A970" s="186">
        <v>46155</v>
      </c>
      <c r="B970" s="184">
        <v>7002371345</v>
      </c>
      <c r="C970" s="184">
        <v>1</v>
      </c>
      <c r="D970" s="9" t="s">
        <v>750</v>
      </c>
    </row>
    <row r="971" spans="1:4" ht="12.5">
      <c r="A971" s="186">
        <v>46155</v>
      </c>
      <c r="B971" s="184">
        <v>7002371767</v>
      </c>
      <c r="C971" s="184">
        <v>1</v>
      </c>
      <c r="D971" s="9" t="s">
        <v>750</v>
      </c>
    </row>
    <row r="972" spans="1:4" ht="12.5">
      <c r="A972" s="186">
        <v>46155</v>
      </c>
      <c r="B972" s="184">
        <v>7002372188</v>
      </c>
      <c r="C972" s="184">
        <v>4</v>
      </c>
      <c r="D972" s="9" t="s">
        <v>751</v>
      </c>
    </row>
    <row r="973" spans="1:4" ht="12.5">
      <c r="A973" s="186">
        <v>46155</v>
      </c>
      <c r="B973" s="184">
        <v>7002372190</v>
      </c>
      <c r="C973" s="184">
        <v>4</v>
      </c>
      <c r="D973" s="9" t="s">
        <v>751</v>
      </c>
    </row>
    <row r="974" spans="1:4" ht="12.5">
      <c r="A974" s="186">
        <v>46155</v>
      </c>
      <c r="B974" s="184">
        <v>7002372202</v>
      </c>
      <c r="C974" s="184">
        <v>7</v>
      </c>
      <c r="D974" s="9" t="s">
        <v>753</v>
      </c>
    </row>
    <row r="975" spans="1:4" ht="12.5">
      <c r="A975" s="186">
        <v>46155</v>
      </c>
      <c r="B975" s="184">
        <v>7002372225</v>
      </c>
      <c r="C975" s="184">
        <v>5</v>
      </c>
      <c r="D975" s="9" t="s">
        <v>751</v>
      </c>
    </row>
    <row r="976" spans="1:4" ht="12.5">
      <c r="A976" s="186">
        <v>46155</v>
      </c>
      <c r="B976" s="184">
        <v>7002372239</v>
      </c>
      <c r="C976" s="184">
        <v>1</v>
      </c>
      <c r="D976" s="9" t="s">
        <v>750</v>
      </c>
    </row>
    <row r="977" spans="1:4" ht="12.5">
      <c r="A977" s="186">
        <v>46155</v>
      </c>
      <c r="B977" s="184">
        <v>7002372443</v>
      </c>
      <c r="C977" s="184">
        <v>2</v>
      </c>
      <c r="D977" s="9" t="s">
        <v>751</v>
      </c>
    </row>
    <row r="978" spans="1:4" ht="12.5">
      <c r="A978" s="186">
        <v>46155</v>
      </c>
      <c r="B978" s="184">
        <v>7002372682</v>
      </c>
      <c r="C978" s="184">
        <v>1</v>
      </c>
      <c r="D978" s="9" t="s">
        <v>750</v>
      </c>
    </row>
    <row r="979" spans="1:4" ht="12.5">
      <c r="A979" s="186">
        <v>46155</v>
      </c>
      <c r="B979" s="184">
        <v>7002373187</v>
      </c>
      <c r="C979" s="184">
        <v>6</v>
      </c>
      <c r="D979" s="9" t="s">
        <v>753</v>
      </c>
    </row>
    <row r="980" spans="1:4" ht="12.5">
      <c r="A980" s="186">
        <v>46155</v>
      </c>
      <c r="B980" s="184">
        <v>7002373194</v>
      </c>
      <c r="C980" s="184">
        <v>4</v>
      </c>
      <c r="D980" s="9" t="s">
        <v>751</v>
      </c>
    </row>
    <row r="981" spans="1:4" ht="12.5">
      <c r="A981" s="186">
        <v>46155</v>
      </c>
      <c r="B981" s="184">
        <v>7002373201</v>
      </c>
      <c r="C981" s="184">
        <v>5</v>
      </c>
      <c r="D981" s="9" t="s">
        <v>751</v>
      </c>
    </row>
    <row r="982" spans="1:4" ht="12.5">
      <c r="A982" s="186">
        <v>46155</v>
      </c>
      <c r="B982" s="184">
        <v>7002373217</v>
      </c>
      <c r="C982" s="184">
        <v>2</v>
      </c>
      <c r="D982" s="9" t="s">
        <v>751</v>
      </c>
    </row>
    <row r="983" spans="1:4" ht="12.5">
      <c r="A983" s="186">
        <v>46155</v>
      </c>
      <c r="B983" s="184">
        <v>7002373348</v>
      </c>
      <c r="C983" s="184">
        <v>7</v>
      </c>
      <c r="D983" s="9" t="s">
        <v>753</v>
      </c>
    </row>
    <row r="984" spans="1:4" ht="12.5">
      <c r="A984" s="186">
        <v>46155</v>
      </c>
      <c r="B984" s="184">
        <v>7002373461</v>
      </c>
      <c r="C984" s="184">
        <v>1</v>
      </c>
      <c r="D984" s="9" t="s">
        <v>750</v>
      </c>
    </row>
    <row r="985" spans="1:4" ht="12.5">
      <c r="A985" s="186">
        <v>46155</v>
      </c>
      <c r="B985" s="184">
        <v>7002373490</v>
      </c>
      <c r="C985" s="184">
        <v>1</v>
      </c>
      <c r="D985" s="9" t="s">
        <v>750</v>
      </c>
    </row>
    <row r="986" spans="1:4" ht="12.5">
      <c r="A986" s="186">
        <v>46155</v>
      </c>
      <c r="B986" s="184">
        <v>7002373828</v>
      </c>
      <c r="C986" s="184">
        <v>10</v>
      </c>
      <c r="D986" s="9" t="s">
        <v>753</v>
      </c>
    </row>
    <row r="987" spans="1:4" ht="12.5">
      <c r="A987" s="186">
        <v>46155</v>
      </c>
      <c r="B987" s="184">
        <v>7002373844</v>
      </c>
      <c r="C987" s="184">
        <v>3</v>
      </c>
      <c r="D987" s="9" t="s">
        <v>751</v>
      </c>
    </row>
    <row r="988" spans="1:4" ht="12.5">
      <c r="A988" s="186">
        <v>46155</v>
      </c>
      <c r="B988" s="184">
        <v>7002373892</v>
      </c>
      <c r="C988" s="184">
        <v>1</v>
      </c>
      <c r="D988" s="9" t="s">
        <v>750</v>
      </c>
    </row>
    <row r="989" spans="1:4" ht="12.5">
      <c r="A989" s="186">
        <v>46155</v>
      </c>
      <c r="B989" s="184">
        <v>7002374193</v>
      </c>
      <c r="C989" s="184">
        <v>4</v>
      </c>
      <c r="D989" s="9" t="s">
        <v>751</v>
      </c>
    </row>
    <row r="990" spans="1:4" ht="12.5">
      <c r="A990" s="186">
        <v>46155</v>
      </c>
      <c r="B990" s="184">
        <v>7002374200</v>
      </c>
      <c r="C990" s="184">
        <v>6</v>
      </c>
      <c r="D990" s="9" t="s">
        <v>753</v>
      </c>
    </row>
    <row r="991" spans="1:4" ht="12.5">
      <c r="A991" s="186">
        <v>46155</v>
      </c>
      <c r="B991" s="184">
        <v>7002374228</v>
      </c>
      <c r="C991" s="184">
        <v>191</v>
      </c>
      <c r="D991" s="9" t="s">
        <v>752</v>
      </c>
    </row>
    <row r="992" spans="1:4" ht="12.5">
      <c r="A992" s="186">
        <v>46155</v>
      </c>
      <c r="B992" s="184">
        <v>7002374679</v>
      </c>
      <c r="C992" s="184">
        <v>4</v>
      </c>
      <c r="D992" s="9" t="s">
        <v>751</v>
      </c>
    </row>
    <row r="993" spans="1:4" ht="12.5">
      <c r="A993" s="186">
        <v>46155</v>
      </c>
      <c r="B993" s="184">
        <v>7002374795</v>
      </c>
      <c r="C993" s="184">
        <v>9</v>
      </c>
      <c r="D993" s="9" t="s">
        <v>753</v>
      </c>
    </row>
    <row r="994" spans="1:4" ht="12.5">
      <c r="A994" s="186">
        <v>46155</v>
      </c>
      <c r="B994" s="184">
        <v>7002375198</v>
      </c>
      <c r="C994" s="184">
        <v>6</v>
      </c>
      <c r="D994" s="9" t="s">
        <v>753</v>
      </c>
    </row>
    <row r="995" spans="1:4" ht="12.5">
      <c r="A995" s="186">
        <v>46155</v>
      </c>
      <c r="B995" s="184">
        <v>7002375206</v>
      </c>
      <c r="C995" s="184">
        <v>6</v>
      </c>
      <c r="D995" s="9" t="s">
        <v>753</v>
      </c>
    </row>
    <row r="996" spans="1:4" ht="12.5">
      <c r="A996" s="186">
        <v>46155</v>
      </c>
      <c r="B996" s="184">
        <v>7002375210</v>
      </c>
      <c r="C996" s="184">
        <v>5</v>
      </c>
      <c r="D996" s="9" t="s">
        <v>751</v>
      </c>
    </row>
    <row r="997" spans="1:4" ht="12.5">
      <c r="A997" s="186">
        <v>46155</v>
      </c>
      <c r="B997" s="184">
        <v>7002375223</v>
      </c>
      <c r="C997" s="184">
        <v>1</v>
      </c>
      <c r="D997" s="9" t="s">
        <v>750</v>
      </c>
    </row>
    <row r="998" spans="1:4" ht="12.5">
      <c r="A998" s="186">
        <v>46155</v>
      </c>
      <c r="B998" s="184">
        <v>7002375234</v>
      </c>
      <c r="C998" s="184">
        <v>138</v>
      </c>
      <c r="D998" s="9" t="s">
        <v>752</v>
      </c>
    </row>
    <row r="999" spans="1:4" ht="12.5">
      <c r="A999" s="186">
        <v>46155</v>
      </c>
      <c r="B999" s="184">
        <v>7002375556</v>
      </c>
      <c r="C999" s="184">
        <v>3</v>
      </c>
      <c r="D999" s="9" t="s">
        <v>751</v>
      </c>
    </row>
    <row r="1000" spans="1:4" ht="12.5">
      <c r="A1000" s="186">
        <v>46155</v>
      </c>
      <c r="B1000" s="184">
        <v>7002375655</v>
      </c>
      <c r="C1000" s="184">
        <v>3</v>
      </c>
      <c r="D1000" s="9" t="s">
        <v>751</v>
      </c>
    </row>
    <row r="1001" spans="1:4" ht="12.5">
      <c r="A1001" s="186">
        <v>46155</v>
      </c>
      <c r="B1001" s="184">
        <v>7002375912</v>
      </c>
      <c r="C1001" s="184">
        <v>5</v>
      </c>
      <c r="D1001" s="9" t="s">
        <v>751</v>
      </c>
    </row>
    <row r="1002" spans="1:4" ht="12.5">
      <c r="A1002" s="186">
        <v>46155</v>
      </c>
      <c r="B1002" s="184">
        <v>7002376199</v>
      </c>
      <c r="C1002" s="184">
        <v>4</v>
      </c>
      <c r="D1002" s="9" t="s">
        <v>751</v>
      </c>
    </row>
    <row r="1003" spans="1:4" ht="12.5">
      <c r="A1003" s="186">
        <v>46155</v>
      </c>
      <c r="B1003" s="184">
        <v>7002376207</v>
      </c>
      <c r="C1003" s="184">
        <v>1</v>
      </c>
      <c r="D1003" s="9" t="s">
        <v>750</v>
      </c>
    </row>
    <row r="1004" spans="1:4" ht="12.5">
      <c r="A1004" s="186">
        <v>46155</v>
      </c>
      <c r="B1004" s="184">
        <v>7002376211</v>
      </c>
      <c r="C1004" s="184">
        <v>9</v>
      </c>
      <c r="D1004" s="9" t="s">
        <v>753</v>
      </c>
    </row>
    <row r="1005" spans="1:4" ht="12.5">
      <c r="A1005" s="186">
        <v>46155</v>
      </c>
      <c r="B1005" s="184">
        <v>7002376414</v>
      </c>
      <c r="C1005" s="184">
        <v>2</v>
      </c>
      <c r="D1005" s="9" t="s">
        <v>751</v>
      </c>
    </row>
    <row r="1006" spans="1:4" ht="12.5">
      <c r="A1006" s="186">
        <v>46155</v>
      </c>
      <c r="B1006" s="184">
        <v>7002376446</v>
      </c>
      <c r="C1006" s="184">
        <v>1</v>
      </c>
      <c r="D1006" s="9" t="s">
        <v>750</v>
      </c>
    </row>
    <row r="1007" spans="1:4" ht="12.5">
      <c r="A1007" s="186">
        <v>46155</v>
      </c>
      <c r="B1007" s="184">
        <v>7002376557</v>
      </c>
      <c r="C1007" s="184">
        <v>1</v>
      </c>
      <c r="D1007" s="9" t="s">
        <v>750</v>
      </c>
    </row>
    <row r="1008" spans="1:4" ht="12.5">
      <c r="A1008" s="186">
        <v>46155</v>
      </c>
      <c r="B1008" s="184">
        <v>7002376656</v>
      </c>
      <c r="C1008" s="184">
        <v>1</v>
      </c>
      <c r="D1008" s="9" t="s">
        <v>750</v>
      </c>
    </row>
    <row r="1009" spans="1:4" ht="12.5">
      <c r="A1009" s="186">
        <v>46155</v>
      </c>
      <c r="B1009" s="184">
        <v>7002376687</v>
      </c>
      <c r="C1009" s="184">
        <v>1</v>
      </c>
      <c r="D1009" s="9" t="s">
        <v>750</v>
      </c>
    </row>
    <row r="1010" spans="1:4" ht="12.5">
      <c r="A1010" s="186">
        <v>46155</v>
      </c>
      <c r="B1010" s="184">
        <v>7002377195</v>
      </c>
      <c r="C1010" s="184">
        <v>6</v>
      </c>
      <c r="D1010" s="9" t="s">
        <v>753</v>
      </c>
    </row>
    <row r="1011" spans="1:4" ht="12.5">
      <c r="A1011" s="186">
        <v>46155</v>
      </c>
      <c r="B1011" s="184">
        <v>7002377208</v>
      </c>
      <c r="C1011" s="184">
        <v>1</v>
      </c>
      <c r="D1011" s="9" t="s">
        <v>750</v>
      </c>
    </row>
    <row r="1012" spans="1:4" ht="12.5">
      <c r="A1012" s="186">
        <v>46155</v>
      </c>
      <c r="B1012" s="184">
        <v>7002377231</v>
      </c>
      <c r="C1012" s="184">
        <v>1</v>
      </c>
      <c r="D1012" s="9" t="s">
        <v>750</v>
      </c>
    </row>
    <row r="1013" spans="1:4" ht="12.5">
      <c r="A1013" s="186">
        <v>46155</v>
      </c>
      <c r="B1013" s="184">
        <v>7002377249</v>
      </c>
      <c r="C1013" s="184">
        <v>1</v>
      </c>
      <c r="D1013" s="9" t="s">
        <v>750</v>
      </c>
    </row>
    <row r="1014" spans="1:4" ht="12.5">
      <c r="A1014" s="186">
        <v>46155</v>
      </c>
      <c r="B1014" s="184">
        <v>7002377254</v>
      </c>
      <c r="C1014" s="184">
        <v>3</v>
      </c>
      <c r="D1014" s="9" t="s">
        <v>751</v>
      </c>
    </row>
    <row r="1015" spans="1:4" ht="12.5">
      <c r="A1015" s="186">
        <v>46155</v>
      </c>
      <c r="B1015" s="184">
        <v>7002377452</v>
      </c>
      <c r="C1015" s="184">
        <v>26</v>
      </c>
      <c r="D1015" s="9" t="s">
        <v>752</v>
      </c>
    </row>
    <row r="1016" spans="1:4" ht="12.5">
      <c r="A1016" s="186">
        <v>46155</v>
      </c>
      <c r="B1016" s="184">
        <v>7002377688</v>
      </c>
      <c r="C1016" s="184">
        <v>1</v>
      </c>
      <c r="D1016" s="9" t="s">
        <v>750</v>
      </c>
    </row>
    <row r="1017" spans="1:4" ht="12.5">
      <c r="A1017" s="186">
        <v>46155</v>
      </c>
      <c r="B1017" s="184">
        <v>7002378196</v>
      </c>
      <c r="C1017" s="184">
        <v>6</v>
      </c>
      <c r="D1017" s="9" t="s">
        <v>753</v>
      </c>
    </row>
    <row r="1018" spans="1:4" ht="12.5">
      <c r="A1018" s="186">
        <v>46155</v>
      </c>
      <c r="B1018" s="184">
        <v>7002378209</v>
      </c>
      <c r="C1018" s="184">
        <v>6</v>
      </c>
      <c r="D1018" s="9" t="s">
        <v>753</v>
      </c>
    </row>
    <row r="1019" spans="1:4" ht="12.5">
      <c r="A1019" s="186">
        <v>46155</v>
      </c>
      <c r="B1019" s="184">
        <v>7002378221</v>
      </c>
      <c r="C1019" s="184">
        <v>3</v>
      </c>
      <c r="D1019" s="9" t="s">
        <v>751</v>
      </c>
    </row>
    <row r="1020" spans="1:4" ht="12.5">
      <c r="A1020" s="186">
        <v>46155</v>
      </c>
      <c r="B1020" s="184">
        <v>7002378448</v>
      </c>
      <c r="C1020" s="184">
        <v>1</v>
      </c>
      <c r="D1020" s="9" t="s">
        <v>750</v>
      </c>
    </row>
    <row r="1021" spans="1:4" ht="12.5">
      <c r="A1021" s="186">
        <v>46155</v>
      </c>
      <c r="B1021" s="184">
        <v>7002378500</v>
      </c>
      <c r="C1021" s="184">
        <v>4</v>
      </c>
      <c r="D1021" s="9" t="s">
        <v>751</v>
      </c>
    </row>
    <row r="1022" spans="1:4" ht="12.5">
      <c r="A1022" s="186">
        <v>46155</v>
      </c>
      <c r="B1022" s="184">
        <v>7002378975</v>
      </c>
      <c r="C1022" s="184">
        <v>6</v>
      </c>
      <c r="D1022" s="9" t="s">
        <v>753</v>
      </c>
    </row>
    <row r="1023" spans="1:4" ht="12.5">
      <c r="A1023" s="186">
        <v>46155</v>
      </c>
      <c r="B1023" s="184">
        <v>7002379184</v>
      </c>
      <c r="C1023" s="184">
        <v>2</v>
      </c>
      <c r="D1023" s="9" t="s">
        <v>751</v>
      </c>
    </row>
    <row r="1024" spans="1:4" ht="12.5">
      <c r="A1024" s="186">
        <v>46155</v>
      </c>
      <c r="B1024" s="184">
        <v>7002379197</v>
      </c>
      <c r="C1024" s="184">
        <v>3</v>
      </c>
      <c r="D1024" s="9" t="s">
        <v>751</v>
      </c>
    </row>
    <row r="1025" spans="1:4" ht="12.5">
      <c r="A1025" s="186">
        <v>46155</v>
      </c>
      <c r="B1025" s="184">
        <v>7002379205</v>
      </c>
      <c r="C1025" s="184">
        <v>8</v>
      </c>
      <c r="D1025" s="9" t="s">
        <v>753</v>
      </c>
    </row>
    <row r="1026" spans="1:4" ht="12.5">
      <c r="A1026" s="186">
        <v>46155</v>
      </c>
      <c r="B1026" s="184">
        <v>7002379251</v>
      </c>
      <c r="C1026" s="184">
        <v>1</v>
      </c>
      <c r="D1026" s="9" t="s">
        <v>750</v>
      </c>
    </row>
    <row r="1027" spans="1:4" ht="12.5">
      <c r="A1027" s="186">
        <v>46155</v>
      </c>
      <c r="B1027" s="184">
        <v>7002379343</v>
      </c>
      <c r="C1027" s="184">
        <v>11</v>
      </c>
      <c r="D1027" s="9" t="s">
        <v>752</v>
      </c>
    </row>
    <row r="1028" spans="1:4" ht="12.5">
      <c r="A1028" s="186">
        <v>46155</v>
      </c>
      <c r="B1028" s="184">
        <v>7002379663</v>
      </c>
      <c r="C1028" s="184">
        <v>8</v>
      </c>
      <c r="D1028" s="9" t="s">
        <v>753</v>
      </c>
    </row>
    <row r="1029" spans="1:4" ht="12.5">
      <c r="A1029" s="186">
        <v>46155</v>
      </c>
      <c r="B1029" s="184">
        <v>7002379875</v>
      </c>
      <c r="C1029" s="184">
        <v>2</v>
      </c>
      <c r="D1029" s="9" t="s">
        <v>751</v>
      </c>
    </row>
    <row r="1030" spans="1:4" ht="12.5">
      <c r="A1030" s="186">
        <v>46155</v>
      </c>
      <c r="B1030" s="184">
        <v>7002380002</v>
      </c>
      <c r="C1030" s="184">
        <v>4</v>
      </c>
      <c r="D1030" s="9" t="s">
        <v>751</v>
      </c>
    </row>
    <row r="1031" spans="1:4" ht="12.5">
      <c r="A1031" s="191"/>
      <c r="B1031" s="192"/>
      <c r="C1031" s="192"/>
      <c r="D1031" s="136"/>
    </row>
    <row r="1032" spans="1:4" ht="12.5">
      <c r="A1032" s="186">
        <v>46156</v>
      </c>
      <c r="B1032" s="184">
        <v>7001727096</v>
      </c>
      <c r="C1032" s="184">
        <v>1</v>
      </c>
      <c r="D1032" s="9" t="s">
        <v>757</v>
      </c>
    </row>
    <row r="1033" spans="1:4" ht="12.5">
      <c r="A1033" s="186">
        <v>46156</v>
      </c>
      <c r="B1033" s="184">
        <v>7002270362</v>
      </c>
      <c r="C1033" s="184">
        <v>26</v>
      </c>
      <c r="D1033" s="9" t="s">
        <v>752</v>
      </c>
    </row>
    <row r="1034" spans="1:4" ht="12.5">
      <c r="A1034" s="186">
        <v>46156</v>
      </c>
      <c r="B1034" s="184">
        <v>7002278887</v>
      </c>
      <c r="C1034" s="184">
        <v>3</v>
      </c>
      <c r="D1034" s="9" t="s">
        <v>751</v>
      </c>
    </row>
    <row r="1035" spans="1:4" ht="12.5">
      <c r="A1035" s="186">
        <v>46156</v>
      </c>
      <c r="B1035" s="184">
        <v>7002357281</v>
      </c>
      <c r="C1035" s="184">
        <v>1</v>
      </c>
      <c r="D1035" s="9" t="s">
        <v>757</v>
      </c>
    </row>
    <row r="1036" spans="1:4" ht="12.5">
      <c r="A1036" s="186">
        <v>46156</v>
      </c>
      <c r="B1036" s="184">
        <v>7002367310</v>
      </c>
      <c r="C1036" s="184">
        <v>1</v>
      </c>
      <c r="D1036" s="9" t="s">
        <v>757</v>
      </c>
    </row>
    <row r="1037" spans="1:4" ht="12.5">
      <c r="A1037" s="186">
        <v>46156</v>
      </c>
      <c r="B1037" s="184">
        <v>7002370890</v>
      </c>
      <c r="C1037" s="184">
        <v>1</v>
      </c>
      <c r="D1037" s="9" t="s">
        <v>757</v>
      </c>
    </row>
    <row r="1038" spans="1:4" ht="12.5">
      <c r="A1038" s="186">
        <v>46156</v>
      </c>
      <c r="B1038" s="184">
        <v>7002375413</v>
      </c>
      <c r="C1038" s="184">
        <v>1</v>
      </c>
      <c r="D1038" s="9" t="s">
        <v>757</v>
      </c>
    </row>
    <row r="1039" spans="1:4" ht="12.5">
      <c r="A1039" s="186">
        <v>46156</v>
      </c>
      <c r="B1039" s="184">
        <v>7002377220</v>
      </c>
      <c r="C1039" s="184">
        <v>16</v>
      </c>
      <c r="D1039" s="9" t="s">
        <v>752</v>
      </c>
    </row>
    <row r="1040" spans="1:4" ht="12.5">
      <c r="A1040" s="186">
        <v>46156</v>
      </c>
      <c r="B1040" s="184">
        <v>7002377626</v>
      </c>
      <c r="C1040" s="184">
        <v>1</v>
      </c>
      <c r="D1040" s="9" t="s">
        <v>757</v>
      </c>
    </row>
    <row r="1041" spans="1:4" ht="12.5">
      <c r="A1041" s="186">
        <v>46156</v>
      </c>
      <c r="B1041" s="184">
        <v>7002377690</v>
      </c>
      <c r="C1041" s="184">
        <v>1</v>
      </c>
      <c r="D1041" s="9" t="s">
        <v>757</v>
      </c>
    </row>
    <row r="1042" spans="1:4" ht="12.5">
      <c r="A1042" s="186">
        <v>46156</v>
      </c>
      <c r="B1042" s="184">
        <v>7002378615</v>
      </c>
      <c r="C1042" s="184">
        <v>6</v>
      </c>
      <c r="D1042" s="9" t="s">
        <v>758</v>
      </c>
    </row>
    <row r="1043" spans="1:4" ht="12.5">
      <c r="A1043" s="186">
        <v>46156</v>
      </c>
      <c r="B1043" s="184">
        <v>7002380094</v>
      </c>
      <c r="C1043" s="184">
        <v>3</v>
      </c>
      <c r="D1043" s="9" t="s">
        <v>751</v>
      </c>
    </row>
    <row r="1044" spans="1:4" ht="12.5">
      <c r="A1044" s="186">
        <v>46156</v>
      </c>
      <c r="B1044" s="184">
        <v>7002380166</v>
      </c>
      <c r="C1044" s="184">
        <v>2</v>
      </c>
      <c r="D1044" s="9" t="s">
        <v>751</v>
      </c>
    </row>
    <row r="1045" spans="1:4" ht="12.5">
      <c r="A1045" s="186">
        <v>46156</v>
      </c>
      <c r="B1045" s="184">
        <v>7002380233</v>
      </c>
      <c r="C1045" s="184">
        <v>2</v>
      </c>
      <c r="D1045" s="9" t="s">
        <v>751</v>
      </c>
    </row>
    <row r="1046" spans="1:4" ht="12.5">
      <c r="A1046" s="186">
        <v>46156</v>
      </c>
      <c r="B1046" s="184">
        <v>7002380644</v>
      </c>
      <c r="C1046" s="184">
        <v>12</v>
      </c>
      <c r="D1046" s="9" t="s">
        <v>752</v>
      </c>
    </row>
    <row r="1047" spans="1:4" ht="12.5">
      <c r="A1047" s="186">
        <v>46156</v>
      </c>
      <c r="B1047" s="184">
        <v>7002381038</v>
      </c>
      <c r="C1047" s="184">
        <v>33</v>
      </c>
      <c r="D1047" s="9" t="s">
        <v>752</v>
      </c>
    </row>
    <row r="1048" spans="1:4" ht="12.5">
      <c r="A1048" s="186">
        <v>46156</v>
      </c>
      <c r="B1048" s="184">
        <v>7002381064</v>
      </c>
      <c r="C1048" s="184">
        <v>3</v>
      </c>
      <c r="D1048" s="9" t="s">
        <v>751</v>
      </c>
    </row>
    <row r="1049" spans="1:4" ht="12.5">
      <c r="A1049" s="186">
        <v>46156</v>
      </c>
      <c r="B1049" s="184">
        <v>7002381093</v>
      </c>
      <c r="C1049" s="184">
        <v>4</v>
      </c>
      <c r="D1049" s="9" t="s">
        <v>751</v>
      </c>
    </row>
    <row r="1050" spans="1:4" ht="12.5">
      <c r="A1050" s="186">
        <v>46156</v>
      </c>
      <c r="B1050" s="184">
        <v>7002381131</v>
      </c>
      <c r="C1050" s="184">
        <v>3</v>
      </c>
      <c r="D1050" s="9" t="s">
        <v>751</v>
      </c>
    </row>
    <row r="1051" spans="1:4" ht="12.5">
      <c r="A1051" s="186">
        <v>46156</v>
      </c>
      <c r="B1051" s="184">
        <v>7002381177</v>
      </c>
      <c r="C1051" s="184">
        <v>1</v>
      </c>
      <c r="D1051" s="9" t="s">
        <v>757</v>
      </c>
    </row>
    <row r="1052" spans="1:4" ht="12.5">
      <c r="A1052" s="186">
        <v>46156</v>
      </c>
      <c r="B1052" s="184">
        <v>7002381232</v>
      </c>
      <c r="C1052" s="184">
        <v>3</v>
      </c>
      <c r="D1052" s="9" t="s">
        <v>751</v>
      </c>
    </row>
    <row r="1053" spans="1:4" ht="12.5">
      <c r="A1053" s="186">
        <v>46156</v>
      </c>
      <c r="B1053" s="184">
        <v>7002381528</v>
      </c>
      <c r="C1053" s="184">
        <v>7</v>
      </c>
      <c r="D1053" s="9" t="s">
        <v>758</v>
      </c>
    </row>
    <row r="1054" spans="1:4" ht="12.5">
      <c r="A1054" s="186">
        <v>46156</v>
      </c>
      <c r="B1054" s="184">
        <v>7002382044</v>
      </c>
      <c r="C1054" s="184">
        <v>2</v>
      </c>
      <c r="D1054" s="9" t="s">
        <v>751</v>
      </c>
    </row>
    <row r="1055" spans="1:4" ht="12.5">
      <c r="A1055" s="186">
        <v>46156</v>
      </c>
      <c r="B1055" s="184">
        <v>7002382059</v>
      </c>
      <c r="C1055" s="184">
        <v>2</v>
      </c>
      <c r="D1055" s="9" t="s">
        <v>751</v>
      </c>
    </row>
    <row r="1056" spans="1:4" ht="12.5">
      <c r="A1056" s="186">
        <v>46156</v>
      </c>
      <c r="B1056" s="184">
        <v>7002382063</v>
      </c>
      <c r="C1056" s="184">
        <v>21</v>
      </c>
      <c r="D1056" s="9" t="s">
        <v>752</v>
      </c>
    </row>
    <row r="1057" spans="1:4" ht="12.5">
      <c r="A1057" s="186">
        <v>46156</v>
      </c>
      <c r="B1057" s="184">
        <v>7002382085</v>
      </c>
      <c r="C1057" s="184">
        <v>1</v>
      </c>
      <c r="D1057" s="9" t="s">
        <v>757</v>
      </c>
    </row>
    <row r="1058" spans="1:4" ht="12.5">
      <c r="A1058" s="186">
        <v>46156</v>
      </c>
      <c r="B1058" s="184">
        <v>7002382176</v>
      </c>
      <c r="C1058" s="184">
        <v>2</v>
      </c>
      <c r="D1058" s="9" t="s">
        <v>751</v>
      </c>
    </row>
    <row r="1059" spans="1:4" ht="12.5">
      <c r="A1059" s="186">
        <v>46156</v>
      </c>
      <c r="B1059" s="184">
        <v>7002382231</v>
      </c>
      <c r="C1059" s="184">
        <v>4</v>
      </c>
      <c r="D1059" s="9" t="s">
        <v>751</v>
      </c>
    </row>
    <row r="1060" spans="1:4" ht="12.5">
      <c r="A1060" s="186">
        <v>46156</v>
      </c>
      <c r="B1060" s="184">
        <v>7002382570</v>
      </c>
      <c r="C1060" s="184">
        <v>1</v>
      </c>
      <c r="D1060" s="9" t="s">
        <v>757</v>
      </c>
    </row>
    <row r="1061" spans="1:4" ht="12.5">
      <c r="A1061" s="186">
        <v>46156</v>
      </c>
      <c r="B1061" s="184">
        <v>7002384105</v>
      </c>
      <c r="C1061" s="184">
        <v>1</v>
      </c>
      <c r="D1061" s="9" t="s">
        <v>757</v>
      </c>
    </row>
    <row r="1062" spans="1:4" ht="12.5">
      <c r="A1062" s="186">
        <v>46156</v>
      </c>
      <c r="B1062" s="184">
        <v>7002384122</v>
      </c>
      <c r="C1062" s="184">
        <v>2</v>
      </c>
      <c r="D1062" s="9" t="s">
        <v>751</v>
      </c>
    </row>
    <row r="1063" spans="1:4" ht="12.5">
      <c r="A1063" s="186">
        <v>46156</v>
      </c>
      <c r="B1063" s="184">
        <v>7002384223</v>
      </c>
      <c r="C1063" s="184">
        <v>2</v>
      </c>
      <c r="D1063" s="9" t="s">
        <v>751</v>
      </c>
    </row>
    <row r="1064" spans="1:4" ht="12.5">
      <c r="A1064" s="186">
        <v>46156</v>
      </c>
      <c r="B1064" s="184">
        <v>7002384594</v>
      </c>
      <c r="C1064" s="184">
        <v>1</v>
      </c>
      <c r="D1064" s="9" t="s">
        <v>757</v>
      </c>
    </row>
    <row r="1065" spans="1:4" ht="12.5">
      <c r="A1065" s="186">
        <v>46156</v>
      </c>
      <c r="B1065" s="184">
        <v>7002385117</v>
      </c>
      <c r="C1065" s="184">
        <v>6</v>
      </c>
      <c r="D1065" s="9" t="s">
        <v>758</v>
      </c>
    </row>
    <row r="1066" spans="1:4" ht="12.5">
      <c r="A1066" s="186">
        <v>46156</v>
      </c>
      <c r="B1066" s="184">
        <v>7002385172</v>
      </c>
      <c r="C1066" s="184">
        <v>3</v>
      </c>
      <c r="D1066" s="9" t="s">
        <v>751</v>
      </c>
    </row>
    <row r="1067" spans="1:4" ht="12.5">
      <c r="A1067" s="186">
        <v>46156</v>
      </c>
      <c r="B1067" s="184">
        <v>7002385622</v>
      </c>
      <c r="C1067" s="184">
        <v>3</v>
      </c>
      <c r="D1067" s="9" t="s">
        <v>751</v>
      </c>
    </row>
    <row r="1068" spans="1:4" ht="12.5">
      <c r="A1068" s="186">
        <v>46156</v>
      </c>
      <c r="B1068" s="184">
        <v>7002386013</v>
      </c>
      <c r="C1068" s="184">
        <v>2</v>
      </c>
      <c r="D1068" s="9" t="s">
        <v>751</v>
      </c>
    </row>
    <row r="1069" spans="1:4" ht="12.5">
      <c r="A1069" s="186">
        <v>46156</v>
      </c>
      <c r="B1069" s="184">
        <v>7002386050</v>
      </c>
      <c r="C1069" s="184">
        <v>1</v>
      </c>
      <c r="D1069" s="9" t="s">
        <v>757</v>
      </c>
    </row>
    <row r="1070" spans="1:4" ht="12.5">
      <c r="A1070" s="186">
        <v>46156</v>
      </c>
      <c r="B1070" s="184">
        <v>7002386084</v>
      </c>
      <c r="C1070" s="184">
        <v>36</v>
      </c>
      <c r="D1070" s="9" t="s">
        <v>752</v>
      </c>
    </row>
    <row r="1071" spans="1:4" ht="12.5">
      <c r="A1071" s="186">
        <v>46156</v>
      </c>
      <c r="B1071" s="184">
        <v>7002386125</v>
      </c>
      <c r="C1071" s="184">
        <v>4</v>
      </c>
      <c r="D1071" s="9" t="s">
        <v>751</v>
      </c>
    </row>
    <row r="1072" spans="1:4" ht="12.5">
      <c r="A1072" s="186">
        <v>46156</v>
      </c>
      <c r="B1072" s="184">
        <v>7002386173</v>
      </c>
      <c r="C1072" s="184">
        <v>2</v>
      </c>
      <c r="D1072" s="9" t="s">
        <v>751</v>
      </c>
    </row>
    <row r="1073" spans="1:4" ht="12.5">
      <c r="A1073" s="186">
        <v>46156</v>
      </c>
      <c r="B1073" s="184">
        <v>7002386187</v>
      </c>
      <c r="C1073" s="184">
        <v>2</v>
      </c>
      <c r="D1073" s="9" t="s">
        <v>751</v>
      </c>
    </row>
    <row r="1074" spans="1:4" ht="12.5">
      <c r="A1074" s="186">
        <v>46156</v>
      </c>
      <c r="B1074" s="184">
        <v>7002386229</v>
      </c>
      <c r="C1074" s="184">
        <v>3</v>
      </c>
      <c r="D1074" s="9" t="s">
        <v>751</v>
      </c>
    </row>
    <row r="1075" spans="1:4" ht="12.5">
      <c r="A1075" s="186">
        <v>46156</v>
      </c>
      <c r="B1075" s="184">
        <v>7002386238</v>
      </c>
      <c r="C1075" s="184">
        <v>2</v>
      </c>
      <c r="D1075" s="9" t="s">
        <v>751</v>
      </c>
    </row>
    <row r="1076" spans="1:4" ht="12.5">
      <c r="A1076" s="186">
        <v>46156</v>
      </c>
      <c r="B1076" s="184">
        <v>7002386490</v>
      </c>
      <c r="C1076" s="184">
        <v>3</v>
      </c>
      <c r="D1076" s="9" t="s">
        <v>751</v>
      </c>
    </row>
    <row r="1077" spans="1:4" ht="12.5">
      <c r="A1077" s="186">
        <v>46156</v>
      </c>
      <c r="B1077" s="184">
        <v>7002386567</v>
      </c>
      <c r="C1077" s="184">
        <v>1</v>
      </c>
      <c r="D1077" s="9" t="s">
        <v>757</v>
      </c>
    </row>
    <row r="1078" spans="1:4" ht="12.5">
      <c r="A1078" s="186">
        <v>46156</v>
      </c>
      <c r="B1078" s="184">
        <v>7002386668</v>
      </c>
      <c r="C1078" s="184">
        <v>2</v>
      </c>
      <c r="D1078" s="9" t="s">
        <v>751</v>
      </c>
    </row>
    <row r="1079" spans="1:4" ht="12.5">
      <c r="A1079" s="186">
        <v>46156</v>
      </c>
      <c r="B1079" s="184">
        <v>7002387022</v>
      </c>
      <c r="C1079" s="184">
        <v>4</v>
      </c>
      <c r="D1079" s="9" t="s">
        <v>751</v>
      </c>
    </row>
    <row r="1080" spans="1:4" ht="12.5">
      <c r="A1080" s="186">
        <v>46156</v>
      </c>
      <c r="B1080" s="184">
        <v>7002387241</v>
      </c>
      <c r="C1080" s="184">
        <v>6</v>
      </c>
      <c r="D1080" s="9" t="s">
        <v>758</v>
      </c>
    </row>
    <row r="1081" spans="1:4" ht="12.5">
      <c r="A1081" s="186">
        <v>46156</v>
      </c>
      <c r="B1081" s="184">
        <v>7002387709</v>
      </c>
      <c r="C1081" s="184">
        <v>1</v>
      </c>
      <c r="D1081" s="9" t="s">
        <v>757</v>
      </c>
    </row>
    <row r="1082" spans="1:4" ht="12.5">
      <c r="A1082" s="186">
        <v>46156</v>
      </c>
      <c r="B1082" s="184">
        <v>7002388047</v>
      </c>
      <c r="C1082" s="184">
        <v>102</v>
      </c>
      <c r="D1082" s="9" t="s">
        <v>752</v>
      </c>
    </row>
    <row r="1083" spans="1:4" ht="12.5">
      <c r="A1083" s="186">
        <v>46156</v>
      </c>
      <c r="B1083" s="184">
        <v>7002388081</v>
      </c>
      <c r="C1083" s="184">
        <v>2</v>
      </c>
      <c r="D1083" s="9" t="s">
        <v>751</v>
      </c>
    </row>
    <row r="1084" spans="1:4" ht="12.5">
      <c r="A1084" s="186">
        <v>46156</v>
      </c>
      <c r="B1084" s="184">
        <v>7002388099</v>
      </c>
      <c r="C1084" s="184">
        <v>3</v>
      </c>
      <c r="D1084" s="9" t="s">
        <v>751</v>
      </c>
    </row>
    <row r="1085" spans="1:4" ht="12.5">
      <c r="A1085" s="186">
        <v>46156</v>
      </c>
      <c r="B1085" s="184">
        <v>7002388158</v>
      </c>
      <c r="C1085" s="184">
        <v>2</v>
      </c>
      <c r="D1085" s="9" t="s">
        <v>751</v>
      </c>
    </row>
    <row r="1086" spans="1:4" ht="12.5">
      <c r="A1086" s="186">
        <v>46156</v>
      </c>
      <c r="B1086" s="184">
        <v>7002388162</v>
      </c>
      <c r="C1086" s="184">
        <v>1</v>
      </c>
      <c r="D1086" s="9" t="s">
        <v>757</v>
      </c>
    </row>
    <row r="1087" spans="1:4" ht="12.5">
      <c r="A1087" s="186">
        <v>46156</v>
      </c>
      <c r="B1087" s="184">
        <v>7002388191</v>
      </c>
      <c r="C1087" s="184">
        <v>3</v>
      </c>
      <c r="D1087" s="9" t="s">
        <v>751</v>
      </c>
    </row>
    <row r="1088" spans="1:4" ht="12.5">
      <c r="A1088" s="186">
        <v>46156</v>
      </c>
      <c r="B1088" s="184">
        <v>7002388219</v>
      </c>
      <c r="C1088" s="184">
        <v>1</v>
      </c>
      <c r="D1088" s="9" t="s">
        <v>757</v>
      </c>
    </row>
    <row r="1089" spans="1:4" ht="12.5">
      <c r="A1089" s="186">
        <v>46156</v>
      </c>
      <c r="B1089" s="184">
        <v>7002388321</v>
      </c>
      <c r="C1089" s="184">
        <v>3</v>
      </c>
      <c r="D1089" s="9" t="s">
        <v>751</v>
      </c>
    </row>
    <row r="1090" spans="1:4" ht="12.5">
      <c r="A1090" s="186">
        <v>46156</v>
      </c>
      <c r="B1090" s="184">
        <v>7002388683</v>
      </c>
      <c r="C1090" s="184">
        <v>3</v>
      </c>
      <c r="D1090" s="9" t="s">
        <v>751</v>
      </c>
    </row>
    <row r="1091" spans="1:4" ht="12.5">
      <c r="A1091" s="186">
        <v>46156</v>
      </c>
      <c r="B1091" s="184">
        <v>7002388798</v>
      </c>
      <c r="C1091" s="184">
        <v>3</v>
      </c>
      <c r="D1091" s="9" t="s">
        <v>751</v>
      </c>
    </row>
    <row r="1092" spans="1:4" ht="12.5">
      <c r="A1092" s="186">
        <v>46156</v>
      </c>
      <c r="B1092" s="184">
        <v>7002389048</v>
      </c>
      <c r="C1092" s="184">
        <v>5</v>
      </c>
      <c r="D1092" s="9" t="s">
        <v>751</v>
      </c>
    </row>
    <row r="1093" spans="1:4" ht="12.5">
      <c r="A1093" s="186">
        <v>46156</v>
      </c>
      <c r="B1093" s="184">
        <v>7002389069</v>
      </c>
      <c r="C1093" s="184">
        <v>5</v>
      </c>
      <c r="D1093" s="9" t="s">
        <v>751</v>
      </c>
    </row>
    <row r="1094" spans="1:4" ht="12.5">
      <c r="A1094" s="186">
        <v>46156</v>
      </c>
      <c r="B1094" s="184">
        <v>7002389076</v>
      </c>
      <c r="C1094" s="184">
        <v>2</v>
      </c>
      <c r="D1094" s="9" t="s">
        <v>751</v>
      </c>
    </row>
    <row r="1095" spans="1:4" ht="12.5">
      <c r="A1095" s="186">
        <v>46156</v>
      </c>
      <c r="B1095" s="184">
        <v>7002389678</v>
      </c>
      <c r="C1095" s="184">
        <v>5</v>
      </c>
      <c r="D1095" s="9" t="s">
        <v>751</v>
      </c>
    </row>
    <row r="1096" spans="1:4" ht="12.5">
      <c r="A1096" s="186">
        <v>46156</v>
      </c>
      <c r="B1096" s="184">
        <v>7002389857</v>
      </c>
      <c r="C1096" s="184">
        <v>1</v>
      </c>
      <c r="D1096" s="9" t="s">
        <v>757</v>
      </c>
    </row>
    <row r="1097" spans="1:4" ht="12.5">
      <c r="A1097" s="186">
        <v>46156</v>
      </c>
      <c r="B1097" s="184">
        <v>7002390115</v>
      </c>
      <c r="C1097" s="184">
        <v>1</v>
      </c>
      <c r="D1097" s="9" t="s">
        <v>757</v>
      </c>
    </row>
    <row r="1098" spans="1:4" ht="12.5">
      <c r="A1098" s="186">
        <v>46156</v>
      </c>
      <c r="B1098" s="184">
        <v>7002391067</v>
      </c>
      <c r="C1098" s="184">
        <v>60</v>
      </c>
      <c r="D1098" s="9" t="s">
        <v>752</v>
      </c>
    </row>
    <row r="1099" spans="1:4" ht="12.5">
      <c r="A1099" s="186">
        <v>46156</v>
      </c>
      <c r="B1099" s="184">
        <v>7002391079</v>
      </c>
      <c r="C1099" s="184">
        <v>1</v>
      </c>
      <c r="D1099" s="9" t="s">
        <v>757</v>
      </c>
    </row>
    <row r="1100" spans="1:4" ht="12.5">
      <c r="A1100" s="186">
        <v>46156</v>
      </c>
      <c r="B1100" s="184">
        <v>7002391142</v>
      </c>
      <c r="C1100" s="184">
        <v>1</v>
      </c>
      <c r="D1100" s="9" t="s">
        <v>757</v>
      </c>
    </row>
    <row r="1101" spans="1:4" ht="12.5">
      <c r="A1101" s="186">
        <v>46156</v>
      </c>
      <c r="B1101" s="184">
        <v>7002391190</v>
      </c>
      <c r="C1101" s="184">
        <v>1</v>
      </c>
      <c r="D1101" s="9" t="s">
        <v>757</v>
      </c>
    </row>
    <row r="1102" spans="1:4" ht="12.5">
      <c r="A1102" s="186">
        <v>46156</v>
      </c>
      <c r="B1102" s="184">
        <v>7002392078</v>
      </c>
      <c r="C1102" s="184">
        <v>8</v>
      </c>
      <c r="D1102" s="9" t="s">
        <v>758</v>
      </c>
    </row>
    <row r="1103" spans="1:4" ht="12.5">
      <c r="A1103" s="186">
        <v>46156</v>
      </c>
      <c r="B1103" s="184">
        <v>7002392156</v>
      </c>
      <c r="C1103" s="184">
        <v>2</v>
      </c>
      <c r="D1103" s="9" t="s">
        <v>751</v>
      </c>
    </row>
    <row r="1104" spans="1:4" ht="12.5">
      <c r="A1104" s="186">
        <v>46156</v>
      </c>
      <c r="B1104" s="184">
        <v>7002392194</v>
      </c>
      <c r="C1104" s="184">
        <v>1</v>
      </c>
      <c r="D1104" s="9" t="s">
        <v>757</v>
      </c>
    </row>
    <row r="1105" spans="1:4" ht="12.5">
      <c r="A1105" s="186">
        <v>46156</v>
      </c>
      <c r="B1105" s="184">
        <v>7002392731</v>
      </c>
      <c r="C1105" s="184">
        <v>1</v>
      </c>
      <c r="D1105" s="9" t="s">
        <v>757</v>
      </c>
    </row>
    <row r="1106" spans="1:4" ht="12.5">
      <c r="A1106" s="186">
        <v>46156</v>
      </c>
      <c r="B1106" s="184">
        <v>7002392970</v>
      </c>
      <c r="C1106" s="184">
        <v>2</v>
      </c>
      <c r="D1106" s="9" t="s">
        <v>751</v>
      </c>
    </row>
    <row r="1107" spans="1:4" ht="12.5">
      <c r="A1107" s="186">
        <v>46156</v>
      </c>
      <c r="B1107" s="184">
        <v>7002393096</v>
      </c>
      <c r="C1107" s="184">
        <v>1</v>
      </c>
      <c r="D1107" s="9" t="s">
        <v>757</v>
      </c>
    </row>
    <row r="1108" spans="1:4" ht="12.5">
      <c r="A1108" s="186">
        <v>46156</v>
      </c>
      <c r="B1108" s="184">
        <v>7002393707</v>
      </c>
      <c r="C1108" s="184">
        <v>14</v>
      </c>
      <c r="D1108" s="9" t="s">
        <v>752</v>
      </c>
    </row>
    <row r="1109" spans="1:4" ht="12.5">
      <c r="A1109" s="186">
        <v>46156</v>
      </c>
      <c r="B1109" s="184">
        <v>7002394076</v>
      </c>
      <c r="C1109" s="184">
        <v>3</v>
      </c>
      <c r="D1109" s="9" t="s">
        <v>751</v>
      </c>
    </row>
    <row r="1110" spans="1:4" ht="12.5">
      <c r="A1110" s="186">
        <v>46156</v>
      </c>
      <c r="B1110" s="184">
        <v>7002394100</v>
      </c>
      <c r="C1110" s="184">
        <v>2</v>
      </c>
      <c r="D1110" s="9" t="s">
        <v>751</v>
      </c>
    </row>
    <row r="1111" spans="1:4" ht="12.5">
      <c r="A1111" s="186">
        <v>46156</v>
      </c>
      <c r="B1111" s="184">
        <v>7002394128</v>
      </c>
      <c r="C1111" s="184">
        <v>1</v>
      </c>
      <c r="D1111" s="9" t="s">
        <v>757</v>
      </c>
    </row>
    <row r="1112" spans="1:4" ht="12.5">
      <c r="A1112" s="186">
        <v>46156</v>
      </c>
      <c r="B1112" s="184">
        <v>7002394163</v>
      </c>
      <c r="C1112" s="184">
        <v>1</v>
      </c>
      <c r="D1112" s="9" t="s">
        <v>757</v>
      </c>
    </row>
    <row r="1113" spans="1:4" ht="12.5">
      <c r="A1113" s="186">
        <v>46156</v>
      </c>
      <c r="B1113" s="184">
        <v>7002394185</v>
      </c>
      <c r="C1113" s="184">
        <v>1</v>
      </c>
      <c r="D1113" s="9" t="s">
        <v>757</v>
      </c>
    </row>
    <row r="1114" spans="1:4" ht="12.5">
      <c r="A1114" s="186">
        <v>46156</v>
      </c>
      <c r="B1114" s="184">
        <v>7002394243</v>
      </c>
      <c r="C1114" s="184">
        <v>8</v>
      </c>
      <c r="D1114" s="9" t="s">
        <v>758</v>
      </c>
    </row>
    <row r="1115" spans="1:4" ht="12.5">
      <c r="A1115" s="186">
        <v>46156</v>
      </c>
      <c r="B1115" s="184">
        <v>7002394632</v>
      </c>
      <c r="C1115" s="184">
        <v>1</v>
      </c>
      <c r="D1115" s="9" t="s">
        <v>757</v>
      </c>
    </row>
    <row r="1116" spans="1:4" ht="12.5">
      <c r="A1116" s="186">
        <v>46156</v>
      </c>
      <c r="B1116" s="184">
        <v>7002395089</v>
      </c>
      <c r="C1116" s="184">
        <v>1</v>
      </c>
      <c r="D1116" s="9" t="s">
        <v>757</v>
      </c>
    </row>
    <row r="1117" spans="1:4" ht="12.5">
      <c r="A1117" s="186">
        <v>46156</v>
      </c>
      <c r="B1117" s="184">
        <v>7002395091</v>
      </c>
      <c r="C1117" s="184">
        <v>1</v>
      </c>
      <c r="D1117" s="9" t="s">
        <v>757</v>
      </c>
    </row>
    <row r="1118" spans="1:4" ht="12.5">
      <c r="A1118" s="186">
        <v>46156</v>
      </c>
      <c r="B1118" s="184">
        <v>7002395134</v>
      </c>
      <c r="C1118" s="184">
        <v>4</v>
      </c>
      <c r="D1118" s="9" t="s">
        <v>751</v>
      </c>
    </row>
    <row r="1119" spans="1:4" ht="12.5">
      <c r="A1119" s="186">
        <v>46156</v>
      </c>
      <c r="B1119" s="184">
        <v>7002395498</v>
      </c>
      <c r="C1119" s="184">
        <v>11</v>
      </c>
      <c r="D1119" s="9" t="s">
        <v>752</v>
      </c>
    </row>
    <row r="1120" spans="1:4" ht="12.5">
      <c r="A1120" s="186">
        <v>46156</v>
      </c>
      <c r="B1120" s="184">
        <v>7002395966</v>
      </c>
      <c r="C1120" s="184">
        <v>3</v>
      </c>
      <c r="D1120" s="9" t="s">
        <v>751</v>
      </c>
    </row>
    <row r="1121" spans="1:4" ht="12.5">
      <c r="A1121" s="186">
        <v>46156</v>
      </c>
      <c r="B1121" s="184">
        <v>7002396195</v>
      </c>
      <c r="C1121" s="184">
        <v>1</v>
      </c>
      <c r="D1121" s="9" t="s">
        <v>757</v>
      </c>
    </row>
    <row r="1122" spans="1:4" ht="12.5">
      <c r="A1122" s="186">
        <v>46156</v>
      </c>
      <c r="B1122" s="184">
        <v>7002396231</v>
      </c>
      <c r="C1122" s="184">
        <v>1</v>
      </c>
      <c r="D1122" s="9" t="s">
        <v>757</v>
      </c>
    </row>
    <row r="1123" spans="1:4" ht="12.5">
      <c r="A1123" s="186">
        <v>46156</v>
      </c>
      <c r="B1123" s="184">
        <v>7002396635</v>
      </c>
      <c r="C1123" s="184">
        <v>1</v>
      </c>
      <c r="D1123" s="9" t="s">
        <v>757</v>
      </c>
    </row>
    <row r="1124" spans="1:4" ht="12.5">
      <c r="A1124" s="186">
        <v>46156</v>
      </c>
      <c r="B1124" s="184">
        <v>7002396866</v>
      </c>
      <c r="C1124" s="184">
        <v>2</v>
      </c>
      <c r="D1124" s="9" t="s">
        <v>751</v>
      </c>
    </row>
    <row r="1125" spans="1:4" ht="12.5">
      <c r="A1125" s="186">
        <v>46156</v>
      </c>
      <c r="B1125" s="184">
        <v>7002396967</v>
      </c>
      <c r="C1125" s="184">
        <v>1</v>
      </c>
      <c r="D1125" s="9" t="s">
        <v>757</v>
      </c>
    </row>
    <row r="1126" spans="1:4" ht="12.5">
      <c r="A1126" s="186">
        <v>46156</v>
      </c>
      <c r="B1126" s="184">
        <v>7002397064</v>
      </c>
      <c r="C1126" s="184">
        <v>1</v>
      </c>
      <c r="D1126" s="9" t="s">
        <v>757</v>
      </c>
    </row>
    <row r="1127" spans="1:4" ht="12.5">
      <c r="A1127" s="186">
        <v>46156</v>
      </c>
      <c r="B1127" s="184">
        <v>7002397086</v>
      </c>
      <c r="C1127" s="184">
        <v>5</v>
      </c>
      <c r="D1127" s="9" t="s">
        <v>751</v>
      </c>
    </row>
    <row r="1128" spans="1:4" ht="12.5">
      <c r="A1128" s="186">
        <v>46156</v>
      </c>
      <c r="B1128" s="184">
        <v>7002398056</v>
      </c>
      <c r="C1128" s="184">
        <v>4</v>
      </c>
      <c r="D1128" s="9" t="s">
        <v>751</v>
      </c>
    </row>
    <row r="1129" spans="1:4" ht="12.5">
      <c r="A1129" s="186">
        <v>46156</v>
      </c>
      <c r="B1129" s="184">
        <v>7002398087</v>
      </c>
      <c r="C1129" s="184">
        <v>1</v>
      </c>
      <c r="D1129" s="9" t="s">
        <v>757</v>
      </c>
    </row>
    <row r="1130" spans="1:4" ht="12.5">
      <c r="A1130" s="186">
        <v>46156</v>
      </c>
      <c r="B1130" s="184">
        <v>7002398113</v>
      </c>
      <c r="C1130" s="184">
        <v>1</v>
      </c>
      <c r="D1130" s="9" t="s">
        <v>757</v>
      </c>
    </row>
    <row r="1131" spans="1:4" ht="12.5">
      <c r="A1131" s="186">
        <v>46156</v>
      </c>
      <c r="B1131" s="184">
        <v>7002398145</v>
      </c>
      <c r="C1131" s="184">
        <v>1</v>
      </c>
      <c r="D1131" s="9" t="s">
        <v>757</v>
      </c>
    </row>
    <row r="1132" spans="1:4" ht="12.5">
      <c r="A1132" s="186">
        <v>46156</v>
      </c>
      <c r="B1132" s="184">
        <v>7002398166</v>
      </c>
      <c r="C1132" s="184">
        <v>3</v>
      </c>
      <c r="D1132" s="9" t="s">
        <v>751</v>
      </c>
    </row>
    <row r="1133" spans="1:4" ht="12.5">
      <c r="A1133" s="186">
        <v>46156</v>
      </c>
      <c r="B1133" s="184">
        <v>7002398719</v>
      </c>
      <c r="C1133" s="184">
        <v>6</v>
      </c>
      <c r="D1133" s="9" t="s">
        <v>758</v>
      </c>
    </row>
    <row r="1134" spans="1:4" ht="12.5">
      <c r="A1134" s="186">
        <v>46156</v>
      </c>
      <c r="B1134" s="184">
        <v>7002398969</v>
      </c>
      <c r="C1134" s="184">
        <v>1</v>
      </c>
      <c r="D1134" s="9" t="s">
        <v>757</v>
      </c>
    </row>
    <row r="1135" spans="1:4" ht="12.5">
      <c r="A1135" s="186">
        <v>46156</v>
      </c>
      <c r="B1135" s="184">
        <v>7002399061</v>
      </c>
      <c r="C1135" s="184">
        <v>17</v>
      </c>
      <c r="D1135" s="9" t="s">
        <v>752</v>
      </c>
    </row>
    <row r="1136" spans="1:4" ht="12.5">
      <c r="A1136" s="186">
        <v>46156</v>
      </c>
      <c r="B1136" s="184">
        <v>7002399074</v>
      </c>
      <c r="C1136" s="184">
        <v>3</v>
      </c>
      <c r="D1136" s="9" t="s">
        <v>751</v>
      </c>
    </row>
    <row r="1137" spans="1:4" ht="12.5">
      <c r="A1137" s="186">
        <v>46156</v>
      </c>
      <c r="B1137" s="184">
        <v>7002399146</v>
      </c>
      <c r="C1137" s="184">
        <v>1</v>
      </c>
      <c r="D1137" s="9" t="s">
        <v>757</v>
      </c>
    </row>
    <row r="1138" spans="1:4" ht="12.5">
      <c r="A1138" s="186">
        <v>46156</v>
      </c>
      <c r="B1138" s="184">
        <v>7002399895</v>
      </c>
      <c r="C1138" s="184">
        <v>1</v>
      </c>
      <c r="D1138" s="9" t="s">
        <v>757</v>
      </c>
    </row>
    <row r="1139" spans="1:4" ht="12.5">
      <c r="A1139" s="186">
        <v>46156</v>
      </c>
      <c r="B1139" s="184">
        <v>7002399977</v>
      </c>
      <c r="C1139" s="184">
        <v>3</v>
      </c>
      <c r="D1139" s="9" t="s">
        <v>751</v>
      </c>
    </row>
    <row r="1140" spans="1:4" ht="12.5">
      <c r="A1140" s="191"/>
      <c r="B1140" s="192"/>
      <c r="C1140" s="192"/>
      <c r="D1140" s="136"/>
    </row>
    <row r="1141" spans="1:4" ht="12.5">
      <c r="A1141" s="186">
        <v>46157</v>
      </c>
      <c r="B1141" s="189">
        <v>7001727096</v>
      </c>
      <c r="C1141" s="189">
        <v>1</v>
      </c>
      <c r="D1141" s="136" t="s">
        <v>750</v>
      </c>
    </row>
    <row r="1142" spans="1:4" ht="12.5">
      <c r="A1142" s="186">
        <v>46157</v>
      </c>
      <c r="B1142" s="189">
        <v>7002185214</v>
      </c>
      <c r="C1142" s="189">
        <v>1</v>
      </c>
      <c r="D1142" s="136" t="s">
        <v>750</v>
      </c>
    </row>
    <row r="1143" spans="1:4" ht="12.5">
      <c r="A1143" s="186">
        <v>46157</v>
      </c>
      <c r="B1143" s="189">
        <v>7002311849</v>
      </c>
      <c r="C1143" s="189">
        <v>28</v>
      </c>
      <c r="D1143" s="136" t="s">
        <v>759</v>
      </c>
    </row>
    <row r="1144" spans="1:4" ht="12.5">
      <c r="A1144" s="186">
        <v>46157</v>
      </c>
      <c r="B1144" s="189">
        <v>7002331661</v>
      </c>
      <c r="C1144" s="189">
        <v>8</v>
      </c>
      <c r="D1144" s="136" t="s">
        <v>760</v>
      </c>
    </row>
    <row r="1145" spans="1:4" ht="12.5">
      <c r="A1145" s="186">
        <v>46157</v>
      </c>
      <c r="B1145" s="189">
        <v>7002343452</v>
      </c>
      <c r="C1145" s="189">
        <v>2</v>
      </c>
      <c r="D1145" s="136" t="s">
        <v>751</v>
      </c>
    </row>
    <row r="1146" spans="1:4" ht="12.5">
      <c r="A1146" s="186">
        <v>46157</v>
      </c>
      <c r="B1146" s="189">
        <v>7002345613</v>
      </c>
      <c r="C1146" s="189">
        <v>30</v>
      </c>
      <c r="D1146" s="136" t="s">
        <v>759</v>
      </c>
    </row>
    <row r="1147" spans="1:4" ht="12.5">
      <c r="A1147" s="186">
        <v>46157</v>
      </c>
      <c r="B1147" s="189">
        <v>7002354624</v>
      </c>
      <c r="C1147" s="189">
        <v>120</v>
      </c>
      <c r="D1147" s="136" t="s">
        <v>759</v>
      </c>
    </row>
    <row r="1148" spans="1:4" ht="12.5">
      <c r="A1148" s="186">
        <v>46157</v>
      </c>
      <c r="B1148" s="189">
        <v>7002355670</v>
      </c>
      <c r="C1148" s="189">
        <v>2</v>
      </c>
      <c r="D1148" s="136" t="s">
        <v>751</v>
      </c>
    </row>
    <row r="1149" spans="1:4" ht="12.5">
      <c r="A1149" s="186">
        <v>46157</v>
      </c>
      <c r="B1149" s="189">
        <v>7002370973</v>
      </c>
      <c r="C1149" s="189">
        <v>3</v>
      </c>
      <c r="D1149" s="136" t="s">
        <v>751</v>
      </c>
    </row>
    <row r="1150" spans="1:4" ht="12.5">
      <c r="A1150" s="186">
        <v>46157</v>
      </c>
      <c r="B1150" s="189">
        <v>7002378952</v>
      </c>
      <c r="C1150" s="189">
        <v>4</v>
      </c>
      <c r="D1150" s="136" t="s">
        <v>751</v>
      </c>
    </row>
    <row r="1151" spans="1:4" ht="12.5">
      <c r="A1151" s="186">
        <v>46157</v>
      </c>
      <c r="B1151" s="189">
        <v>7002382130</v>
      </c>
      <c r="C1151" s="189">
        <v>2</v>
      </c>
      <c r="D1151" s="136" t="s">
        <v>751</v>
      </c>
    </row>
    <row r="1152" spans="1:4" ht="12.5">
      <c r="A1152" s="186">
        <v>46157</v>
      </c>
      <c r="B1152" s="189">
        <v>7002382169</v>
      </c>
      <c r="C1152" s="189">
        <v>4</v>
      </c>
      <c r="D1152" s="136" t="s">
        <v>751</v>
      </c>
    </row>
    <row r="1153" spans="1:4" ht="12.5">
      <c r="A1153" s="186">
        <v>46157</v>
      </c>
      <c r="B1153" s="189">
        <v>7002382635</v>
      </c>
      <c r="C1153" s="189">
        <v>1</v>
      </c>
      <c r="D1153" s="136" t="s">
        <v>750</v>
      </c>
    </row>
    <row r="1154" spans="1:4" ht="12.5">
      <c r="A1154" s="186">
        <v>46157</v>
      </c>
      <c r="B1154" s="189">
        <v>7002384234</v>
      </c>
      <c r="C1154" s="189">
        <v>3</v>
      </c>
      <c r="D1154" s="136" t="s">
        <v>751</v>
      </c>
    </row>
    <row r="1155" spans="1:4" ht="12.5">
      <c r="A1155" s="186">
        <v>46157</v>
      </c>
      <c r="B1155" s="189">
        <v>7002385216</v>
      </c>
      <c r="C1155" s="189">
        <v>4</v>
      </c>
      <c r="D1155" s="136" t="s">
        <v>751</v>
      </c>
    </row>
    <row r="1156" spans="1:4" ht="12.5">
      <c r="A1156" s="186">
        <v>46157</v>
      </c>
      <c r="B1156" s="189">
        <v>7002386217</v>
      </c>
      <c r="C1156" s="189">
        <v>4</v>
      </c>
      <c r="D1156" s="136" t="s">
        <v>751</v>
      </c>
    </row>
    <row r="1157" spans="1:4" ht="12.5">
      <c r="A1157" s="186">
        <v>46157</v>
      </c>
      <c r="B1157" s="189">
        <v>7002388235</v>
      </c>
      <c r="C1157" s="189">
        <v>8</v>
      </c>
      <c r="D1157" s="136" t="s">
        <v>760</v>
      </c>
    </row>
    <row r="1158" spans="1:4" ht="12.5">
      <c r="A1158" s="186">
        <v>46157</v>
      </c>
      <c r="B1158" s="189">
        <v>7002388582</v>
      </c>
      <c r="C1158" s="189">
        <v>8</v>
      </c>
      <c r="D1158" s="136" t="s">
        <v>760</v>
      </c>
    </row>
    <row r="1159" spans="1:4" ht="12.5">
      <c r="A1159" s="186">
        <v>46157</v>
      </c>
      <c r="B1159" s="189">
        <v>7002388665</v>
      </c>
      <c r="C1159" s="189">
        <v>42</v>
      </c>
      <c r="D1159" s="136" t="s">
        <v>759</v>
      </c>
    </row>
    <row r="1160" spans="1:4" ht="12.5">
      <c r="A1160" s="186">
        <v>46157</v>
      </c>
      <c r="B1160" s="189">
        <v>7002390081</v>
      </c>
      <c r="C1160" s="189">
        <v>3</v>
      </c>
      <c r="D1160" s="136" t="s">
        <v>751</v>
      </c>
    </row>
    <row r="1161" spans="1:4" ht="12.5">
      <c r="A1161" s="186">
        <v>46157</v>
      </c>
      <c r="B1161" s="189">
        <v>7002391080</v>
      </c>
      <c r="C1161" s="189">
        <v>3</v>
      </c>
      <c r="D1161" s="136" t="s">
        <v>751</v>
      </c>
    </row>
    <row r="1162" spans="1:4" ht="12.5">
      <c r="A1162" s="186">
        <v>46157</v>
      </c>
      <c r="B1162" s="189">
        <v>7002391161</v>
      </c>
      <c r="C1162" s="189">
        <v>43</v>
      </c>
      <c r="D1162" s="136" t="s">
        <v>759</v>
      </c>
    </row>
    <row r="1163" spans="1:4" ht="12.5">
      <c r="A1163" s="186">
        <v>46157</v>
      </c>
      <c r="B1163" s="189">
        <v>7002391470</v>
      </c>
      <c r="C1163" s="189">
        <v>2</v>
      </c>
      <c r="D1163" s="136" t="s">
        <v>751</v>
      </c>
    </row>
    <row r="1164" spans="1:4" ht="12.5">
      <c r="A1164" s="186">
        <v>46157</v>
      </c>
      <c r="B1164" s="189">
        <v>7002392084</v>
      </c>
      <c r="C1164" s="189">
        <v>3</v>
      </c>
      <c r="D1164" s="136" t="s">
        <v>751</v>
      </c>
    </row>
    <row r="1165" spans="1:4" ht="12.5">
      <c r="A1165" s="186">
        <v>46157</v>
      </c>
      <c r="B1165" s="189">
        <v>7002393083</v>
      </c>
      <c r="C1165" s="189">
        <v>3</v>
      </c>
      <c r="D1165" s="136" t="s">
        <v>751</v>
      </c>
    </row>
    <row r="1166" spans="1:4" ht="12.5">
      <c r="A1166" s="186">
        <v>46157</v>
      </c>
      <c r="B1166" s="189">
        <v>7002393138</v>
      </c>
      <c r="C1166" s="189">
        <v>9</v>
      </c>
      <c r="D1166" s="136" t="s">
        <v>760</v>
      </c>
    </row>
    <row r="1167" spans="1:4" ht="12.5">
      <c r="A1167" s="186">
        <v>46157</v>
      </c>
      <c r="B1167" s="189">
        <v>7002394082</v>
      </c>
      <c r="C1167" s="189">
        <v>3</v>
      </c>
      <c r="D1167" s="136" t="s">
        <v>751</v>
      </c>
    </row>
    <row r="1168" spans="1:4" ht="12.5">
      <c r="A1168" s="186">
        <v>46157</v>
      </c>
      <c r="B1168" s="189">
        <v>7002396124</v>
      </c>
      <c r="C1168" s="189">
        <v>2</v>
      </c>
      <c r="D1168" s="136" t="s">
        <v>751</v>
      </c>
    </row>
    <row r="1169" spans="1:4" ht="12.5">
      <c r="A1169" s="186">
        <v>46157</v>
      </c>
      <c r="B1169" s="189">
        <v>7002397072</v>
      </c>
      <c r="C1169" s="189">
        <v>1</v>
      </c>
      <c r="D1169" s="136" t="s">
        <v>750</v>
      </c>
    </row>
    <row r="1170" spans="1:4" ht="12.5">
      <c r="A1170" s="186">
        <v>46157</v>
      </c>
      <c r="B1170" s="189">
        <v>7002398056</v>
      </c>
      <c r="C1170" s="193">
        <v>4</v>
      </c>
      <c r="D1170" s="136" t="s">
        <v>751</v>
      </c>
    </row>
    <row r="1171" spans="1:4" ht="12.5">
      <c r="A1171" s="186">
        <v>46157</v>
      </c>
      <c r="B1171" s="189">
        <v>7002398094</v>
      </c>
      <c r="C1171" s="189">
        <v>1</v>
      </c>
      <c r="D1171" s="136" t="s">
        <v>750</v>
      </c>
    </row>
    <row r="1172" spans="1:4" ht="12.5">
      <c r="A1172" s="186">
        <v>46157</v>
      </c>
      <c r="B1172" s="189">
        <v>7002399114</v>
      </c>
      <c r="C1172" s="189">
        <v>52</v>
      </c>
      <c r="D1172" s="136" t="s">
        <v>759</v>
      </c>
    </row>
    <row r="1173" spans="1:4" ht="12.5">
      <c r="A1173" s="186">
        <v>46157</v>
      </c>
      <c r="B1173" s="189">
        <v>7002400106</v>
      </c>
      <c r="C1173" s="189">
        <v>3</v>
      </c>
      <c r="D1173" s="136" t="s">
        <v>751</v>
      </c>
    </row>
    <row r="1174" spans="1:4" ht="12.5">
      <c r="A1174" s="186">
        <v>46157</v>
      </c>
      <c r="B1174" s="189">
        <v>7002400123</v>
      </c>
      <c r="C1174" s="189">
        <v>4</v>
      </c>
      <c r="D1174" s="136" t="s">
        <v>751</v>
      </c>
    </row>
    <row r="1175" spans="1:4" ht="12.5">
      <c r="A1175" s="186">
        <v>46157</v>
      </c>
      <c r="B1175" s="189">
        <v>7002400147</v>
      </c>
      <c r="C1175" s="189">
        <v>3</v>
      </c>
      <c r="D1175" s="136" t="s">
        <v>751</v>
      </c>
    </row>
    <row r="1176" spans="1:4" ht="12.5">
      <c r="A1176" s="186">
        <v>46157</v>
      </c>
      <c r="B1176" s="189">
        <v>7002400152</v>
      </c>
      <c r="C1176" s="189">
        <v>3</v>
      </c>
      <c r="D1176" s="136" t="s">
        <v>751</v>
      </c>
    </row>
    <row r="1177" spans="1:4" ht="12.5">
      <c r="A1177" s="186">
        <v>46157</v>
      </c>
      <c r="B1177" s="189">
        <v>7002401105</v>
      </c>
      <c r="C1177" s="189">
        <v>2</v>
      </c>
      <c r="D1177" s="136" t="s">
        <v>751</v>
      </c>
    </row>
    <row r="1178" spans="1:4" ht="12.5">
      <c r="A1178" s="186">
        <v>46157</v>
      </c>
      <c r="B1178" s="189">
        <v>7002401122</v>
      </c>
      <c r="C1178" s="189">
        <v>6</v>
      </c>
      <c r="D1178" s="136" t="s">
        <v>760</v>
      </c>
    </row>
    <row r="1179" spans="1:4" ht="12.5">
      <c r="A1179" s="186">
        <v>46157</v>
      </c>
      <c r="B1179" s="189">
        <v>7002401146</v>
      </c>
      <c r="C1179" s="189">
        <v>3</v>
      </c>
      <c r="D1179" s="136" t="s">
        <v>751</v>
      </c>
    </row>
    <row r="1180" spans="1:4" ht="12.5">
      <c r="A1180" s="186">
        <v>46157</v>
      </c>
      <c r="B1180" s="189">
        <v>7002401167</v>
      </c>
      <c r="C1180" s="189">
        <v>2</v>
      </c>
      <c r="D1180" s="136" t="s">
        <v>751</v>
      </c>
    </row>
    <row r="1181" spans="1:4" ht="12.5">
      <c r="A1181" s="186">
        <v>46157</v>
      </c>
      <c r="B1181" s="189">
        <v>7002401413</v>
      </c>
      <c r="C1181" s="189">
        <v>27</v>
      </c>
      <c r="D1181" s="136" t="s">
        <v>759</v>
      </c>
    </row>
    <row r="1182" spans="1:4" ht="12.5">
      <c r="A1182" s="186">
        <v>46157</v>
      </c>
      <c r="B1182" s="189">
        <v>7002402121</v>
      </c>
      <c r="C1182" s="189">
        <v>3</v>
      </c>
      <c r="D1182" s="136" t="s">
        <v>751</v>
      </c>
    </row>
    <row r="1183" spans="1:4" ht="12.5">
      <c r="A1183" s="186">
        <v>46157</v>
      </c>
      <c r="B1183" s="189">
        <v>7002402145</v>
      </c>
      <c r="C1183" s="189">
        <v>4</v>
      </c>
      <c r="D1183" s="136" t="s">
        <v>751</v>
      </c>
    </row>
    <row r="1184" spans="1:4" ht="12.5">
      <c r="A1184" s="186">
        <v>46157</v>
      </c>
      <c r="B1184" s="189">
        <v>7002403374</v>
      </c>
      <c r="C1184" s="189">
        <v>42</v>
      </c>
      <c r="D1184" s="136" t="s">
        <v>759</v>
      </c>
    </row>
    <row r="1185" spans="1:4" ht="12.5">
      <c r="A1185" s="186">
        <v>46157</v>
      </c>
      <c r="B1185" s="189">
        <v>7002404044</v>
      </c>
      <c r="C1185" s="189">
        <v>6</v>
      </c>
      <c r="D1185" s="136" t="s">
        <v>760</v>
      </c>
    </row>
    <row r="1186" spans="1:4" ht="12.5">
      <c r="A1186" s="186">
        <v>46157</v>
      </c>
      <c r="B1186" s="189">
        <v>7002404148</v>
      </c>
      <c r="C1186" s="189">
        <v>4</v>
      </c>
      <c r="D1186" s="136" t="s">
        <v>751</v>
      </c>
    </row>
    <row r="1187" spans="1:4" ht="12.5">
      <c r="A1187" s="186">
        <v>46157</v>
      </c>
      <c r="B1187" s="189">
        <v>7002404674</v>
      </c>
      <c r="C1187" s="189">
        <v>48</v>
      </c>
      <c r="D1187" s="136" t="s">
        <v>759</v>
      </c>
    </row>
    <row r="1188" spans="1:4" ht="12.5">
      <c r="A1188" s="186">
        <v>46157</v>
      </c>
      <c r="B1188" s="189">
        <v>7002405047</v>
      </c>
      <c r="C1188" s="189">
        <v>13</v>
      </c>
      <c r="D1188" s="136" t="s">
        <v>759</v>
      </c>
    </row>
    <row r="1189" spans="1:4" ht="12.5">
      <c r="A1189" s="186">
        <v>46157</v>
      </c>
      <c r="B1189" s="189">
        <v>7002405104</v>
      </c>
      <c r="C1189" s="189">
        <v>4</v>
      </c>
      <c r="D1189" s="136" t="s">
        <v>751</v>
      </c>
    </row>
    <row r="1190" spans="1:4" ht="12.5">
      <c r="A1190" s="186">
        <v>46157</v>
      </c>
      <c r="B1190" s="189">
        <v>7002405158</v>
      </c>
      <c r="C1190" s="189">
        <v>4</v>
      </c>
      <c r="D1190" s="136" t="s">
        <v>751</v>
      </c>
    </row>
    <row r="1191" spans="1:4" ht="12.5">
      <c r="A1191" s="186">
        <v>46157</v>
      </c>
      <c r="B1191" s="189">
        <v>7002405378</v>
      </c>
      <c r="C1191" s="189">
        <v>4</v>
      </c>
      <c r="D1191" s="136" t="s">
        <v>751</v>
      </c>
    </row>
    <row r="1192" spans="1:4" ht="12.5">
      <c r="A1192" s="186">
        <v>46157</v>
      </c>
      <c r="B1192" s="189">
        <v>7002406128</v>
      </c>
      <c r="C1192" s="189">
        <v>3</v>
      </c>
      <c r="D1192" s="136" t="s">
        <v>751</v>
      </c>
    </row>
    <row r="1193" spans="1:4" ht="12.5">
      <c r="A1193" s="186">
        <v>46157</v>
      </c>
      <c r="B1193" s="189">
        <v>7002406144</v>
      </c>
      <c r="C1193" s="189">
        <v>10</v>
      </c>
      <c r="D1193" s="136" t="s">
        <v>760</v>
      </c>
    </row>
    <row r="1194" spans="1:4" ht="12.5">
      <c r="A1194" s="186">
        <v>46157</v>
      </c>
      <c r="B1194" s="189">
        <v>7002406159</v>
      </c>
      <c r="C1194" s="189">
        <v>12</v>
      </c>
      <c r="D1194" s="136" t="s">
        <v>759</v>
      </c>
    </row>
    <row r="1195" spans="1:4" ht="12.5">
      <c r="A1195" s="186">
        <v>46157</v>
      </c>
      <c r="B1195" s="189">
        <v>7002407117</v>
      </c>
      <c r="C1195" s="189">
        <v>1</v>
      </c>
      <c r="D1195" s="136" t="s">
        <v>750</v>
      </c>
    </row>
    <row r="1196" spans="1:4" ht="12.5">
      <c r="A1196" s="186">
        <v>46157</v>
      </c>
      <c r="B1196" s="189">
        <v>7002407140</v>
      </c>
      <c r="C1196" s="189">
        <v>3</v>
      </c>
      <c r="D1196" s="136" t="s">
        <v>751</v>
      </c>
    </row>
    <row r="1197" spans="1:4" ht="12.5">
      <c r="A1197" s="186">
        <v>46157</v>
      </c>
      <c r="B1197" s="189">
        <v>7002407164</v>
      </c>
      <c r="C1197" s="189">
        <v>1</v>
      </c>
      <c r="D1197" s="136" t="s">
        <v>750</v>
      </c>
    </row>
    <row r="1198" spans="1:4" ht="12.5">
      <c r="A1198" s="186">
        <v>46157</v>
      </c>
      <c r="B1198" s="189">
        <v>7002408141</v>
      </c>
      <c r="C1198" s="189">
        <v>5</v>
      </c>
      <c r="D1198" s="136" t="s">
        <v>751</v>
      </c>
    </row>
    <row r="1199" spans="1:4" ht="12.5">
      <c r="A1199" s="186">
        <v>46157</v>
      </c>
      <c r="B1199" s="189">
        <v>7002410171</v>
      </c>
      <c r="C1199" s="189">
        <v>1</v>
      </c>
      <c r="D1199" s="136" t="s">
        <v>750</v>
      </c>
    </row>
    <row r="1200" spans="1:4" ht="12.5">
      <c r="A1200" s="186">
        <v>46157</v>
      </c>
      <c r="B1200" s="189">
        <v>7002411384</v>
      </c>
      <c r="C1200" s="189">
        <v>10</v>
      </c>
      <c r="D1200" s="136" t="s">
        <v>760</v>
      </c>
    </row>
    <row r="1201" spans="1:4" ht="12.5">
      <c r="A1201" s="186">
        <v>46157</v>
      </c>
      <c r="B1201" s="189">
        <v>7002412174</v>
      </c>
      <c r="C1201" s="189">
        <v>1</v>
      </c>
      <c r="D1201" s="136" t="s">
        <v>750</v>
      </c>
    </row>
    <row r="1202" spans="1:4" ht="12.5">
      <c r="A1202" s="186">
        <v>46157</v>
      </c>
      <c r="B1202" s="189">
        <v>7002413173</v>
      </c>
      <c r="C1202" s="189">
        <v>1</v>
      </c>
      <c r="D1202" s="136" t="s">
        <v>750</v>
      </c>
    </row>
    <row r="1203" spans="1:4" ht="12.5">
      <c r="A1203" s="186">
        <v>46157</v>
      </c>
      <c r="B1203" s="189">
        <v>7002414155</v>
      </c>
      <c r="C1203" s="189">
        <v>93</v>
      </c>
      <c r="D1203" s="136" t="s">
        <v>759</v>
      </c>
    </row>
    <row r="1204" spans="1:4" ht="12.5">
      <c r="A1204" s="186">
        <v>46157</v>
      </c>
      <c r="B1204" s="189">
        <v>7002414259</v>
      </c>
      <c r="C1204" s="189">
        <v>1</v>
      </c>
      <c r="D1204" s="136" t="s">
        <v>750</v>
      </c>
    </row>
    <row r="1205" spans="1:4" ht="12.5">
      <c r="A1205" s="186">
        <v>46157</v>
      </c>
      <c r="B1205" s="189">
        <v>7002416134</v>
      </c>
      <c r="C1205" s="189">
        <v>27</v>
      </c>
      <c r="D1205" s="136" t="s">
        <v>759</v>
      </c>
    </row>
    <row r="1206" spans="1:4" ht="12.5">
      <c r="A1206" s="186">
        <v>46157</v>
      </c>
      <c r="B1206" s="189">
        <v>7002417153</v>
      </c>
      <c r="C1206" s="189">
        <v>95</v>
      </c>
      <c r="D1206" s="136" t="s">
        <v>759</v>
      </c>
    </row>
    <row r="1207" spans="1:4" ht="12.5">
      <c r="A1207" s="186">
        <v>46157</v>
      </c>
      <c r="B1207" s="189">
        <v>7002417182</v>
      </c>
      <c r="C1207" s="189">
        <v>120</v>
      </c>
      <c r="D1207" s="136" t="s">
        <v>759</v>
      </c>
    </row>
    <row r="1208" spans="1:4" ht="12.5">
      <c r="A1208" s="186">
        <v>46157</v>
      </c>
      <c r="B1208" s="189">
        <v>7002418154</v>
      </c>
      <c r="C1208" s="189">
        <v>82</v>
      </c>
      <c r="D1208" s="136" t="s">
        <v>759</v>
      </c>
    </row>
    <row r="1209" spans="1:4" ht="12.5">
      <c r="A1209" s="186">
        <v>46157</v>
      </c>
      <c r="B1209" s="189">
        <v>7002421040</v>
      </c>
      <c r="C1209" s="189">
        <v>6</v>
      </c>
      <c r="D1209" s="136" t="s">
        <v>760</v>
      </c>
    </row>
    <row r="1210" spans="1:4" ht="12.5">
      <c r="A1210" s="186">
        <v>46157</v>
      </c>
      <c r="B1210" s="189">
        <v>7002425065</v>
      </c>
      <c r="C1210" s="189">
        <v>92</v>
      </c>
      <c r="D1210" s="136" t="s">
        <v>759</v>
      </c>
    </row>
    <row r="1211" spans="1:4" ht="12.5">
      <c r="A1211" s="186">
        <v>46157</v>
      </c>
      <c r="B1211" s="189">
        <v>7002428099</v>
      </c>
      <c r="C1211" s="189">
        <v>5</v>
      </c>
      <c r="D1211" s="136" t="s">
        <v>751</v>
      </c>
    </row>
    <row r="1212" spans="1:4" ht="12.5">
      <c r="A1212" s="191"/>
      <c r="B1212" s="192"/>
      <c r="C1212" s="192"/>
      <c r="D1212" s="9"/>
    </row>
    <row r="1213" spans="1:4" ht="14.5">
      <c r="A1213" s="186">
        <v>46158</v>
      </c>
      <c r="B1213" s="190">
        <v>7000908997</v>
      </c>
      <c r="C1213" s="190">
        <v>1</v>
      </c>
      <c r="D1213" s="9" t="s">
        <v>750</v>
      </c>
    </row>
    <row r="1214" spans="1:4" ht="14.5">
      <c r="A1214" s="186">
        <v>46158</v>
      </c>
      <c r="B1214" s="190">
        <v>7000918024</v>
      </c>
      <c r="C1214" s="190">
        <v>19</v>
      </c>
      <c r="D1214" s="9" t="s">
        <v>759</v>
      </c>
    </row>
    <row r="1215" spans="1:4" ht="14.5">
      <c r="A1215" s="186">
        <v>46158</v>
      </c>
      <c r="B1215" s="190">
        <v>7001727096</v>
      </c>
      <c r="C1215" s="190">
        <v>1</v>
      </c>
      <c r="D1215" s="9" t="s">
        <v>750</v>
      </c>
    </row>
    <row r="1216" spans="1:4" ht="14.5">
      <c r="A1216" s="186">
        <v>46158</v>
      </c>
      <c r="B1216" s="190">
        <v>7002179901</v>
      </c>
      <c r="C1216" s="190">
        <v>53</v>
      </c>
      <c r="D1216" s="9" t="s">
        <v>759</v>
      </c>
    </row>
    <row r="1217" spans="1:4" ht="14.5">
      <c r="A1217" s="186">
        <v>46158</v>
      </c>
      <c r="B1217" s="190">
        <v>7002185214</v>
      </c>
      <c r="C1217" s="190">
        <v>1</v>
      </c>
      <c r="D1217" s="9" t="s">
        <v>750</v>
      </c>
    </row>
    <row r="1218" spans="1:4" ht="14.5">
      <c r="A1218" s="186">
        <v>46158</v>
      </c>
      <c r="B1218" s="190">
        <v>7002230891</v>
      </c>
      <c r="C1218" s="190">
        <v>3</v>
      </c>
      <c r="D1218" s="9" t="s">
        <v>751</v>
      </c>
    </row>
    <row r="1219" spans="1:4" ht="14.5">
      <c r="A1219" s="186">
        <v>46158</v>
      </c>
      <c r="B1219" s="190">
        <v>7002296667</v>
      </c>
      <c r="C1219" s="190">
        <v>2</v>
      </c>
      <c r="D1219" s="9" t="s">
        <v>751</v>
      </c>
    </row>
    <row r="1220" spans="1:4" ht="14.5">
      <c r="A1220" s="186">
        <v>46158</v>
      </c>
      <c r="B1220" s="190">
        <v>7002303682</v>
      </c>
      <c r="C1220" s="190">
        <v>6</v>
      </c>
      <c r="D1220" s="9" t="s">
        <v>758</v>
      </c>
    </row>
    <row r="1221" spans="1:4" ht="14.5">
      <c r="A1221" s="186">
        <v>46158</v>
      </c>
      <c r="B1221" s="190">
        <v>7002309029</v>
      </c>
      <c r="C1221" s="190">
        <v>12</v>
      </c>
      <c r="D1221" s="9" t="s">
        <v>759</v>
      </c>
    </row>
    <row r="1222" spans="1:4" ht="14.5">
      <c r="A1222" s="186">
        <v>46158</v>
      </c>
      <c r="B1222" s="190">
        <v>7002326374</v>
      </c>
      <c r="C1222" s="190">
        <v>9</v>
      </c>
      <c r="D1222" s="9" t="s">
        <v>758</v>
      </c>
    </row>
    <row r="1223" spans="1:4" ht="14.5">
      <c r="A1223" s="186">
        <v>46158</v>
      </c>
      <c r="B1223" s="190">
        <v>7002330691</v>
      </c>
      <c r="C1223" s="190">
        <v>8</v>
      </c>
      <c r="D1223" s="9" t="s">
        <v>758</v>
      </c>
    </row>
    <row r="1224" spans="1:4" ht="14.5">
      <c r="A1224" s="186">
        <v>46158</v>
      </c>
      <c r="B1224" s="190">
        <v>7002330756</v>
      </c>
      <c r="C1224" s="190">
        <v>2</v>
      </c>
      <c r="D1224" s="9" t="s">
        <v>751</v>
      </c>
    </row>
    <row r="1225" spans="1:4" ht="14.5">
      <c r="A1225" s="186">
        <v>46158</v>
      </c>
      <c r="B1225" s="190">
        <v>7002332716</v>
      </c>
      <c r="C1225" s="190">
        <v>2</v>
      </c>
      <c r="D1225" s="9" t="s">
        <v>751</v>
      </c>
    </row>
    <row r="1226" spans="1:4" ht="14.5">
      <c r="A1226" s="186">
        <v>46158</v>
      </c>
      <c r="B1226" s="190">
        <v>7002341555</v>
      </c>
      <c r="C1226" s="190">
        <v>2</v>
      </c>
      <c r="D1226" s="9" t="s">
        <v>751</v>
      </c>
    </row>
    <row r="1227" spans="1:4" ht="14.5">
      <c r="A1227" s="186">
        <v>46158</v>
      </c>
      <c r="B1227" s="190">
        <v>7002345613</v>
      </c>
      <c r="C1227" s="190">
        <v>30</v>
      </c>
      <c r="D1227" s="9" t="s">
        <v>759</v>
      </c>
    </row>
    <row r="1228" spans="1:4" ht="14.5">
      <c r="A1228" s="186">
        <v>46158</v>
      </c>
      <c r="B1228" s="190">
        <v>7002350927</v>
      </c>
      <c r="C1228" s="190">
        <v>2</v>
      </c>
      <c r="D1228" s="9" t="s">
        <v>751</v>
      </c>
    </row>
    <row r="1229" spans="1:4" ht="14.5">
      <c r="A1229" s="186">
        <v>46158</v>
      </c>
      <c r="B1229" s="190">
        <v>7002350943</v>
      </c>
      <c r="C1229" s="190">
        <v>6</v>
      </c>
      <c r="D1229" s="9" t="s">
        <v>758</v>
      </c>
    </row>
    <row r="1230" spans="1:4" ht="14.5">
      <c r="A1230" s="186">
        <v>46158</v>
      </c>
      <c r="B1230" s="190">
        <v>7002351942</v>
      </c>
      <c r="C1230" s="190">
        <v>1</v>
      </c>
      <c r="D1230" s="9" t="s">
        <v>750</v>
      </c>
    </row>
    <row r="1231" spans="1:4" ht="14.5">
      <c r="A1231" s="186">
        <v>46158</v>
      </c>
      <c r="B1231" s="190">
        <v>7002351961</v>
      </c>
      <c r="C1231" s="190">
        <v>6</v>
      </c>
      <c r="D1231" s="9" t="s">
        <v>758</v>
      </c>
    </row>
    <row r="1232" spans="1:4" ht="14.5">
      <c r="A1232" s="186">
        <v>46158</v>
      </c>
      <c r="B1232" s="190">
        <v>7002352956</v>
      </c>
      <c r="C1232" s="190">
        <v>26</v>
      </c>
      <c r="D1232" s="9" t="s">
        <v>759</v>
      </c>
    </row>
    <row r="1233" spans="1:4" ht="14.5">
      <c r="A1233" s="186">
        <v>46158</v>
      </c>
      <c r="B1233" s="190">
        <v>7002352960</v>
      </c>
      <c r="C1233" s="190">
        <v>17</v>
      </c>
      <c r="D1233" s="9" t="s">
        <v>759</v>
      </c>
    </row>
    <row r="1234" spans="1:4" ht="14.5">
      <c r="A1234" s="186">
        <v>46158</v>
      </c>
      <c r="B1234" s="190">
        <v>7002355670</v>
      </c>
      <c r="C1234" s="190">
        <v>3</v>
      </c>
      <c r="D1234" s="9" t="s">
        <v>751</v>
      </c>
    </row>
    <row r="1235" spans="1:4" ht="14.5">
      <c r="A1235" s="186">
        <v>46158</v>
      </c>
      <c r="B1235" s="190">
        <v>7002361344</v>
      </c>
      <c r="C1235" s="190">
        <v>22</v>
      </c>
      <c r="D1235" s="9" t="s">
        <v>759</v>
      </c>
    </row>
    <row r="1236" spans="1:4" ht="14.5">
      <c r="A1236" s="186">
        <v>46158</v>
      </c>
      <c r="B1236" s="190">
        <v>7002362280</v>
      </c>
      <c r="C1236" s="190">
        <v>1</v>
      </c>
      <c r="D1236" s="9" t="s">
        <v>750</v>
      </c>
    </row>
    <row r="1237" spans="1:4" ht="14.5">
      <c r="A1237" s="186">
        <v>46158</v>
      </c>
      <c r="B1237" s="190">
        <v>7002363303</v>
      </c>
      <c r="C1237" s="190">
        <v>2</v>
      </c>
      <c r="D1237" s="9" t="s">
        <v>751</v>
      </c>
    </row>
    <row r="1238" spans="1:4" ht="14.5">
      <c r="A1238" s="186">
        <v>46158</v>
      </c>
      <c r="B1238" s="190">
        <v>7002363604</v>
      </c>
      <c r="C1238" s="190">
        <v>5</v>
      </c>
      <c r="D1238" s="9" t="s">
        <v>751</v>
      </c>
    </row>
    <row r="1239" spans="1:4" ht="14.5">
      <c r="A1239" s="186">
        <v>46158</v>
      </c>
      <c r="B1239" s="190">
        <v>7002365261</v>
      </c>
      <c r="C1239" s="190">
        <v>10</v>
      </c>
      <c r="D1239" s="9" t="s">
        <v>758</v>
      </c>
    </row>
    <row r="1240" spans="1:4" ht="14.5">
      <c r="A1240" s="186">
        <v>46158</v>
      </c>
      <c r="B1240" s="190">
        <v>7002369365</v>
      </c>
      <c r="C1240" s="190">
        <v>2</v>
      </c>
      <c r="D1240" s="9" t="s">
        <v>751</v>
      </c>
    </row>
    <row r="1241" spans="1:4" ht="14.5">
      <c r="A1241" s="186">
        <v>46158</v>
      </c>
      <c r="B1241" s="190">
        <v>7002370973</v>
      </c>
      <c r="C1241" s="190">
        <v>3</v>
      </c>
      <c r="D1241" s="9" t="s">
        <v>751</v>
      </c>
    </row>
    <row r="1242" spans="1:4" ht="14.5">
      <c r="A1242" s="186">
        <v>46158</v>
      </c>
      <c r="B1242" s="190">
        <v>7002371378</v>
      </c>
      <c r="C1242" s="190">
        <v>6</v>
      </c>
      <c r="D1242" s="9" t="s">
        <v>758</v>
      </c>
    </row>
    <row r="1243" spans="1:4" ht="14.5">
      <c r="A1243" s="186">
        <v>46158</v>
      </c>
      <c r="B1243" s="190">
        <v>7002375421</v>
      </c>
      <c r="C1243" s="190">
        <v>13</v>
      </c>
      <c r="D1243" s="9" t="s">
        <v>759</v>
      </c>
    </row>
    <row r="1244" spans="1:4" ht="14.5">
      <c r="A1244" s="186">
        <v>46158</v>
      </c>
      <c r="B1244" s="190">
        <v>7002378232</v>
      </c>
      <c r="C1244" s="190">
        <v>62</v>
      </c>
      <c r="D1244" s="9" t="s">
        <v>759</v>
      </c>
    </row>
    <row r="1245" spans="1:4" ht="14.5">
      <c r="A1245" s="186">
        <v>46158</v>
      </c>
      <c r="B1245" s="190">
        <v>7002378952</v>
      </c>
      <c r="C1245" s="190">
        <v>4</v>
      </c>
      <c r="D1245" s="9" t="s">
        <v>751</v>
      </c>
    </row>
    <row r="1246" spans="1:4" ht="14.5">
      <c r="A1246" s="186">
        <v>46158</v>
      </c>
      <c r="B1246" s="190">
        <v>7002380659</v>
      </c>
      <c r="C1246" s="190">
        <v>3</v>
      </c>
      <c r="D1246" s="9" t="s">
        <v>751</v>
      </c>
    </row>
    <row r="1247" spans="1:4" ht="14.5">
      <c r="A1247" s="186">
        <v>46158</v>
      </c>
      <c r="B1247" s="190">
        <v>7002380810</v>
      </c>
      <c r="C1247" s="190">
        <v>2</v>
      </c>
      <c r="D1247" s="9" t="s">
        <v>751</v>
      </c>
    </row>
    <row r="1248" spans="1:4" ht="14.5">
      <c r="A1248" s="186">
        <v>46158</v>
      </c>
      <c r="B1248" s="190">
        <v>7002380852</v>
      </c>
      <c r="C1248" s="190">
        <v>3</v>
      </c>
      <c r="D1248" s="9" t="s">
        <v>751</v>
      </c>
    </row>
    <row r="1249" spans="1:4" ht="14.5">
      <c r="A1249" s="186">
        <v>46158</v>
      </c>
      <c r="B1249" s="190">
        <v>7002381221</v>
      </c>
      <c r="C1249" s="190">
        <v>4</v>
      </c>
      <c r="D1249" s="9" t="s">
        <v>751</v>
      </c>
    </row>
    <row r="1250" spans="1:4" ht="14.5">
      <c r="A1250" s="186">
        <v>46158</v>
      </c>
      <c r="B1250" s="190">
        <v>7002381297</v>
      </c>
      <c r="C1250" s="190">
        <v>4</v>
      </c>
      <c r="D1250" s="9" t="s">
        <v>751</v>
      </c>
    </row>
    <row r="1251" spans="1:4" ht="14.5">
      <c r="A1251" s="186">
        <v>46158</v>
      </c>
      <c r="B1251" s="190">
        <v>7002381851</v>
      </c>
      <c r="C1251" s="190">
        <v>3</v>
      </c>
      <c r="D1251" s="9" t="s">
        <v>751</v>
      </c>
    </row>
    <row r="1252" spans="1:4" ht="14.5">
      <c r="A1252" s="186">
        <v>46158</v>
      </c>
      <c r="B1252" s="190">
        <v>7002382468</v>
      </c>
      <c r="C1252" s="190">
        <v>51</v>
      </c>
      <c r="D1252" s="9" t="s">
        <v>759</v>
      </c>
    </row>
    <row r="1253" spans="1:4" ht="14.5">
      <c r="A1253" s="186">
        <v>46158</v>
      </c>
      <c r="B1253" s="190">
        <v>7002382603</v>
      </c>
      <c r="C1253" s="190">
        <v>10</v>
      </c>
      <c r="D1253" s="9" t="s">
        <v>758</v>
      </c>
    </row>
    <row r="1254" spans="1:4" ht="14.5">
      <c r="A1254" s="186">
        <v>46158</v>
      </c>
      <c r="B1254" s="190">
        <v>7002382850</v>
      </c>
      <c r="C1254" s="190">
        <v>3</v>
      </c>
      <c r="D1254" s="9" t="s">
        <v>751</v>
      </c>
    </row>
    <row r="1255" spans="1:4" ht="14.5">
      <c r="A1255" s="186">
        <v>46158</v>
      </c>
      <c r="B1255" s="190">
        <v>7002383849</v>
      </c>
      <c r="C1255" s="190">
        <v>3</v>
      </c>
      <c r="D1255" s="9" t="s">
        <v>751</v>
      </c>
    </row>
    <row r="1256" spans="1:4" ht="14.5">
      <c r="A1256" s="186">
        <v>46158</v>
      </c>
      <c r="B1256" s="190">
        <v>7002384061</v>
      </c>
      <c r="C1256" s="190">
        <v>1</v>
      </c>
      <c r="D1256" s="9" t="s">
        <v>750</v>
      </c>
    </row>
    <row r="1257" spans="1:4" ht="14.5">
      <c r="A1257" s="186">
        <v>46158</v>
      </c>
      <c r="B1257" s="190">
        <v>7002384638</v>
      </c>
      <c r="C1257" s="190">
        <v>2</v>
      </c>
      <c r="D1257" s="9" t="s">
        <v>751</v>
      </c>
    </row>
    <row r="1258" spans="1:4" ht="14.5">
      <c r="A1258" s="186">
        <v>46158</v>
      </c>
      <c r="B1258" s="190">
        <v>7002384853</v>
      </c>
      <c r="C1258" s="190">
        <v>3</v>
      </c>
      <c r="D1258" s="9" t="s">
        <v>751</v>
      </c>
    </row>
    <row r="1259" spans="1:4" ht="14.5">
      <c r="A1259" s="186">
        <v>46158</v>
      </c>
      <c r="B1259" s="190">
        <v>7002385101</v>
      </c>
      <c r="C1259" s="190">
        <v>5</v>
      </c>
      <c r="D1259" s="9" t="s">
        <v>751</v>
      </c>
    </row>
    <row r="1260" spans="1:4" ht="14.5">
      <c r="A1260" s="186">
        <v>46158</v>
      </c>
      <c r="B1260" s="190">
        <v>7002385129</v>
      </c>
      <c r="C1260" s="190">
        <v>3</v>
      </c>
      <c r="D1260" s="9" t="s">
        <v>751</v>
      </c>
    </row>
    <row r="1261" spans="1:4" ht="14.5">
      <c r="A1261" s="186">
        <v>46158</v>
      </c>
      <c r="B1261" s="190">
        <v>7002385347</v>
      </c>
      <c r="C1261" s="190">
        <v>1</v>
      </c>
      <c r="D1261" s="9" t="s">
        <v>750</v>
      </c>
    </row>
    <row r="1262" spans="1:4" ht="14.5">
      <c r="A1262" s="186">
        <v>46158</v>
      </c>
      <c r="B1262" s="190">
        <v>7002385646</v>
      </c>
      <c r="C1262" s="190">
        <v>17</v>
      </c>
      <c r="D1262" s="9" t="s">
        <v>759</v>
      </c>
    </row>
    <row r="1263" spans="1:4" ht="14.5">
      <c r="A1263" s="186">
        <v>46158</v>
      </c>
      <c r="B1263" s="190">
        <v>7002386307</v>
      </c>
      <c r="C1263" s="190">
        <v>1</v>
      </c>
      <c r="D1263" s="9" t="s">
        <v>750</v>
      </c>
    </row>
    <row r="1264" spans="1:4" ht="14.5">
      <c r="A1264" s="186">
        <v>46158</v>
      </c>
      <c r="B1264" s="190">
        <v>7002387067</v>
      </c>
      <c r="C1264" s="190">
        <v>2</v>
      </c>
      <c r="D1264" s="9" t="s">
        <v>751</v>
      </c>
    </row>
    <row r="1265" spans="1:4" ht="14.5">
      <c r="A1265" s="186">
        <v>46158</v>
      </c>
      <c r="B1265" s="190">
        <v>7002387157</v>
      </c>
      <c r="C1265" s="190">
        <v>10</v>
      </c>
      <c r="D1265" s="9" t="s">
        <v>758</v>
      </c>
    </row>
    <row r="1266" spans="1:4" ht="14.5">
      <c r="A1266" s="186">
        <v>46158</v>
      </c>
      <c r="B1266" s="190">
        <v>7002387331</v>
      </c>
      <c r="C1266" s="190">
        <v>1</v>
      </c>
      <c r="D1266" s="9" t="s">
        <v>750</v>
      </c>
    </row>
    <row r="1267" spans="1:4" ht="14.5">
      <c r="A1267" s="186">
        <v>46158</v>
      </c>
      <c r="B1267" s="190">
        <v>7002388023</v>
      </c>
      <c r="C1267" s="190">
        <v>2</v>
      </c>
      <c r="D1267" s="9" t="s">
        <v>751</v>
      </c>
    </row>
    <row r="1268" spans="1:4" ht="14.5">
      <c r="A1268" s="186">
        <v>46158</v>
      </c>
      <c r="B1268" s="190">
        <v>7002388332</v>
      </c>
      <c r="C1268" s="190">
        <v>3</v>
      </c>
      <c r="D1268" s="9" t="s">
        <v>751</v>
      </c>
    </row>
    <row r="1269" spans="1:4" ht="14.5">
      <c r="A1269" s="186">
        <v>46158</v>
      </c>
      <c r="B1269" s="190">
        <v>7002388779</v>
      </c>
      <c r="C1269" s="190">
        <v>1</v>
      </c>
      <c r="D1269" s="9" t="s">
        <v>750</v>
      </c>
    </row>
    <row r="1270" spans="1:4" ht="14.5">
      <c r="A1270" s="186">
        <v>46158</v>
      </c>
      <c r="B1270" s="190">
        <v>7002389053</v>
      </c>
      <c r="C1270" s="190">
        <v>1</v>
      </c>
      <c r="D1270" s="9" t="s">
        <v>750</v>
      </c>
    </row>
    <row r="1271" spans="1:4" ht="14.5">
      <c r="A1271" s="186">
        <v>46158</v>
      </c>
      <c r="B1271" s="190">
        <v>7002389128</v>
      </c>
      <c r="C1271" s="190">
        <v>3</v>
      </c>
      <c r="D1271" s="9" t="s">
        <v>751</v>
      </c>
    </row>
    <row r="1272" spans="1:4" ht="14.5">
      <c r="A1272" s="186">
        <v>46158</v>
      </c>
      <c r="B1272" s="190">
        <v>7002389144</v>
      </c>
      <c r="C1272" s="190">
        <v>3</v>
      </c>
      <c r="D1272" s="9" t="s">
        <v>751</v>
      </c>
    </row>
    <row r="1273" spans="1:4" ht="14.5">
      <c r="A1273" s="186">
        <v>46158</v>
      </c>
      <c r="B1273" s="190">
        <v>7002390143</v>
      </c>
      <c r="C1273" s="190">
        <v>5</v>
      </c>
      <c r="D1273" s="9" t="s">
        <v>751</v>
      </c>
    </row>
    <row r="1274" spans="1:4" ht="14.5">
      <c r="A1274" s="186">
        <v>46158</v>
      </c>
      <c r="B1274" s="190">
        <v>7002390261</v>
      </c>
      <c r="C1274" s="190">
        <v>2</v>
      </c>
      <c r="D1274" s="9" t="s">
        <v>751</v>
      </c>
    </row>
    <row r="1275" spans="1:4" ht="14.5">
      <c r="A1275" s="186">
        <v>46158</v>
      </c>
      <c r="B1275" s="190">
        <v>7002390492</v>
      </c>
      <c r="C1275" s="190">
        <v>70</v>
      </c>
      <c r="D1275" s="9" t="s">
        <v>759</v>
      </c>
    </row>
    <row r="1276" spans="1:4" ht="14.5">
      <c r="A1276" s="186">
        <v>46158</v>
      </c>
      <c r="B1276" s="190">
        <v>7002391491</v>
      </c>
      <c r="C1276" s="190">
        <v>47</v>
      </c>
      <c r="D1276" s="9" t="s">
        <v>759</v>
      </c>
    </row>
    <row r="1277" spans="1:4" ht="14.5">
      <c r="A1277" s="186">
        <v>46158</v>
      </c>
      <c r="B1277" s="190">
        <v>7002391721</v>
      </c>
      <c r="C1277" s="190">
        <v>1</v>
      </c>
      <c r="D1277" s="9" t="s">
        <v>750</v>
      </c>
    </row>
    <row r="1278" spans="1:4" ht="14.5">
      <c r="A1278" s="186">
        <v>46158</v>
      </c>
      <c r="B1278" s="190">
        <v>7002392461</v>
      </c>
      <c r="C1278" s="190">
        <v>1</v>
      </c>
      <c r="D1278" s="9" t="s">
        <v>750</v>
      </c>
    </row>
    <row r="1279" spans="1:4" ht="14.5">
      <c r="A1279" s="186">
        <v>46158</v>
      </c>
      <c r="B1279" s="190">
        <v>7002392490</v>
      </c>
      <c r="C1279" s="190">
        <v>14</v>
      </c>
      <c r="D1279" s="9" t="s">
        <v>759</v>
      </c>
    </row>
    <row r="1280" spans="1:4" ht="14.5">
      <c r="A1280" s="186">
        <v>46158</v>
      </c>
      <c r="B1280" s="190">
        <v>7002393903</v>
      </c>
      <c r="C1280" s="190">
        <v>2</v>
      </c>
      <c r="D1280" s="9" t="s">
        <v>751</v>
      </c>
    </row>
    <row r="1281" spans="1:4" ht="14.5">
      <c r="A1281" s="186">
        <v>46158</v>
      </c>
      <c r="B1281" s="190">
        <v>7002394464</v>
      </c>
      <c r="C1281" s="190">
        <v>6</v>
      </c>
      <c r="D1281" s="9" t="s">
        <v>758</v>
      </c>
    </row>
    <row r="1282" spans="1:4" ht="14.5">
      <c r="A1282" s="186">
        <v>46158</v>
      </c>
      <c r="B1282" s="190">
        <v>7002395480</v>
      </c>
      <c r="C1282" s="190">
        <v>12</v>
      </c>
      <c r="D1282" s="9" t="s">
        <v>759</v>
      </c>
    </row>
    <row r="1283" spans="1:4" ht="14.5">
      <c r="A1283" s="186">
        <v>46158</v>
      </c>
      <c r="B1283" s="190">
        <v>7002397482</v>
      </c>
      <c r="C1283" s="190">
        <v>75</v>
      </c>
      <c r="D1283" s="9" t="s">
        <v>759</v>
      </c>
    </row>
    <row r="1284" spans="1:4" ht="14.5">
      <c r="A1284" s="186">
        <v>46158</v>
      </c>
      <c r="B1284" s="190">
        <v>7002397741</v>
      </c>
      <c r="C1284" s="190">
        <v>1</v>
      </c>
      <c r="D1284" s="9" t="s">
        <v>750</v>
      </c>
    </row>
    <row r="1285" spans="1:4" ht="14.5">
      <c r="A1285" s="186">
        <v>46158</v>
      </c>
      <c r="B1285" s="190">
        <v>7002397910</v>
      </c>
      <c r="C1285" s="190">
        <v>1</v>
      </c>
      <c r="D1285" s="9" t="s">
        <v>750</v>
      </c>
    </row>
    <row r="1286" spans="1:4" ht="14.5">
      <c r="A1286" s="186">
        <v>46158</v>
      </c>
      <c r="B1286" s="190">
        <v>7002398073</v>
      </c>
      <c r="C1286" s="190">
        <v>2</v>
      </c>
      <c r="D1286" s="9" t="s">
        <v>751</v>
      </c>
    </row>
    <row r="1287" spans="1:4" ht="14.5">
      <c r="A1287" s="186">
        <v>46158</v>
      </c>
      <c r="B1287" s="190">
        <v>7002398150</v>
      </c>
      <c r="C1287" s="190">
        <v>24</v>
      </c>
      <c r="D1287" s="9" t="s">
        <v>759</v>
      </c>
    </row>
    <row r="1288" spans="1:4" ht="14.5">
      <c r="A1288" s="186">
        <v>46158</v>
      </c>
      <c r="B1288" s="190">
        <v>7002398315</v>
      </c>
      <c r="C1288" s="190">
        <v>30</v>
      </c>
      <c r="D1288" s="9" t="s">
        <v>759</v>
      </c>
    </row>
    <row r="1289" spans="1:4" ht="14.5">
      <c r="A1289" s="186">
        <v>46158</v>
      </c>
      <c r="B1289" s="190">
        <v>7002398465</v>
      </c>
      <c r="C1289" s="190">
        <v>6</v>
      </c>
      <c r="D1289" s="9" t="s">
        <v>758</v>
      </c>
    </row>
    <row r="1290" spans="1:4" ht="14.5">
      <c r="A1290" s="186">
        <v>46158</v>
      </c>
      <c r="B1290" s="190">
        <v>7002398483</v>
      </c>
      <c r="C1290" s="190">
        <v>12</v>
      </c>
      <c r="D1290" s="9" t="s">
        <v>759</v>
      </c>
    </row>
    <row r="1291" spans="1:4" ht="14.5">
      <c r="A1291" s="186">
        <v>46158</v>
      </c>
      <c r="B1291" s="190">
        <v>7002398899</v>
      </c>
      <c r="C1291" s="190">
        <v>2</v>
      </c>
      <c r="D1291" s="9" t="s">
        <v>751</v>
      </c>
    </row>
    <row r="1292" spans="1:4" ht="14.5">
      <c r="A1292" s="186">
        <v>46158</v>
      </c>
      <c r="B1292" s="190">
        <v>7002399151</v>
      </c>
      <c r="C1292" s="190">
        <v>1</v>
      </c>
      <c r="D1292" s="9" t="s">
        <v>750</v>
      </c>
    </row>
    <row r="1293" spans="1:4" ht="14.5">
      <c r="A1293" s="186">
        <v>46158</v>
      </c>
      <c r="B1293" s="190">
        <v>7002399484</v>
      </c>
      <c r="C1293" s="190">
        <v>10</v>
      </c>
      <c r="D1293" s="9" t="s">
        <v>758</v>
      </c>
    </row>
    <row r="1294" spans="1:4" ht="14.5">
      <c r="A1294" s="186">
        <v>46158</v>
      </c>
      <c r="B1294" s="190">
        <v>7002399848</v>
      </c>
      <c r="C1294" s="190">
        <v>1</v>
      </c>
      <c r="D1294" s="9" t="s">
        <v>750</v>
      </c>
    </row>
    <row r="1295" spans="1:4" ht="14.5">
      <c r="A1295" s="186">
        <v>46158</v>
      </c>
      <c r="B1295" s="190">
        <v>7002400004</v>
      </c>
      <c r="C1295" s="190">
        <v>5</v>
      </c>
      <c r="D1295" s="9" t="s">
        <v>751</v>
      </c>
    </row>
    <row r="1296" spans="1:4" ht="14.5">
      <c r="A1296" s="186">
        <v>46158</v>
      </c>
      <c r="B1296" s="190">
        <v>7002400027</v>
      </c>
      <c r="C1296" s="190">
        <v>5</v>
      </c>
      <c r="D1296" s="9" t="s">
        <v>751</v>
      </c>
    </row>
    <row r="1297" spans="1:4" ht="14.5">
      <c r="A1297" s="186">
        <v>46158</v>
      </c>
      <c r="B1297" s="190">
        <v>7002400043</v>
      </c>
      <c r="C1297" s="190">
        <v>2</v>
      </c>
      <c r="D1297" s="9" t="s">
        <v>751</v>
      </c>
    </row>
    <row r="1298" spans="1:4" ht="14.5">
      <c r="A1298" s="186">
        <v>46158</v>
      </c>
      <c r="B1298" s="190">
        <v>7002400058</v>
      </c>
      <c r="C1298" s="190">
        <v>2</v>
      </c>
      <c r="D1298" s="9" t="s">
        <v>751</v>
      </c>
    </row>
    <row r="1299" spans="1:4" ht="14.5">
      <c r="A1299" s="186">
        <v>46158</v>
      </c>
      <c r="B1299" s="190">
        <v>7002400089</v>
      </c>
      <c r="C1299" s="190">
        <v>1</v>
      </c>
      <c r="D1299" s="9" t="s">
        <v>750</v>
      </c>
    </row>
    <row r="1300" spans="1:4" ht="14.5">
      <c r="A1300" s="186">
        <v>46158</v>
      </c>
      <c r="B1300" s="190">
        <v>7002400091</v>
      </c>
      <c r="C1300" s="190">
        <v>1</v>
      </c>
      <c r="D1300" s="9" t="s">
        <v>750</v>
      </c>
    </row>
    <row r="1301" spans="1:4" ht="14.5">
      <c r="A1301" s="186">
        <v>46158</v>
      </c>
      <c r="B1301" s="190">
        <v>7002400433</v>
      </c>
      <c r="C1301" s="190">
        <v>2</v>
      </c>
      <c r="D1301" s="9" t="s">
        <v>751</v>
      </c>
    </row>
    <row r="1302" spans="1:4" ht="14.5">
      <c r="A1302" s="186">
        <v>46158</v>
      </c>
      <c r="B1302" s="190">
        <v>7002400728</v>
      </c>
      <c r="C1302" s="190">
        <v>5</v>
      </c>
      <c r="D1302" s="9" t="s">
        <v>751</v>
      </c>
    </row>
    <row r="1303" spans="1:4" ht="14.5">
      <c r="A1303" s="186">
        <v>46158</v>
      </c>
      <c r="B1303" s="190">
        <v>7002401061</v>
      </c>
      <c r="C1303" s="190">
        <v>2</v>
      </c>
      <c r="D1303" s="9" t="s">
        <v>751</v>
      </c>
    </row>
    <row r="1304" spans="1:4" ht="14.5">
      <c r="A1304" s="186">
        <v>46158</v>
      </c>
      <c r="B1304" s="190">
        <v>7002401478</v>
      </c>
      <c r="C1304" s="190">
        <v>1</v>
      </c>
      <c r="D1304" s="9" t="s">
        <v>750</v>
      </c>
    </row>
    <row r="1305" spans="1:4" ht="14.5">
      <c r="A1305" s="186">
        <v>46158</v>
      </c>
      <c r="B1305" s="190">
        <v>7002402039</v>
      </c>
      <c r="C1305" s="190">
        <v>1</v>
      </c>
      <c r="D1305" s="9" t="s">
        <v>750</v>
      </c>
    </row>
    <row r="1306" spans="1:4" ht="14.5">
      <c r="A1306" s="186">
        <v>46158</v>
      </c>
      <c r="B1306" s="190">
        <v>7002402060</v>
      </c>
      <c r="C1306" s="190">
        <v>12</v>
      </c>
      <c r="D1306" s="9" t="s">
        <v>759</v>
      </c>
    </row>
    <row r="1307" spans="1:4" ht="14.5">
      <c r="A1307" s="186">
        <v>46158</v>
      </c>
      <c r="B1307" s="190">
        <v>7002402094</v>
      </c>
      <c r="C1307" s="190">
        <v>4</v>
      </c>
      <c r="D1307" s="9" t="s">
        <v>751</v>
      </c>
    </row>
    <row r="1308" spans="1:4" ht="14.5">
      <c r="A1308" s="186">
        <v>46158</v>
      </c>
      <c r="B1308" s="190">
        <v>7002402150</v>
      </c>
      <c r="C1308" s="190">
        <v>1</v>
      </c>
      <c r="D1308" s="9" t="s">
        <v>750</v>
      </c>
    </row>
    <row r="1309" spans="1:4" ht="14.5">
      <c r="A1309" s="186">
        <v>46158</v>
      </c>
      <c r="B1309" s="190">
        <v>7002403040</v>
      </c>
      <c r="C1309" s="190">
        <v>7</v>
      </c>
      <c r="D1309" s="9" t="s">
        <v>758</v>
      </c>
    </row>
    <row r="1310" spans="1:4" ht="14.5">
      <c r="A1310" s="186">
        <v>46158</v>
      </c>
      <c r="B1310" s="190">
        <v>7002404059</v>
      </c>
      <c r="C1310" s="190">
        <v>6</v>
      </c>
      <c r="D1310" s="9" t="s">
        <v>758</v>
      </c>
    </row>
    <row r="1311" spans="1:4" ht="14.5">
      <c r="A1311" s="186">
        <v>46158</v>
      </c>
      <c r="B1311" s="190">
        <v>7002404092</v>
      </c>
      <c r="C1311" s="190">
        <v>3</v>
      </c>
      <c r="D1311" s="9" t="s">
        <v>751</v>
      </c>
    </row>
    <row r="1312" spans="1:4" ht="14.5">
      <c r="A1312" s="186">
        <v>46158</v>
      </c>
      <c r="B1312" s="190">
        <v>7002405010</v>
      </c>
      <c r="C1312" s="190">
        <v>2</v>
      </c>
      <c r="D1312" s="9" t="s">
        <v>751</v>
      </c>
    </row>
    <row r="1313" spans="1:4" ht="14.5">
      <c r="A1313" s="186">
        <v>46158</v>
      </c>
      <c r="B1313" s="190">
        <v>7002405023</v>
      </c>
      <c r="C1313" s="190">
        <v>1</v>
      </c>
      <c r="D1313" s="9" t="s">
        <v>750</v>
      </c>
    </row>
    <row r="1314" spans="1:4" ht="14.5">
      <c r="A1314" s="186">
        <v>46158</v>
      </c>
      <c r="B1314" s="190">
        <v>7002405219</v>
      </c>
      <c r="C1314" s="190">
        <v>2</v>
      </c>
      <c r="D1314" s="9" t="s">
        <v>751</v>
      </c>
    </row>
    <row r="1315" spans="1:4" ht="14.5">
      <c r="A1315" s="186">
        <v>46158</v>
      </c>
      <c r="B1315" s="190">
        <v>7002405705</v>
      </c>
      <c r="C1315" s="190">
        <v>1</v>
      </c>
      <c r="D1315" s="9" t="s">
        <v>750</v>
      </c>
    </row>
    <row r="1316" spans="1:4" ht="14.5">
      <c r="A1316" s="186">
        <v>46158</v>
      </c>
      <c r="B1316" s="190">
        <v>7002406007</v>
      </c>
      <c r="C1316" s="190">
        <v>2</v>
      </c>
      <c r="D1316" s="9" t="s">
        <v>751</v>
      </c>
    </row>
    <row r="1317" spans="1:4" ht="14.5">
      <c r="A1317" s="186">
        <v>46158</v>
      </c>
      <c r="B1317" s="190">
        <v>7002406024</v>
      </c>
      <c r="C1317" s="190">
        <v>1</v>
      </c>
      <c r="D1317" s="9" t="s">
        <v>750</v>
      </c>
    </row>
    <row r="1318" spans="1:4" ht="14.5">
      <c r="A1318" s="186">
        <v>46158</v>
      </c>
      <c r="B1318" s="190">
        <v>7002406048</v>
      </c>
      <c r="C1318" s="190">
        <v>2</v>
      </c>
      <c r="D1318" s="9" t="s">
        <v>751</v>
      </c>
    </row>
    <row r="1319" spans="1:4" ht="14.5">
      <c r="A1319" s="186">
        <v>46158</v>
      </c>
      <c r="B1319" s="190">
        <v>7002406069</v>
      </c>
      <c r="C1319" s="190">
        <v>2</v>
      </c>
      <c r="D1319" s="9" t="s">
        <v>751</v>
      </c>
    </row>
    <row r="1320" spans="1:4" ht="14.5">
      <c r="A1320" s="186">
        <v>46158</v>
      </c>
      <c r="B1320" s="190">
        <v>7002406076</v>
      </c>
      <c r="C1320" s="190">
        <v>4</v>
      </c>
      <c r="D1320" s="9" t="s">
        <v>751</v>
      </c>
    </row>
    <row r="1321" spans="1:4" ht="14.5">
      <c r="A1321" s="186">
        <v>46158</v>
      </c>
      <c r="B1321" s="190">
        <v>7002406781</v>
      </c>
      <c r="C1321" s="190">
        <v>1</v>
      </c>
      <c r="D1321" s="9" t="s">
        <v>750</v>
      </c>
    </row>
    <row r="1322" spans="1:4" ht="14.5">
      <c r="A1322" s="186">
        <v>46158</v>
      </c>
      <c r="B1322" s="190">
        <v>7002407020</v>
      </c>
      <c r="C1322" s="190">
        <v>1</v>
      </c>
      <c r="D1322" s="9" t="s">
        <v>750</v>
      </c>
    </row>
    <row r="1323" spans="1:4" ht="14.5">
      <c r="A1323" s="186">
        <v>46158</v>
      </c>
      <c r="B1323" s="190">
        <v>7002407031</v>
      </c>
      <c r="C1323" s="190">
        <v>2</v>
      </c>
      <c r="D1323" s="9" t="s">
        <v>751</v>
      </c>
    </row>
    <row r="1324" spans="1:4" ht="14.5">
      <c r="A1324" s="186">
        <v>46158</v>
      </c>
      <c r="B1324" s="190">
        <v>7002407065</v>
      </c>
      <c r="C1324" s="190">
        <v>8</v>
      </c>
      <c r="D1324" s="9" t="s">
        <v>758</v>
      </c>
    </row>
    <row r="1325" spans="1:4" ht="14.5">
      <c r="A1325" s="186">
        <v>46158</v>
      </c>
      <c r="B1325" s="190">
        <v>7002407077</v>
      </c>
      <c r="C1325" s="190">
        <v>3</v>
      </c>
      <c r="D1325" s="9" t="s">
        <v>751</v>
      </c>
    </row>
    <row r="1326" spans="1:4" ht="14.5">
      <c r="A1326" s="186">
        <v>46158</v>
      </c>
      <c r="B1326" s="190">
        <v>7002407804</v>
      </c>
      <c r="C1326" s="190">
        <v>3</v>
      </c>
      <c r="D1326" s="9" t="s">
        <v>751</v>
      </c>
    </row>
    <row r="1327" spans="1:4" ht="14.5">
      <c r="A1327" s="186">
        <v>46158</v>
      </c>
      <c r="B1327" s="190">
        <v>7002407827</v>
      </c>
      <c r="C1327" s="190">
        <v>4</v>
      </c>
      <c r="D1327" s="9" t="s">
        <v>751</v>
      </c>
    </row>
    <row r="1328" spans="1:4" ht="14.5">
      <c r="A1328" s="186">
        <v>46158</v>
      </c>
      <c r="B1328" s="190">
        <v>7002408013</v>
      </c>
      <c r="C1328" s="190">
        <v>10</v>
      </c>
      <c r="D1328" s="9" t="s">
        <v>758</v>
      </c>
    </row>
    <row r="1329" spans="1:4" ht="14.5">
      <c r="A1329" s="186">
        <v>46158</v>
      </c>
      <c r="B1329" s="190">
        <v>7002408021</v>
      </c>
      <c r="C1329" s="190">
        <v>4</v>
      </c>
      <c r="D1329" s="9" t="s">
        <v>751</v>
      </c>
    </row>
    <row r="1330" spans="1:4" ht="14.5">
      <c r="A1330" s="186">
        <v>46158</v>
      </c>
      <c r="B1330" s="190">
        <v>7002408102</v>
      </c>
      <c r="C1330" s="190">
        <v>2</v>
      </c>
      <c r="D1330" s="9" t="s">
        <v>751</v>
      </c>
    </row>
    <row r="1331" spans="1:4" ht="14.5">
      <c r="A1331" s="186">
        <v>46158</v>
      </c>
      <c r="B1331" s="190">
        <v>7002408125</v>
      </c>
      <c r="C1331" s="190">
        <v>1</v>
      </c>
      <c r="D1331" s="9" t="s">
        <v>750</v>
      </c>
    </row>
    <row r="1332" spans="1:4" ht="14.5">
      <c r="A1332" s="186">
        <v>46158</v>
      </c>
      <c r="B1332" s="190">
        <v>7002409022</v>
      </c>
      <c r="C1332" s="190">
        <v>1</v>
      </c>
      <c r="D1332" s="9" t="s">
        <v>750</v>
      </c>
    </row>
    <row r="1333" spans="1:4" ht="14.5">
      <c r="A1333" s="186">
        <v>46158</v>
      </c>
      <c r="B1333" s="190">
        <v>7002409404</v>
      </c>
      <c r="C1333" s="190">
        <v>5</v>
      </c>
      <c r="D1333" s="9" t="s">
        <v>751</v>
      </c>
    </row>
    <row r="1334" spans="1:4" ht="14.5">
      <c r="A1334" s="186">
        <v>46158</v>
      </c>
      <c r="B1334" s="190">
        <v>7002410163</v>
      </c>
      <c r="C1334" s="190">
        <v>3</v>
      </c>
      <c r="D1334" s="9" t="s">
        <v>751</v>
      </c>
    </row>
    <row r="1335" spans="1:4" ht="14.5">
      <c r="A1335" s="186">
        <v>46158</v>
      </c>
      <c r="B1335" s="190">
        <v>7002410227</v>
      </c>
      <c r="C1335" s="190">
        <v>2</v>
      </c>
      <c r="D1335" s="9" t="s">
        <v>751</v>
      </c>
    </row>
    <row r="1336" spans="1:4" ht="14.5">
      <c r="A1336" s="186">
        <v>46158</v>
      </c>
      <c r="B1336" s="190">
        <v>7002410262</v>
      </c>
      <c r="C1336" s="190">
        <v>2</v>
      </c>
      <c r="D1336" s="9" t="s">
        <v>751</v>
      </c>
    </row>
    <row r="1337" spans="1:4" ht="14.5">
      <c r="A1337" s="186">
        <v>46158</v>
      </c>
      <c r="B1337" s="190">
        <v>7002410549</v>
      </c>
      <c r="C1337" s="190">
        <v>10</v>
      </c>
      <c r="D1337" s="9" t="s">
        <v>758</v>
      </c>
    </row>
    <row r="1338" spans="1:4" ht="14.5">
      <c r="A1338" s="186">
        <v>46158</v>
      </c>
      <c r="B1338" s="190">
        <v>7002411203</v>
      </c>
      <c r="C1338" s="190">
        <v>13</v>
      </c>
      <c r="D1338" s="9" t="s">
        <v>759</v>
      </c>
    </row>
    <row r="1339" spans="1:4" ht="14.5">
      <c r="A1339" s="186">
        <v>46158</v>
      </c>
      <c r="B1339" s="190">
        <v>7002411219</v>
      </c>
      <c r="C1339" s="190">
        <v>1</v>
      </c>
      <c r="D1339" s="9" t="s">
        <v>750</v>
      </c>
    </row>
    <row r="1340" spans="1:4" ht="14.5">
      <c r="A1340" s="186">
        <v>46158</v>
      </c>
      <c r="B1340" s="190">
        <v>7002411226</v>
      </c>
      <c r="C1340" s="190">
        <v>3</v>
      </c>
      <c r="D1340" s="9" t="s">
        <v>751</v>
      </c>
    </row>
    <row r="1341" spans="1:4" ht="14.5">
      <c r="A1341" s="186">
        <v>46158</v>
      </c>
      <c r="B1341" s="190">
        <v>7002411261</v>
      </c>
      <c r="C1341" s="190">
        <v>1</v>
      </c>
      <c r="D1341" s="9" t="s">
        <v>750</v>
      </c>
    </row>
    <row r="1342" spans="1:4" ht="14.5">
      <c r="A1342" s="186">
        <v>46158</v>
      </c>
      <c r="B1342" s="190">
        <v>7002411802</v>
      </c>
      <c r="C1342" s="190">
        <v>2</v>
      </c>
      <c r="D1342" s="9" t="s">
        <v>751</v>
      </c>
    </row>
    <row r="1343" spans="1:4" ht="14.5">
      <c r="A1343" s="186">
        <v>46158</v>
      </c>
      <c r="B1343" s="190">
        <v>7002412142</v>
      </c>
      <c r="C1343" s="190">
        <v>4</v>
      </c>
      <c r="D1343" s="9" t="s">
        <v>751</v>
      </c>
    </row>
    <row r="1344" spans="1:4" ht="14.5">
      <c r="A1344" s="186">
        <v>46158</v>
      </c>
      <c r="B1344" s="190">
        <v>7002412218</v>
      </c>
      <c r="C1344" s="190">
        <v>1</v>
      </c>
      <c r="D1344" s="9" t="s">
        <v>750</v>
      </c>
    </row>
    <row r="1345" spans="1:4" ht="14.5">
      <c r="A1345" s="186">
        <v>46158</v>
      </c>
      <c r="B1345" s="190">
        <v>7002412225</v>
      </c>
      <c r="C1345" s="190">
        <v>4</v>
      </c>
      <c r="D1345" s="9" t="s">
        <v>751</v>
      </c>
    </row>
    <row r="1346" spans="1:4" ht="14.5">
      <c r="A1346" s="186">
        <v>46158</v>
      </c>
      <c r="B1346" s="190">
        <v>7002412260</v>
      </c>
      <c r="C1346" s="190">
        <v>1</v>
      </c>
      <c r="D1346" s="9" t="s">
        <v>750</v>
      </c>
    </row>
    <row r="1347" spans="1:4" ht="14.5">
      <c r="A1347" s="186">
        <v>46158</v>
      </c>
      <c r="B1347" s="190">
        <v>7002412273</v>
      </c>
      <c r="C1347" s="190">
        <v>5</v>
      </c>
      <c r="D1347" s="9" t="s">
        <v>751</v>
      </c>
    </row>
    <row r="1348" spans="1:4" ht="14.5">
      <c r="A1348" s="186">
        <v>46158</v>
      </c>
      <c r="B1348" s="190">
        <v>7002412801</v>
      </c>
      <c r="C1348" s="190">
        <v>3</v>
      </c>
      <c r="D1348" s="9" t="s">
        <v>751</v>
      </c>
    </row>
    <row r="1349" spans="1:4" ht="14.5">
      <c r="A1349" s="186">
        <v>46158</v>
      </c>
      <c r="B1349" s="190">
        <v>7002412963</v>
      </c>
      <c r="C1349" s="190">
        <v>3</v>
      </c>
      <c r="D1349" s="9" t="s">
        <v>751</v>
      </c>
    </row>
    <row r="1350" spans="1:4" ht="14.5">
      <c r="A1350" s="186">
        <v>46158</v>
      </c>
      <c r="B1350" s="190">
        <v>7002413156</v>
      </c>
      <c r="C1350" s="190">
        <v>2</v>
      </c>
      <c r="D1350" s="9" t="s">
        <v>751</v>
      </c>
    </row>
    <row r="1351" spans="1:4" ht="14.5">
      <c r="A1351" s="186">
        <v>46158</v>
      </c>
      <c r="B1351" s="190">
        <v>7002413229</v>
      </c>
      <c r="C1351" s="190">
        <v>4</v>
      </c>
      <c r="D1351" s="9" t="s">
        <v>751</v>
      </c>
    </row>
    <row r="1352" spans="1:4" ht="14.5">
      <c r="A1352" s="186">
        <v>46158</v>
      </c>
      <c r="B1352" s="190">
        <v>7002414140</v>
      </c>
      <c r="C1352" s="190">
        <v>8</v>
      </c>
      <c r="D1352" s="9" t="s">
        <v>758</v>
      </c>
    </row>
    <row r="1353" spans="1:4" ht="14.5">
      <c r="A1353" s="186">
        <v>46158</v>
      </c>
      <c r="B1353" s="190">
        <v>7002414228</v>
      </c>
      <c r="C1353" s="190">
        <v>3</v>
      </c>
      <c r="D1353" s="9" t="s">
        <v>751</v>
      </c>
    </row>
    <row r="1354" spans="1:4" ht="14.5">
      <c r="A1354" s="186">
        <v>46158</v>
      </c>
      <c r="B1354" s="190">
        <v>7002414545</v>
      </c>
      <c r="C1354" s="190">
        <v>6</v>
      </c>
      <c r="D1354" s="9" t="s">
        <v>758</v>
      </c>
    </row>
    <row r="1355" spans="1:4" ht="14.5">
      <c r="A1355" s="186">
        <v>46158</v>
      </c>
      <c r="B1355" s="190">
        <v>7002415133</v>
      </c>
      <c r="C1355" s="190">
        <v>1</v>
      </c>
      <c r="D1355" s="9" t="s">
        <v>750</v>
      </c>
    </row>
    <row r="1356" spans="1:4" ht="14.5">
      <c r="A1356" s="186">
        <v>46158</v>
      </c>
      <c r="B1356" s="190">
        <v>7002415151</v>
      </c>
      <c r="C1356" s="190">
        <v>2</v>
      </c>
      <c r="D1356" s="9" t="s">
        <v>751</v>
      </c>
    </row>
    <row r="1357" spans="1:4" ht="14.5">
      <c r="A1357" s="186">
        <v>46158</v>
      </c>
      <c r="B1357" s="190">
        <v>7002415223</v>
      </c>
      <c r="C1357" s="190">
        <v>7</v>
      </c>
      <c r="D1357" s="9" t="s">
        <v>758</v>
      </c>
    </row>
    <row r="1358" spans="1:4" ht="14.5">
      <c r="A1358" s="186">
        <v>46158</v>
      </c>
      <c r="B1358" s="190">
        <v>7002415268</v>
      </c>
      <c r="C1358" s="190">
        <v>2</v>
      </c>
      <c r="D1358" s="9" t="s">
        <v>751</v>
      </c>
    </row>
    <row r="1359" spans="1:4" ht="14.5">
      <c r="A1359" s="186">
        <v>46158</v>
      </c>
      <c r="B1359" s="190">
        <v>7002416147</v>
      </c>
      <c r="C1359" s="190">
        <v>4</v>
      </c>
      <c r="D1359" s="9" t="s">
        <v>751</v>
      </c>
    </row>
    <row r="1360" spans="1:4" ht="14.5">
      <c r="A1360" s="186">
        <v>46158</v>
      </c>
      <c r="B1360" s="190">
        <v>7002416224</v>
      </c>
      <c r="C1360" s="190">
        <v>1</v>
      </c>
      <c r="D1360" s="9" t="s">
        <v>750</v>
      </c>
    </row>
    <row r="1361" spans="1:4" ht="14.5">
      <c r="A1361" s="186">
        <v>46158</v>
      </c>
      <c r="B1361" s="190">
        <v>7002416230</v>
      </c>
      <c r="C1361" s="190">
        <v>1</v>
      </c>
      <c r="D1361" s="9" t="s">
        <v>750</v>
      </c>
    </row>
    <row r="1362" spans="1:4" ht="14.5">
      <c r="A1362" s="186">
        <v>46158</v>
      </c>
      <c r="B1362" s="190">
        <v>7002416248</v>
      </c>
      <c r="C1362" s="190">
        <v>6</v>
      </c>
      <c r="D1362" s="9" t="s">
        <v>758</v>
      </c>
    </row>
    <row r="1363" spans="1:4" ht="14.5">
      <c r="A1363" s="186">
        <v>46158</v>
      </c>
      <c r="B1363" s="190">
        <v>7002416467</v>
      </c>
      <c r="C1363" s="190">
        <v>9</v>
      </c>
      <c r="D1363" s="9" t="s">
        <v>758</v>
      </c>
    </row>
    <row r="1364" spans="1:4" ht="14.5">
      <c r="A1364" s="186">
        <v>46158</v>
      </c>
      <c r="B1364" s="190">
        <v>7002416557</v>
      </c>
      <c r="C1364" s="190">
        <v>1</v>
      </c>
      <c r="D1364" s="9" t="s">
        <v>750</v>
      </c>
    </row>
    <row r="1365" spans="1:4" ht="14.5">
      <c r="A1365" s="186">
        <v>46158</v>
      </c>
      <c r="B1365" s="190">
        <v>7002417130</v>
      </c>
      <c r="C1365" s="190">
        <v>10</v>
      </c>
      <c r="D1365" s="9" t="s">
        <v>758</v>
      </c>
    </row>
    <row r="1366" spans="1:4" ht="14.5">
      <c r="A1366" s="186">
        <v>46158</v>
      </c>
      <c r="B1366" s="190">
        <v>7002417148</v>
      </c>
      <c r="C1366" s="190">
        <v>153</v>
      </c>
      <c r="D1366" s="9" t="s">
        <v>759</v>
      </c>
    </row>
    <row r="1367" spans="1:4" ht="14.5">
      <c r="A1367" s="186">
        <v>46158</v>
      </c>
      <c r="B1367" s="190">
        <v>7002417220</v>
      </c>
      <c r="C1367" s="190">
        <v>4</v>
      </c>
      <c r="D1367" s="9" t="s">
        <v>751</v>
      </c>
    </row>
    <row r="1368" spans="1:4" ht="14.5">
      <c r="A1368" s="186">
        <v>46158</v>
      </c>
      <c r="B1368" s="190">
        <v>7002417231</v>
      </c>
      <c r="C1368" s="190">
        <v>6</v>
      </c>
      <c r="D1368" s="9" t="s">
        <v>758</v>
      </c>
    </row>
    <row r="1369" spans="1:4" ht="14.5">
      <c r="A1369" s="186">
        <v>46158</v>
      </c>
      <c r="B1369" s="190">
        <v>7002417558</v>
      </c>
      <c r="C1369" s="190">
        <v>6</v>
      </c>
      <c r="D1369" s="9" t="s">
        <v>758</v>
      </c>
    </row>
    <row r="1370" spans="1:4" ht="14.5">
      <c r="A1370" s="186">
        <v>46158</v>
      </c>
      <c r="B1370" s="190">
        <v>7002418149</v>
      </c>
      <c r="C1370" s="190">
        <v>4</v>
      </c>
      <c r="D1370" s="9" t="s">
        <v>751</v>
      </c>
    </row>
    <row r="1371" spans="1:4" ht="14.5">
      <c r="A1371" s="186">
        <v>46158</v>
      </c>
      <c r="B1371" s="190">
        <v>7002418165</v>
      </c>
      <c r="C1371" s="190">
        <v>1</v>
      </c>
      <c r="D1371" s="9" t="s">
        <v>750</v>
      </c>
    </row>
    <row r="1372" spans="1:4" ht="14.5">
      <c r="A1372" s="186">
        <v>46158</v>
      </c>
      <c r="B1372" s="190">
        <v>7002418221</v>
      </c>
      <c r="C1372" s="190">
        <v>1</v>
      </c>
      <c r="D1372" s="9" t="s">
        <v>750</v>
      </c>
    </row>
    <row r="1373" spans="1:4" ht="14.5">
      <c r="A1373" s="186">
        <v>46158</v>
      </c>
      <c r="B1373" s="190">
        <v>7002418266</v>
      </c>
      <c r="C1373" s="190">
        <v>1</v>
      </c>
      <c r="D1373" s="9" t="s">
        <v>750</v>
      </c>
    </row>
    <row r="1374" spans="1:4" ht="14.5">
      <c r="A1374" s="186">
        <v>46158</v>
      </c>
      <c r="B1374" s="190">
        <v>7002419132</v>
      </c>
      <c r="C1374" s="190">
        <v>2</v>
      </c>
      <c r="D1374" s="9" t="s">
        <v>751</v>
      </c>
    </row>
    <row r="1375" spans="1:4" ht="14.5">
      <c r="A1375" s="186">
        <v>46158</v>
      </c>
      <c r="B1375" s="190">
        <v>7002419145</v>
      </c>
      <c r="C1375" s="190">
        <v>12</v>
      </c>
      <c r="D1375" s="9" t="s">
        <v>759</v>
      </c>
    </row>
    <row r="1376" spans="1:4" ht="14.5">
      <c r="A1376" s="186">
        <v>46158</v>
      </c>
      <c r="B1376" s="190">
        <v>7002419205</v>
      </c>
      <c r="C1376" s="190">
        <v>41</v>
      </c>
      <c r="D1376" s="9" t="s">
        <v>759</v>
      </c>
    </row>
    <row r="1377" spans="1:4" ht="14.5">
      <c r="A1377" s="186">
        <v>46158</v>
      </c>
      <c r="B1377" s="190">
        <v>7002419222</v>
      </c>
      <c r="C1377" s="190">
        <v>7</v>
      </c>
      <c r="D1377" s="9" t="s">
        <v>758</v>
      </c>
    </row>
    <row r="1378" spans="1:4" ht="14.5">
      <c r="A1378" s="186">
        <v>46158</v>
      </c>
      <c r="B1378" s="190">
        <v>7002419246</v>
      </c>
      <c r="C1378" s="190">
        <v>7</v>
      </c>
      <c r="D1378" s="9" t="s">
        <v>758</v>
      </c>
    </row>
    <row r="1379" spans="1:4" ht="14.5">
      <c r="A1379" s="186">
        <v>46158</v>
      </c>
      <c r="B1379" s="190">
        <v>7002419555</v>
      </c>
      <c r="C1379" s="190">
        <v>1</v>
      </c>
      <c r="D1379" s="9" t="s">
        <v>750</v>
      </c>
    </row>
    <row r="1380" spans="1:4" ht="14.5">
      <c r="A1380" s="186">
        <v>46158</v>
      </c>
      <c r="B1380" s="190">
        <v>7002419703</v>
      </c>
      <c r="C1380" s="190">
        <v>1</v>
      </c>
      <c r="D1380" s="9" t="s">
        <v>750</v>
      </c>
    </row>
    <row r="1381" spans="1:4" ht="14.5">
      <c r="A1381" s="186">
        <v>46158</v>
      </c>
      <c r="B1381" s="190">
        <v>7002420109</v>
      </c>
      <c r="C1381" s="190">
        <v>3</v>
      </c>
      <c r="D1381" s="9" t="s">
        <v>751</v>
      </c>
    </row>
    <row r="1382" spans="1:4" ht="14.5">
      <c r="A1382" s="186">
        <v>46158</v>
      </c>
      <c r="B1382" s="190">
        <v>7002421149</v>
      </c>
      <c r="C1382" s="190">
        <v>33</v>
      </c>
      <c r="D1382" s="9" t="s">
        <v>759</v>
      </c>
    </row>
    <row r="1383" spans="1:4" ht="14.5">
      <c r="A1383" s="186">
        <v>46158</v>
      </c>
      <c r="B1383" s="190">
        <v>7002425096</v>
      </c>
      <c r="C1383" s="190">
        <v>1</v>
      </c>
      <c r="D1383" s="9" t="s">
        <v>750</v>
      </c>
    </row>
    <row r="1384" spans="1:4" ht="14.5">
      <c r="A1384" s="186">
        <v>46158</v>
      </c>
      <c r="B1384" s="190">
        <v>7002425870</v>
      </c>
      <c r="C1384" s="190">
        <v>30</v>
      </c>
      <c r="D1384" s="9" t="s">
        <v>759</v>
      </c>
    </row>
    <row r="1385" spans="1:4" ht="14.5">
      <c r="A1385" s="186">
        <v>46158</v>
      </c>
      <c r="B1385" s="190">
        <v>7002426032</v>
      </c>
      <c r="C1385" s="190">
        <v>1</v>
      </c>
      <c r="D1385" s="9" t="s">
        <v>750</v>
      </c>
    </row>
    <row r="1386" spans="1:4" ht="14.5">
      <c r="A1386" s="186">
        <v>46158</v>
      </c>
      <c r="B1386" s="190">
        <v>7002427080</v>
      </c>
      <c r="C1386" s="190">
        <v>2</v>
      </c>
      <c r="D1386" s="9" t="s">
        <v>751</v>
      </c>
    </row>
    <row r="1387" spans="1:4" ht="14.5">
      <c r="A1387" s="186">
        <v>46158</v>
      </c>
      <c r="B1387" s="190">
        <v>7002429185</v>
      </c>
      <c r="C1387" s="190">
        <v>33</v>
      </c>
      <c r="D1387" s="9" t="s">
        <v>759</v>
      </c>
    </row>
    <row r="1388" spans="1:4" ht="14.5">
      <c r="A1388" s="186">
        <v>46158</v>
      </c>
      <c r="B1388" s="190">
        <v>7002432522</v>
      </c>
      <c r="C1388" s="190">
        <v>2</v>
      </c>
      <c r="D1388" s="9" t="s">
        <v>751</v>
      </c>
    </row>
    <row r="1389" spans="1:4" ht="14.5">
      <c r="A1389" s="186">
        <v>46158</v>
      </c>
      <c r="B1389" s="190">
        <v>7002433521</v>
      </c>
      <c r="C1389" s="190">
        <v>7</v>
      </c>
      <c r="D1389" s="9" t="s">
        <v>758</v>
      </c>
    </row>
    <row r="1390" spans="1:4" ht="14.5">
      <c r="A1390" s="186">
        <v>46158</v>
      </c>
      <c r="B1390" s="190">
        <v>7002436527</v>
      </c>
      <c r="C1390" s="190">
        <v>1</v>
      </c>
      <c r="D1390" s="9" t="s">
        <v>750</v>
      </c>
    </row>
    <row r="1391" spans="1:4" ht="14.5">
      <c r="A1391" s="186">
        <v>46158</v>
      </c>
      <c r="B1391" s="190">
        <v>7002439484</v>
      </c>
      <c r="C1391" s="190">
        <v>6</v>
      </c>
      <c r="D1391" s="9" t="s">
        <v>758</v>
      </c>
    </row>
    <row r="1392" spans="1:4" ht="14.5">
      <c r="A1392" s="186">
        <v>46158</v>
      </c>
      <c r="B1392" s="190">
        <v>7002441646</v>
      </c>
      <c r="C1392" s="190">
        <v>1</v>
      </c>
      <c r="D1392" s="9" t="s">
        <v>750</v>
      </c>
    </row>
    <row r="1393" spans="1:4" ht="12.5">
      <c r="A1393" s="186"/>
      <c r="B1393" s="184"/>
      <c r="C1393" s="184"/>
      <c r="D1393" s="136"/>
    </row>
    <row r="1394" spans="1:4" ht="12.5">
      <c r="A1394" s="186">
        <v>46159</v>
      </c>
      <c r="B1394" s="184">
        <v>7000908997</v>
      </c>
      <c r="C1394" s="184">
        <v>1</v>
      </c>
      <c r="D1394" s="9" t="s">
        <v>750</v>
      </c>
    </row>
    <row r="1395" spans="1:4" ht="12.5">
      <c r="A1395" s="186">
        <v>46159</v>
      </c>
      <c r="B1395" s="184">
        <v>7000918024</v>
      </c>
      <c r="C1395" s="184">
        <v>19</v>
      </c>
      <c r="D1395" s="9" t="s">
        <v>752</v>
      </c>
    </row>
    <row r="1396" spans="1:4" ht="12.5">
      <c r="A1396" s="186">
        <v>46159</v>
      </c>
      <c r="B1396" s="184">
        <v>7001727096</v>
      </c>
      <c r="C1396" s="184">
        <v>1</v>
      </c>
      <c r="D1396" s="9" t="s">
        <v>750</v>
      </c>
    </row>
    <row r="1397" spans="1:4" ht="12.5">
      <c r="A1397" s="186">
        <v>46159</v>
      </c>
      <c r="B1397" s="184">
        <v>7002185214</v>
      </c>
      <c r="C1397" s="184">
        <v>1</v>
      </c>
      <c r="D1397" s="9" t="s">
        <v>750</v>
      </c>
    </row>
    <row r="1398" spans="1:4" ht="12.5">
      <c r="A1398" s="186">
        <v>46159</v>
      </c>
      <c r="B1398" s="184">
        <v>7002227891</v>
      </c>
      <c r="C1398" s="184">
        <v>6</v>
      </c>
      <c r="D1398" s="9" t="s">
        <v>758</v>
      </c>
    </row>
    <row r="1399" spans="1:4" ht="12.5">
      <c r="A1399" s="186">
        <v>46159</v>
      </c>
      <c r="B1399" s="184">
        <v>7002231613</v>
      </c>
      <c r="C1399" s="184">
        <v>3</v>
      </c>
      <c r="D1399" s="9" t="s">
        <v>751</v>
      </c>
    </row>
    <row r="1400" spans="1:4" ht="12.5">
      <c r="A1400" s="186">
        <v>46159</v>
      </c>
      <c r="B1400" s="184">
        <v>7002239981</v>
      </c>
      <c r="C1400" s="184">
        <v>2</v>
      </c>
      <c r="D1400" s="9" t="s">
        <v>751</v>
      </c>
    </row>
    <row r="1401" spans="1:4" ht="12.5">
      <c r="A1401" s="186">
        <v>46159</v>
      </c>
      <c r="B1401" s="184">
        <v>7002243988</v>
      </c>
      <c r="C1401" s="184">
        <v>3</v>
      </c>
      <c r="D1401" s="9" t="s">
        <v>751</v>
      </c>
    </row>
    <row r="1402" spans="1:4" ht="12.5">
      <c r="A1402" s="186">
        <v>46159</v>
      </c>
      <c r="B1402" s="184">
        <v>7002251909</v>
      </c>
      <c r="C1402" s="184">
        <v>2</v>
      </c>
      <c r="D1402" s="9" t="s">
        <v>751</v>
      </c>
    </row>
    <row r="1403" spans="1:4" ht="12.5">
      <c r="A1403" s="186">
        <v>46159</v>
      </c>
      <c r="B1403" s="184">
        <v>7002256649</v>
      </c>
      <c r="C1403" s="184">
        <v>22</v>
      </c>
      <c r="D1403" s="9" t="s">
        <v>752</v>
      </c>
    </row>
    <row r="1404" spans="1:4" ht="12.5">
      <c r="A1404" s="186">
        <v>46159</v>
      </c>
      <c r="B1404" s="184">
        <v>7002257925</v>
      </c>
      <c r="C1404" s="184">
        <v>6</v>
      </c>
      <c r="D1404" s="9" t="s">
        <v>758</v>
      </c>
    </row>
    <row r="1405" spans="1:4" ht="12.5">
      <c r="A1405" s="186">
        <v>46159</v>
      </c>
      <c r="B1405" s="184">
        <v>7002260491</v>
      </c>
      <c r="C1405" s="184">
        <v>35</v>
      </c>
      <c r="D1405" s="9" t="s">
        <v>752</v>
      </c>
    </row>
    <row r="1406" spans="1:4" ht="12.5">
      <c r="A1406" s="186">
        <v>46159</v>
      </c>
      <c r="B1406" s="184">
        <v>7002260510</v>
      </c>
      <c r="C1406" s="184">
        <v>23</v>
      </c>
      <c r="D1406" s="9" t="s">
        <v>752</v>
      </c>
    </row>
    <row r="1407" spans="1:4" ht="12.5">
      <c r="A1407" s="186">
        <v>46159</v>
      </c>
      <c r="B1407" s="184">
        <v>7002261264</v>
      </c>
      <c r="C1407" s="184">
        <v>2</v>
      </c>
      <c r="D1407" s="9" t="s">
        <v>751</v>
      </c>
    </row>
    <row r="1408" spans="1:4" ht="12.5">
      <c r="A1408" s="186">
        <v>46159</v>
      </c>
      <c r="B1408" s="184">
        <v>7002263799</v>
      </c>
      <c r="C1408" s="184">
        <v>1</v>
      </c>
      <c r="D1408" s="9" t="s">
        <v>750</v>
      </c>
    </row>
    <row r="1409" spans="1:4" ht="12.5">
      <c r="A1409" s="186">
        <v>46159</v>
      </c>
      <c r="B1409" s="184">
        <v>7002264860</v>
      </c>
      <c r="C1409" s="184">
        <v>1</v>
      </c>
      <c r="D1409" s="9" t="s">
        <v>750</v>
      </c>
    </row>
    <row r="1410" spans="1:4" ht="12.5">
      <c r="A1410" s="186">
        <v>46159</v>
      </c>
      <c r="B1410" s="184">
        <v>7002265738</v>
      </c>
      <c r="C1410" s="184">
        <v>1</v>
      </c>
      <c r="D1410" s="9" t="s">
        <v>750</v>
      </c>
    </row>
    <row r="1411" spans="1:4" ht="12.5">
      <c r="A1411" s="186">
        <v>46159</v>
      </c>
      <c r="B1411" s="184">
        <v>7002267586</v>
      </c>
      <c r="C1411" s="184">
        <v>17</v>
      </c>
      <c r="D1411" s="9" t="s">
        <v>752</v>
      </c>
    </row>
    <row r="1412" spans="1:4" ht="12.5">
      <c r="A1412" s="186">
        <v>46159</v>
      </c>
      <c r="B1412" s="184">
        <v>7002268019</v>
      </c>
      <c r="C1412" s="184">
        <v>5</v>
      </c>
      <c r="D1412" s="9" t="s">
        <v>751</v>
      </c>
    </row>
    <row r="1413" spans="1:4" ht="12.5">
      <c r="A1413" s="186">
        <v>46159</v>
      </c>
      <c r="B1413" s="184">
        <v>7002268824</v>
      </c>
      <c r="C1413" s="184">
        <v>8</v>
      </c>
      <c r="D1413" s="9" t="s">
        <v>758</v>
      </c>
    </row>
    <row r="1414" spans="1:4" ht="12.5">
      <c r="A1414" s="186">
        <v>46159</v>
      </c>
      <c r="B1414" s="184">
        <v>7002270205</v>
      </c>
      <c r="C1414" s="184">
        <v>3</v>
      </c>
      <c r="D1414" s="9" t="s">
        <v>751</v>
      </c>
    </row>
    <row r="1415" spans="1:4" ht="12.5">
      <c r="A1415" s="186">
        <v>46159</v>
      </c>
      <c r="B1415" s="184">
        <v>7002271689</v>
      </c>
      <c r="C1415" s="184">
        <v>2</v>
      </c>
      <c r="D1415" s="9" t="s">
        <v>751</v>
      </c>
    </row>
    <row r="1416" spans="1:4" ht="12.5">
      <c r="A1416" s="186">
        <v>46159</v>
      </c>
      <c r="B1416" s="184">
        <v>7002273716</v>
      </c>
      <c r="C1416" s="184">
        <v>1</v>
      </c>
      <c r="D1416" s="9" t="s">
        <v>750</v>
      </c>
    </row>
    <row r="1417" spans="1:4" ht="12.5">
      <c r="A1417" s="186">
        <v>46159</v>
      </c>
      <c r="B1417" s="184">
        <v>7002273849</v>
      </c>
      <c r="C1417" s="184">
        <v>2</v>
      </c>
      <c r="D1417" s="9" t="s">
        <v>751</v>
      </c>
    </row>
    <row r="1418" spans="1:4" ht="12.5">
      <c r="A1418" s="186">
        <v>46159</v>
      </c>
      <c r="B1418" s="184">
        <v>7002282218</v>
      </c>
      <c r="C1418" s="184">
        <v>5</v>
      </c>
      <c r="D1418" s="9" t="s">
        <v>751</v>
      </c>
    </row>
    <row r="1419" spans="1:4" ht="12.5">
      <c r="A1419" s="186">
        <v>46159</v>
      </c>
      <c r="B1419" s="184">
        <v>7002291412</v>
      </c>
      <c r="C1419" s="184">
        <v>1</v>
      </c>
      <c r="D1419" s="9" t="s">
        <v>750</v>
      </c>
    </row>
    <row r="1420" spans="1:4" ht="12.5">
      <c r="A1420" s="186">
        <v>46159</v>
      </c>
      <c r="B1420" s="184">
        <v>7002293176</v>
      </c>
      <c r="C1420" s="184">
        <v>4</v>
      </c>
      <c r="D1420" s="9" t="s">
        <v>751</v>
      </c>
    </row>
    <row r="1421" spans="1:4" ht="12.5">
      <c r="A1421" s="186">
        <v>46159</v>
      </c>
      <c r="B1421" s="184">
        <v>7002301697</v>
      </c>
      <c r="C1421" s="184">
        <v>3</v>
      </c>
      <c r="D1421" s="9" t="s">
        <v>751</v>
      </c>
    </row>
    <row r="1422" spans="1:4" ht="12.5">
      <c r="A1422" s="186">
        <v>46159</v>
      </c>
      <c r="B1422" s="184">
        <v>7002303624</v>
      </c>
      <c r="C1422" s="184">
        <v>4</v>
      </c>
      <c r="D1422" s="9" t="s">
        <v>751</v>
      </c>
    </row>
    <row r="1423" spans="1:4" ht="12.5">
      <c r="A1423" s="186">
        <v>46159</v>
      </c>
      <c r="B1423" s="184">
        <v>7002304885</v>
      </c>
      <c r="C1423" s="184">
        <v>2</v>
      </c>
      <c r="D1423" s="9" t="s">
        <v>751</v>
      </c>
    </row>
    <row r="1424" spans="1:4" ht="12.5">
      <c r="A1424" s="186">
        <v>46159</v>
      </c>
      <c r="B1424" s="184">
        <v>7002309952</v>
      </c>
      <c r="C1424" s="184">
        <v>1</v>
      </c>
      <c r="D1424" s="9" t="s">
        <v>750</v>
      </c>
    </row>
    <row r="1425" spans="1:4" ht="12.5">
      <c r="A1425" s="186">
        <v>46159</v>
      </c>
      <c r="B1425" s="184">
        <v>7002325059</v>
      </c>
      <c r="C1425" s="184">
        <v>10</v>
      </c>
      <c r="D1425" s="9" t="s">
        <v>758</v>
      </c>
    </row>
    <row r="1426" spans="1:4" ht="12.5">
      <c r="A1426" s="186">
        <v>46159</v>
      </c>
      <c r="B1426" s="184">
        <v>7002328421</v>
      </c>
      <c r="C1426" s="184">
        <v>11</v>
      </c>
      <c r="D1426" s="9" t="s">
        <v>752</v>
      </c>
    </row>
    <row r="1427" spans="1:4" ht="12.5">
      <c r="A1427" s="186">
        <v>46159</v>
      </c>
      <c r="B1427" s="184">
        <v>7002338684</v>
      </c>
      <c r="C1427" s="184">
        <v>8</v>
      </c>
      <c r="D1427" s="9" t="s">
        <v>758</v>
      </c>
    </row>
    <row r="1428" spans="1:4" ht="12.5">
      <c r="A1428" s="186">
        <v>46159</v>
      </c>
      <c r="B1428" s="184">
        <v>7002341555</v>
      </c>
      <c r="C1428" s="184">
        <v>2</v>
      </c>
      <c r="D1428" s="9" t="s">
        <v>751</v>
      </c>
    </row>
    <row r="1429" spans="1:4" ht="12.5">
      <c r="A1429" s="186">
        <v>46159</v>
      </c>
      <c r="B1429" s="184">
        <v>7002348157</v>
      </c>
      <c r="C1429" s="184">
        <v>1</v>
      </c>
      <c r="D1429" s="9" t="s">
        <v>750</v>
      </c>
    </row>
    <row r="1430" spans="1:4" ht="12.5">
      <c r="A1430" s="186">
        <v>46159</v>
      </c>
      <c r="B1430" s="184">
        <v>7002349235</v>
      </c>
      <c r="C1430" s="184">
        <v>22</v>
      </c>
      <c r="D1430" s="9" t="s">
        <v>752</v>
      </c>
    </row>
    <row r="1431" spans="1:4" ht="12.5">
      <c r="A1431" s="186">
        <v>46159</v>
      </c>
      <c r="B1431" s="184">
        <v>7002370973</v>
      </c>
      <c r="C1431" s="184">
        <v>3</v>
      </c>
      <c r="D1431" s="9" t="s">
        <v>751</v>
      </c>
    </row>
    <row r="1432" spans="1:4" ht="12.5">
      <c r="A1432" s="186">
        <v>46159</v>
      </c>
      <c r="B1432" s="184">
        <v>7002382016</v>
      </c>
      <c r="C1432" s="184">
        <v>5</v>
      </c>
      <c r="D1432" s="9" t="s">
        <v>751</v>
      </c>
    </row>
    <row r="1433" spans="1:4" ht="12.5">
      <c r="A1433" s="186">
        <v>46159</v>
      </c>
      <c r="B1433" s="184">
        <v>7002382111</v>
      </c>
      <c r="C1433" s="184">
        <v>2</v>
      </c>
      <c r="D1433" s="9" t="s">
        <v>751</v>
      </c>
    </row>
    <row r="1434" spans="1:4" ht="12.5">
      <c r="A1434" s="186">
        <v>46159</v>
      </c>
      <c r="B1434" s="184">
        <v>7002383015</v>
      </c>
      <c r="C1434" s="184">
        <v>6</v>
      </c>
      <c r="D1434" s="9" t="s">
        <v>758</v>
      </c>
    </row>
    <row r="1435" spans="1:4" ht="12.5">
      <c r="A1435" s="186">
        <v>46159</v>
      </c>
      <c r="B1435" s="184">
        <v>7002383070</v>
      </c>
      <c r="C1435" s="184">
        <v>6</v>
      </c>
      <c r="D1435" s="9" t="s">
        <v>758</v>
      </c>
    </row>
    <row r="1436" spans="1:4" ht="12.5">
      <c r="A1436" s="186">
        <v>46159</v>
      </c>
      <c r="B1436" s="184">
        <v>7002383175</v>
      </c>
      <c r="C1436" s="184">
        <v>1</v>
      </c>
      <c r="D1436" s="9" t="s">
        <v>750</v>
      </c>
    </row>
    <row r="1437" spans="1:4" ht="12.5">
      <c r="A1437" s="186">
        <v>46159</v>
      </c>
      <c r="B1437" s="184">
        <v>7002386353</v>
      </c>
      <c r="C1437" s="184">
        <v>44</v>
      </c>
      <c r="D1437" s="9" t="s">
        <v>752</v>
      </c>
    </row>
    <row r="1438" spans="1:4" ht="12.5">
      <c r="A1438" s="186">
        <v>46159</v>
      </c>
      <c r="B1438" s="184">
        <v>7002391320</v>
      </c>
      <c r="C1438" s="184">
        <v>1</v>
      </c>
      <c r="D1438" s="9" t="s">
        <v>750</v>
      </c>
    </row>
    <row r="1439" spans="1:4" ht="12.5">
      <c r="A1439" s="186">
        <v>46159</v>
      </c>
      <c r="B1439" s="184">
        <v>7002392102</v>
      </c>
      <c r="C1439" s="184">
        <v>6</v>
      </c>
      <c r="D1439" s="9" t="s">
        <v>758</v>
      </c>
    </row>
    <row r="1440" spans="1:4" ht="12.5">
      <c r="A1440" s="186">
        <v>46159</v>
      </c>
      <c r="B1440" s="184">
        <v>7002394322</v>
      </c>
      <c r="C1440" s="184">
        <v>2</v>
      </c>
      <c r="D1440" s="9" t="s">
        <v>751</v>
      </c>
    </row>
    <row r="1441" spans="1:4" ht="12.5">
      <c r="A1441" s="186">
        <v>46159</v>
      </c>
      <c r="B1441" s="184">
        <v>7002396085</v>
      </c>
      <c r="C1441" s="184">
        <v>3</v>
      </c>
      <c r="D1441" s="9" t="s">
        <v>751</v>
      </c>
    </row>
    <row r="1442" spans="1:4" ht="12.5">
      <c r="A1442" s="186">
        <v>46159</v>
      </c>
      <c r="B1442" s="184">
        <v>7002396111</v>
      </c>
      <c r="C1442" s="184">
        <v>13</v>
      </c>
      <c r="D1442" s="9" t="s">
        <v>752</v>
      </c>
    </row>
    <row r="1443" spans="1:4" ht="12.5">
      <c r="A1443" s="186">
        <v>46159</v>
      </c>
      <c r="B1443" s="184">
        <v>7002400015</v>
      </c>
      <c r="C1443" s="184">
        <v>2</v>
      </c>
      <c r="D1443" s="9" t="s">
        <v>751</v>
      </c>
    </row>
    <row r="1444" spans="1:4" ht="12.5">
      <c r="A1444" s="186">
        <v>46159</v>
      </c>
      <c r="B1444" s="184">
        <v>7002400123</v>
      </c>
      <c r="C1444" s="184">
        <v>4</v>
      </c>
      <c r="D1444" s="9" t="s">
        <v>751</v>
      </c>
    </row>
    <row r="1445" spans="1:4" ht="12.5">
      <c r="A1445" s="186">
        <v>46159</v>
      </c>
      <c r="B1445" s="184">
        <v>7002402166</v>
      </c>
      <c r="C1445" s="184">
        <v>10</v>
      </c>
      <c r="D1445" s="9" t="s">
        <v>758</v>
      </c>
    </row>
    <row r="1446" spans="1:4" ht="12.5">
      <c r="A1446" s="186">
        <v>46159</v>
      </c>
      <c r="B1446" s="184">
        <v>7002402735</v>
      </c>
      <c r="C1446" s="184">
        <v>6</v>
      </c>
      <c r="D1446" s="9" t="s">
        <v>758</v>
      </c>
    </row>
    <row r="1447" spans="1:4" ht="12.5">
      <c r="A1447" s="186">
        <v>46159</v>
      </c>
      <c r="B1447" s="184">
        <v>7002403029</v>
      </c>
      <c r="C1447" s="184">
        <v>1</v>
      </c>
      <c r="D1447" s="9" t="s">
        <v>750</v>
      </c>
    </row>
    <row r="1448" spans="1:4" ht="12.5">
      <c r="A1448" s="186">
        <v>46159</v>
      </c>
      <c r="B1448" s="184">
        <v>7002404028</v>
      </c>
      <c r="C1448" s="184">
        <v>1</v>
      </c>
      <c r="D1448" s="9" t="s">
        <v>750</v>
      </c>
    </row>
    <row r="1449" spans="1:4" ht="12.5">
      <c r="A1449" s="186">
        <v>46159</v>
      </c>
      <c r="B1449" s="184">
        <v>7002404130</v>
      </c>
      <c r="C1449" s="184">
        <v>7</v>
      </c>
      <c r="D1449" s="9" t="s">
        <v>758</v>
      </c>
    </row>
    <row r="1450" spans="1:4" ht="12.5">
      <c r="A1450" s="186">
        <v>46159</v>
      </c>
      <c r="B1450" s="184">
        <v>7002404690</v>
      </c>
      <c r="C1450" s="184">
        <v>1</v>
      </c>
      <c r="D1450" s="9" t="s">
        <v>750</v>
      </c>
    </row>
    <row r="1451" spans="1:4" ht="12.5">
      <c r="A1451" s="186">
        <v>46159</v>
      </c>
      <c r="B1451" s="184">
        <v>7002405798</v>
      </c>
      <c r="C1451" s="184">
        <v>2</v>
      </c>
      <c r="D1451" s="9" t="s">
        <v>751</v>
      </c>
    </row>
    <row r="1452" spans="1:4" ht="12.5">
      <c r="A1452" s="186">
        <v>46159</v>
      </c>
      <c r="B1452" s="184">
        <v>7002409005</v>
      </c>
      <c r="C1452" s="184">
        <v>8</v>
      </c>
      <c r="D1452" s="9" t="s">
        <v>758</v>
      </c>
    </row>
    <row r="1453" spans="1:4" ht="12.5">
      <c r="A1453" s="186">
        <v>46159</v>
      </c>
      <c r="B1453" s="184">
        <v>7002410258</v>
      </c>
      <c r="C1453" s="184">
        <v>19</v>
      </c>
      <c r="D1453" s="9" t="s">
        <v>752</v>
      </c>
    </row>
    <row r="1454" spans="1:4" ht="12.5">
      <c r="A1454" s="186">
        <v>46159</v>
      </c>
      <c r="B1454" s="184">
        <v>7002410596</v>
      </c>
      <c r="C1454" s="184">
        <v>2</v>
      </c>
      <c r="D1454" s="9" t="s">
        <v>751</v>
      </c>
    </row>
    <row r="1455" spans="1:4" ht="12.5">
      <c r="A1455" s="186">
        <v>46159</v>
      </c>
      <c r="B1455" s="184">
        <v>7002411257</v>
      </c>
      <c r="C1455" s="184">
        <v>6</v>
      </c>
      <c r="D1455" s="9" t="s">
        <v>758</v>
      </c>
    </row>
    <row r="1456" spans="1:4" ht="12.5">
      <c r="A1456" s="186">
        <v>46159</v>
      </c>
      <c r="B1456" s="184">
        <v>7002411767</v>
      </c>
      <c r="C1456" s="184">
        <v>10</v>
      </c>
      <c r="D1456" s="9" t="s">
        <v>758</v>
      </c>
    </row>
    <row r="1457" spans="1:4" ht="12.5">
      <c r="A1457" s="186">
        <v>46159</v>
      </c>
      <c r="B1457" s="184">
        <v>7002412900</v>
      </c>
      <c r="C1457" s="184">
        <v>1</v>
      </c>
      <c r="D1457" s="9" t="s">
        <v>750</v>
      </c>
    </row>
    <row r="1458" spans="1:4" ht="12.5">
      <c r="A1458" s="186">
        <v>46159</v>
      </c>
      <c r="B1458" s="184">
        <v>7002417212</v>
      </c>
      <c r="C1458" s="184">
        <v>2</v>
      </c>
      <c r="D1458" s="9" t="s">
        <v>751</v>
      </c>
    </row>
    <row r="1459" spans="1:4" ht="12.5">
      <c r="A1459" s="186">
        <v>46159</v>
      </c>
      <c r="B1459" s="184">
        <v>7002417661</v>
      </c>
      <c r="C1459" s="184">
        <v>8</v>
      </c>
      <c r="D1459" s="9" t="s">
        <v>758</v>
      </c>
    </row>
    <row r="1460" spans="1:4" ht="12.5">
      <c r="A1460" s="186">
        <v>46159</v>
      </c>
      <c r="B1460" s="184">
        <v>7002418407</v>
      </c>
      <c r="C1460" s="184">
        <v>2</v>
      </c>
      <c r="D1460" s="9" t="s">
        <v>751</v>
      </c>
    </row>
    <row r="1461" spans="1:4" ht="12.5">
      <c r="A1461" s="186">
        <v>46159</v>
      </c>
      <c r="B1461" s="184">
        <v>7002418814</v>
      </c>
      <c r="C1461" s="184">
        <v>8</v>
      </c>
      <c r="D1461" s="9" t="s">
        <v>758</v>
      </c>
    </row>
    <row r="1462" spans="1:4" ht="12.5">
      <c r="A1462" s="186">
        <v>46159</v>
      </c>
      <c r="B1462" s="184">
        <v>7002420214</v>
      </c>
      <c r="C1462" s="184">
        <v>8</v>
      </c>
      <c r="D1462" s="9" t="s">
        <v>758</v>
      </c>
    </row>
    <row r="1463" spans="1:4" ht="12.5">
      <c r="A1463" s="186">
        <v>46159</v>
      </c>
      <c r="B1463" s="184">
        <v>7002420222</v>
      </c>
      <c r="C1463" s="184">
        <v>8</v>
      </c>
      <c r="D1463" s="9" t="s">
        <v>758</v>
      </c>
    </row>
    <row r="1464" spans="1:4" ht="12.5">
      <c r="A1464" s="186">
        <v>46159</v>
      </c>
      <c r="B1464" s="184">
        <v>7002420251</v>
      </c>
      <c r="C1464" s="184">
        <v>1</v>
      </c>
      <c r="D1464" s="9" t="s">
        <v>750</v>
      </c>
    </row>
    <row r="1465" spans="1:4" ht="12.5">
      <c r="A1465" s="186">
        <v>46159</v>
      </c>
      <c r="B1465" s="184">
        <v>7002421357</v>
      </c>
      <c r="C1465" s="184">
        <v>15</v>
      </c>
      <c r="D1465" s="9" t="s">
        <v>752</v>
      </c>
    </row>
    <row r="1466" spans="1:4" ht="12.5">
      <c r="A1466" s="186">
        <v>46159</v>
      </c>
      <c r="B1466" s="184">
        <v>7002422092</v>
      </c>
      <c r="C1466" s="184">
        <v>1</v>
      </c>
      <c r="D1466" s="9" t="s">
        <v>750</v>
      </c>
    </row>
    <row r="1467" spans="1:4" ht="12.5">
      <c r="A1467" s="186">
        <v>46159</v>
      </c>
      <c r="B1467" s="184">
        <v>7002422148</v>
      </c>
      <c r="C1467" s="184">
        <v>31</v>
      </c>
      <c r="D1467" s="9" t="s">
        <v>752</v>
      </c>
    </row>
    <row r="1468" spans="1:4" ht="12.5">
      <c r="A1468" s="186">
        <v>46159</v>
      </c>
      <c r="B1468" s="184">
        <v>7002422360</v>
      </c>
      <c r="C1468" s="184">
        <v>8</v>
      </c>
      <c r="D1468" s="9" t="s">
        <v>758</v>
      </c>
    </row>
    <row r="1469" spans="1:4" ht="12.5">
      <c r="A1469" s="186">
        <v>46159</v>
      </c>
      <c r="B1469" s="184">
        <v>7002423168</v>
      </c>
      <c r="C1469" s="184">
        <v>5</v>
      </c>
      <c r="D1469" s="9" t="s">
        <v>751</v>
      </c>
    </row>
    <row r="1470" spans="1:4" ht="12.5">
      <c r="A1470" s="186">
        <v>46159</v>
      </c>
      <c r="B1470" s="184">
        <v>7002424198</v>
      </c>
      <c r="C1470" s="184">
        <v>8</v>
      </c>
      <c r="D1470" s="9" t="s">
        <v>758</v>
      </c>
    </row>
    <row r="1471" spans="1:4" ht="12.5">
      <c r="A1471" s="186">
        <v>46159</v>
      </c>
      <c r="B1471" s="184">
        <v>7002424949</v>
      </c>
      <c r="C1471" s="184">
        <v>2</v>
      </c>
      <c r="D1471" s="9" t="s">
        <v>751</v>
      </c>
    </row>
    <row r="1472" spans="1:4" ht="12.5">
      <c r="A1472" s="186">
        <v>46159</v>
      </c>
      <c r="B1472" s="184">
        <v>7002425306</v>
      </c>
      <c r="C1472" s="184">
        <v>11</v>
      </c>
      <c r="D1472" s="9" t="s">
        <v>752</v>
      </c>
    </row>
    <row r="1473" spans="1:4" ht="12.5">
      <c r="A1473" s="186">
        <v>46159</v>
      </c>
      <c r="B1473" s="184">
        <v>7002426330</v>
      </c>
      <c r="C1473" s="184">
        <v>64</v>
      </c>
      <c r="D1473" s="9" t="s">
        <v>752</v>
      </c>
    </row>
    <row r="1474" spans="1:4" ht="12.5">
      <c r="A1474" s="186">
        <v>46159</v>
      </c>
      <c r="B1474" s="184">
        <v>7002427022</v>
      </c>
      <c r="C1474" s="184">
        <v>4</v>
      </c>
      <c r="D1474" s="9" t="s">
        <v>751</v>
      </c>
    </row>
    <row r="1475" spans="1:4" ht="12.5">
      <c r="A1475" s="186">
        <v>46159</v>
      </c>
      <c r="B1475" s="184">
        <v>7002427188</v>
      </c>
      <c r="C1475" s="184">
        <v>8</v>
      </c>
      <c r="D1475" s="9" t="s">
        <v>758</v>
      </c>
    </row>
    <row r="1476" spans="1:4" ht="12.5">
      <c r="A1476" s="186">
        <v>46159</v>
      </c>
      <c r="B1476" s="184">
        <v>7002427202</v>
      </c>
      <c r="C1476" s="184">
        <v>8</v>
      </c>
      <c r="D1476" s="9" t="s">
        <v>758</v>
      </c>
    </row>
    <row r="1477" spans="1:4" ht="12.5">
      <c r="A1477" s="186">
        <v>46159</v>
      </c>
      <c r="B1477" s="184">
        <v>7002428136</v>
      </c>
      <c r="C1477" s="184">
        <v>2</v>
      </c>
      <c r="D1477" s="9" t="s">
        <v>751</v>
      </c>
    </row>
    <row r="1478" spans="1:4" ht="12.5">
      <c r="A1478" s="186">
        <v>46159</v>
      </c>
      <c r="B1478" s="184">
        <v>7002428226</v>
      </c>
      <c r="C1478" s="184">
        <v>8</v>
      </c>
      <c r="D1478" s="9" t="s">
        <v>758</v>
      </c>
    </row>
    <row r="1479" spans="1:4" ht="12.5">
      <c r="A1479" s="186">
        <v>46159</v>
      </c>
      <c r="B1479" s="184">
        <v>7002428257</v>
      </c>
      <c r="C1479" s="184">
        <v>2</v>
      </c>
      <c r="D1479" s="9" t="s">
        <v>751</v>
      </c>
    </row>
    <row r="1480" spans="1:4" ht="12.5">
      <c r="A1480" s="186">
        <v>46159</v>
      </c>
      <c r="B1480" s="184">
        <v>7002429243</v>
      </c>
      <c r="C1480" s="184">
        <v>8</v>
      </c>
      <c r="D1480" s="9" t="s">
        <v>758</v>
      </c>
    </row>
    <row r="1481" spans="1:4" ht="12.5">
      <c r="A1481" s="186">
        <v>46159</v>
      </c>
      <c r="B1481" s="184">
        <v>7002431491</v>
      </c>
      <c r="C1481" s="184">
        <v>1</v>
      </c>
      <c r="D1481" s="9" t="s">
        <v>750</v>
      </c>
    </row>
    <row r="1482" spans="1:4" ht="12.5">
      <c r="A1482" s="186">
        <v>46159</v>
      </c>
      <c r="B1482" s="184">
        <v>7002431510</v>
      </c>
      <c r="C1482" s="184">
        <v>33</v>
      </c>
      <c r="D1482" s="9" t="s">
        <v>752</v>
      </c>
    </row>
    <row r="1483" spans="1:4" ht="12.5">
      <c r="A1483" s="186">
        <v>46159</v>
      </c>
      <c r="B1483" s="184">
        <v>7002432505</v>
      </c>
      <c r="C1483" s="184">
        <v>5</v>
      </c>
      <c r="D1483" s="9" t="s">
        <v>751</v>
      </c>
    </row>
    <row r="1484" spans="1:4" ht="12.5">
      <c r="A1484" s="186">
        <v>46159</v>
      </c>
      <c r="B1484" s="184">
        <v>7002433494</v>
      </c>
      <c r="C1484" s="184">
        <v>2</v>
      </c>
      <c r="D1484" s="9" t="s">
        <v>751</v>
      </c>
    </row>
    <row r="1485" spans="1:4" ht="12.5">
      <c r="A1485" s="186">
        <v>46159</v>
      </c>
      <c r="B1485" s="184">
        <v>7002434512</v>
      </c>
      <c r="C1485" s="184">
        <v>9</v>
      </c>
      <c r="D1485" s="9" t="s">
        <v>758</v>
      </c>
    </row>
    <row r="1486" spans="1:4" ht="12.5">
      <c r="A1486" s="186">
        <v>46159</v>
      </c>
      <c r="B1486" s="184">
        <v>7002435526</v>
      </c>
      <c r="C1486" s="184">
        <v>6</v>
      </c>
      <c r="D1486" s="9" t="s">
        <v>758</v>
      </c>
    </row>
    <row r="1487" spans="1:4" ht="12.5">
      <c r="A1487" s="186">
        <v>46159</v>
      </c>
      <c r="B1487" s="184">
        <v>7002436504</v>
      </c>
      <c r="C1487" s="184">
        <v>3</v>
      </c>
      <c r="D1487" s="9" t="s">
        <v>751</v>
      </c>
    </row>
    <row r="1488" spans="1:4" ht="12.5">
      <c r="A1488" s="186">
        <v>46159</v>
      </c>
      <c r="B1488" s="184">
        <v>7002436619</v>
      </c>
      <c r="C1488" s="184">
        <v>1</v>
      </c>
      <c r="D1488" s="9" t="s">
        <v>750</v>
      </c>
    </row>
    <row r="1489" spans="1:4" ht="12.5">
      <c r="A1489" s="186">
        <v>46159</v>
      </c>
      <c r="B1489" s="184">
        <v>7002437453</v>
      </c>
      <c r="C1489" s="184">
        <v>10</v>
      </c>
      <c r="D1489" s="9" t="s">
        <v>758</v>
      </c>
    </row>
    <row r="1490" spans="1:4" ht="12.5">
      <c r="A1490" s="186">
        <v>46159</v>
      </c>
      <c r="B1490" s="184">
        <v>7002437643</v>
      </c>
      <c r="C1490" s="184">
        <v>19</v>
      </c>
      <c r="D1490" s="9" t="s">
        <v>752</v>
      </c>
    </row>
    <row r="1491" spans="1:4" ht="12.5">
      <c r="A1491" s="186">
        <v>46159</v>
      </c>
      <c r="B1491" s="184">
        <v>7002439638</v>
      </c>
      <c r="C1491" s="184">
        <v>109</v>
      </c>
      <c r="D1491" s="9" t="s">
        <v>752</v>
      </c>
    </row>
    <row r="1492" spans="1:4" ht="12.5">
      <c r="A1492" s="186">
        <v>46159</v>
      </c>
      <c r="B1492" s="184">
        <v>7002440668</v>
      </c>
      <c r="C1492" s="184">
        <v>62</v>
      </c>
      <c r="D1492" s="9" t="s">
        <v>752</v>
      </c>
    </row>
    <row r="1493" spans="1:4" ht="12.5">
      <c r="A1493" s="186">
        <v>46159</v>
      </c>
      <c r="B1493" s="184">
        <v>7002440675</v>
      </c>
      <c r="C1493" s="184">
        <v>33</v>
      </c>
      <c r="D1493" s="9" t="s">
        <v>752</v>
      </c>
    </row>
    <row r="1494" spans="1:4" ht="12.5">
      <c r="A1494" s="186">
        <v>46159</v>
      </c>
      <c r="B1494" s="184">
        <v>7002440708</v>
      </c>
      <c r="C1494" s="184">
        <v>1</v>
      </c>
      <c r="D1494" s="9" t="s">
        <v>750</v>
      </c>
    </row>
    <row r="1495" spans="1:4" ht="12.5">
      <c r="A1495" s="186">
        <v>46159</v>
      </c>
      <c r="B1495" s="184">
        <v>7002440749</v>
      </c>
      <c r="C1495" s="184">
        <v>6</v>
      </c>
      <c r="D1495" s="9" t="s">
        <v>758</v>
      </c>
    </row>
    <row r="1496" spans="1:4" ht="12.5">
      <c r="A1496" s="186">
        <v>46159</v>
      </c>
      <c r="B1496" s="184">
        <v>7002440783</v>
      </c>
      <c r="C1496" s="184">
        <v>7</v>
      </c>
      <c r="D1496" s="9" t="s">
        <v>758</v>
      </c>
    </row>
    <row r="1497" spans="1:4" ht="12.5">
      <c r="A1497" s="186">
        <v>46159</v>
      </c>
      <c r="B1497" s="184">
        <v>7002441679</v>
      </c>
      <c r="C1497" s="184">
        <v>16</v>
      </c>
      <c r="D1497" s="9" t="s">
        <v>752</v>
      </c>
    </row>
    <row r="1498" spans="1:4" ht="12.5">
      <c r="A1498" s="186">
        <v>46159</v>
      </c>
      <c r="B1498" s="184">
        <v>7002442440</v>
      </c>
      <c r="C1498" s="184">
        <v>1</v>
      </c>
      <c r="D1498" s="9" t="s">
        <v>750</v>
      </c>
    </row>
    <row r="1499" spans="1:4" ht="12.5">
      <c r="A1499" s="186">
        <v>46159</v>
      </c>
      <c r="B1499" s="184">
        <v>7002442486</v>
      </c>
      <c r="C1499" s="184">
        <v>1</v>
      </c>
      <c r="D1499" s="9" t="s">
        <v>750</v>
      </c>
    </row>
    <row r="1500" spans="1:4" ht="12.5">
      <c r="A1500" s="186">
        <v>46159</v>
      </c>
      <c r="B1500" s="184">
        <v>7002442752</v>
      </c>
      <c r="C1500" s="184">
        <v>8</v>
      </c>
      <c r="D1500" s="9" t="s">
        <v>758</v>
      </c>
    </row>
    <row r="1501" spans="1:4" ht="12.5">
      <c r="A1501" s="186">
        <v>46159</v>
      </c>
      <c r="B1501" s="184">
        <v>7002443507</v>
      </c>
      <c r="C1501" s="184">
        <v>1</v>
      </c>
      <c r="D1501" s="9" t="s">
        <v>750</v>
      </c>
    </row>
    <row r="1502" spans="1:4" ht="12.5">
      <c r="A1502" s="186">
        <v>46159</v>
      </c>
      <c r="B1502" s="184">
        <v>7002443714</v>
      </c>
      <c r="C1502" s="184">
        <v>6</v>
      </c>
      <c r="D1502" s="9" t="s">
        <v>758</v>
      </c>
    </row>
    <row r="1503" spans="1:4" ht="12.5">
      <c r="A1503" s="186">
        <v>46159</v>
      </c>
      <c r="B1503" s="184">
        <v>7002444506</v>
      </c>
      <c r="C1503" s="184">
        <v>10</v>
      </c>
      <c r="D1503" s="9" t="s">
        <v>758</v>
      </c>
    </row>
    <row r="1504" spans="1:4" ht="12.5">
      <c r="A1504" s="186">
        <v>46159</v>
      </c>
      <c r="B1504" s="184">
        <v>7002444713</v>
      </c>
      <c r="C1504" s="184">
        <v>1</v>
      </c>
      <c r="D1504" s="9" t="s">
        <v>750</v>
      </c>
    </row>
    <row r="1505" spans="1:4" ht="12.5">
      <c r="A1505" s="186">
        <v>46159</v>
      </c>
      <c r="B1505" s="184">
        <v>7002444732</v>
      </c>
      <c r="C1505" s="184">
        <v>1</v>
      </c>
      <c r="D1505" s="9" t="s">
        <v>750</v>
      </c>
    </row>
    <row r="1506" spans="1:4" ht="12.5">
      <c r="A1506" s="186">
        <v>46159</v>
      </c>
      <c r="B1506" s="184">
        <v>7002445326</v>
      </c>
      <c r="C1506" s="184">
        <v>4</v>
      </c>
      <c r="D1506" s="9" t="s">
        <v>751</v>
      </c>
    </row>
    <row r="1507" spans="1:4" ht="12.5">
      <c r="A1507" s="186">
        <v>46159</v>
      </c>
      <c r="B1507" s="184">
        <v>7002445689</v>
      </c>
      <c r="C1507" s="184">
        <v>3</v>
      </c>
      <c r="D1507" s="9" t="s">
        <v>751</v>
      </c>
    </row>
    <row r="1508" spans="1:4" ht="12.5">
      <c r="A1508" s="186">
        <v>46159</v>
      </c>
      <c r="B1508" s="184">
        <v>7002445794</v>
      </c>
      <c r="C1508" s="184">
        <v>30</v>
      </c>
      <c r="D1508" s="9" t="s">
        <v>752</v>
      </c>
    </row>
    <row r="1509" spans="1:4" ht="12.5">
      <c r="A1509" s="186">
        <v>46159</v>
      </c>
      <c r="B1509" s="184">
        <v>7002445822</v>
      </c>
      <c r="C1509" s="184">
        <v>7</v>
      </c>
      <c r="D1509" s="9" t="s">
        <v>758</v>
      </c>
    </row>
    <row r="1510" spans="1:4" ht="12.5">
      <c r="A1510" s="186">
        <v>46159</v>
      </c>
      <c r="B1510" s="184">
        <v>7002445910</v>
      </c>
      <c r="C1510" s="184">
        <v>145</v>
      </c>
      <c r="D1510" s="9" t="s">
        <v>752</v>
      </c>
    </row>
    <row r="1511" spans="1:4" ht="12.5">
      <c r="A1511" s="186">
        <v>46159</v>
      </c>
      <c r="B1511" s="184">
        <v>7002446875</v>
      </c>
      <c r="C1511" s="184">
        <v>1</v>
      </c>
      <c r="D1511" s="9" t="s">
        <v>750</v>
      </c>
    </row>
    <row r="1512" spans="1:4" ht="12.5">
      <c r="A1512" s="186">
        <v>46159</v>
      </c>
      <c r="B1512" s="184">
        <v>7002447502</v>
      </c>
      <c r="C1512" s="184">
        <v>10</v>
      </c>
      <c r="D1512" s="9" t="s">
        <v>758</v>
      </c>
    </row>
    <row r="1513" spans="1:4" ht="12.5">
      <c r="A1513" s="186">
        <v>46159</v>
      </c>
      <c r="B1513" s="184">
        <v>7002447672</v>
      </c>
      <c r="C1513" s="184">
        <v>3</v>
      </c>
      <c r="D1513" s="9" t="s">
        <v>751</v>
      </c>
    </row>
    <row r="1514" spans="1:4" ht="12.5">
      <c r="A1514" s="186">
        <v>46159</v>
      </c>
      <c r="B1514" s="184">
        <v>7002447686</v>
      </c>
      <c r="C1514" s="184">
        <v>19</v>
      </c>
      <c r="D1514" s="9" t="s">
        <v>752</v>
      </c>
    </row>
    <row r="1515" spans="1:4" ht="12.5">
      <c r="A1515" s="186">
        <v>46159</v>
      </c>
      <c r="B1515" s="184">
        <v>7002447715</v>
      </c>
      <c r="C1515" s="184">
        <v>23</v>
      </c>
      <c r="D1515" s="9" t="s">
        <v>752</v>
      </c>
    </row>
    <row r="1516" spans="1:4" ht="12.5">
      <c r="A1516" s="186">
        <v>46159</v>
      </c>
      <c r="B1516" s="184">
        <v>7002448694</v>
      </c>
      <c r="C1516" s="184">
        <v>4</v>
      </c>
      <c r="D1516" s="9" t="s">
        <v>751</v>
      </c>
    </row>
    <row r="1517" spans="1:4" ht="12.5">
      <c r="A1517" s="186">
        <v>46159</v>
      </c>
      <c r="B1517" s="184">
        <v>7002448820</v>
      </c>
      <c r="C1517" s="184">
        <v>5</v>
      </c>
      <c r="D1517" s="9" t="s">
        <v>751</v>
      </c>
    </row>
    <row r="1518" spans="1:4" ht="12.5">
      <c r="A1518" s="186">
        <v>46159</v>
      </c>
      <c r="B1518" s="184">
        <v>7002448831</v>
      </c>
      <c r="C1518" s="184">
        <v>4</v>
      </c>
      <c r="D1518" s="9" t="s">
        <v>751</v>
      </c>
    </row>
    <row r="1519" spans="1:4" ht="12.5">
      <c r="A1519" s="186">
        <v>46159</v>
      </c>
      <c r="B1519" s="184">
        <v>7002448909</v>
      </c>
      <c r="C1519" s="184">
        <v>2</v>
      </c>
      <c r="D1519" s="9" t="s">
        <v>751</v>
      </c>
    </row>
    <row r="1520" spans="1:4" ht="12.5">
      <c r="A1520" s="186">
        <v>46159</v>
      </c>
      <c r="B1520" s="184">
        <v>7002449661</v>
      </c>
      <c r="C1520" s="184">
        <v>1</v>
      </c>
      <c r="D1520" s="9" t="s">
        <v>750</v>
      </c>
    </row>
    <row r="1521" spans="1:4" ht="12.5">
      <c r="A1521" s="186">
        <v>46159</v>
      </c>
      <c r="B1521" s="184">
        <v>7002449674</v>
      </c>
      <c r="C1521" s="184">
        <v>3</v>
      </c>
      <c r="D1521" s="9" t="s">
        <v>751</v>
      </c>
    </row>
    <row r="1522" spans="1:4" ht="12.5">
      <c r="A1522" s="186">
        <v>46159</v>
      </c>
      <c r="B1522" s="184">
        <v>7002449701</v>
      </c>
      <c r="C1522" s="184">
        <v>2</v>
      </c>
      <c r="D1522" s="9" t="s">
        <v>751</v>
      </c>
    </row>
    <row r="1523" spans="1:4" ht="12.5">
      <c r="A1523" s="186">
        <v>46159</v>
      </c>
      <c r="B1523" s="184">
        <v>7002449717</v>
      </c>
      <c r="C1523" s="184">
        <v>44</v>
      </c>
      <c r="D1523" s="9" t="s">
        <v>752</v>
      </c>
    </row>
    <row r="1524" spans="1:4" ht="12.5">
      <c r="A1524" s="186">
        <v>46159</v>
      </c>
      <c r="B1524" s="184">
        <v>7002450061</v>
      </c>
      <c r="C1524" s="184">
        <v>1</v>
      </c>
      <c r="D1524" s="9" t="s">
        <v>750</v>
      </c>
    </row>
    <row r="1525" spans="1:4" ht="12.5">
      <c r="A1525" s="186">
        <v>46159</v>
      </c>
      <c r="B1525" s="184">
        <v>7002450206</v>
      </c>
      <c r="C1525" s="184">
        <v>71</v>
      </c>
      <c r="D1525" s="9" t="s">
        <v>752</v>
      </c>
    </row>
    <row r="1526" spans="1:4" ht="12.5">
      <c r="A1526" s="186">
        <v>46159</v>
      </c>
      <c r="B1526" s="184">
        <v>7002451637</v>
      </c>
      <c r="C1526" s="184">
        <v>1</v>
      </c>
      <c r="D1526" s="9" t="s">
        <v>750</v>
      </c>
    </row>
    <row r="1527" spans="1:4" ht="12.5">
      <c r="A1527" s="186">
        <v>46159</v>
      </c>
      <c r="B1527" s="184">
        <v>7002452154</v>
      </c>
      <c r="C1527" s="184">
        <v>1</v>
      </c>
      <c r="D1527" s="9" t="s">
        <v>750</v>
      </c>
    </row>
    <row r="1528" spans="1:4" ht="12.5">
      <c r="A1528" s="186">
        <v>46159</v>
      </c>
      <c r="B1528" s="184">
        <v>7002454641</v>
      </c>
      <c r="C1528" s="184">
        <v>20</v>
      </c>
      <c r="D1528" s="9" t="s">
        <v>752</v>
      </c>
    </row>
    <row r="1529" spans="1:4" ht="12.5">
      <c r="A1529" s="186">
        <v>46159</v>
      </c>
      <c r="B1529" s="184">
        <v>7002455095</v>
      </c>
      <c r="C1529" s="184">
        <v>1</v>
      </c>
      <c r="D1529" s="9" t="s">
        <v>750</v>
      </c>
    </row>
    <row r="1530" spans="1:4" ht="12.5">
      <c r="A1530" s="186">
        <v>46159</v>
      </c>
      <c r="B1530" s="184">
        <v>7002455650</v>
      </c>
      <c r="C1530" s="184">
        <v>3</v>
      </c>
      <c r="D1530" s="9" t="s">
        <v>751</v>
      </c>
    </row>
    <row r="1531" spans="1:4" ht="12.5">
      <c r="A1531" s="186">
        <v>46159</v>
      </c>
      <c r="B1531" s="184">
        <v>7002459459</v>
      </c>
      <c r="C1531" s="184">
        <v>1</v>
      </c>
      <c r="D1531" s="9" t="s">
        <v>750</v>
      </c>
    </row>
    <row r="1532" spans="1:4" ht="12.5">
      <c r="A1532" s="186">
        <v>46159</v>
      </c>
      <c r="B1532" s="184">
        <v>7002459683</v>
      </c>
      <c r="C1532" s="184">
        <v>2</v>
      </c>
      <c r="D1532" s="9" t="s">
        <v>751</v>
      </c>
    </row>
    <row r="1533" spans="1:4" ht="12.5">
      <c r="A1533" s="186">
        <v>46159</v>
      </c>
      <c r="B1533" s="184">
        <v>7002460138</v>
      </c>
      <c r="C1533" s="184">
        <v>8</v>
      </c>
      <c r="D1533" s="9" t="s">
        <v>758</v>
      </c>
    </row>
    <row r="1534" spans="1:4" ht="12.5">
      <c r="A1534" s="186">
        <v>46159</v>
      </c>
      <c r="B1534" s="184">
        <v>7002460473</v>
      </c>
      <c r="C1534" s="184">
        <v>1</v>
      </c>
      <c r="D1534" s="9" t="s">
        <v>750</v>
      </c>
    </row>
    <row r="1535" spans="1:4" ht="12.5">
      <c r="A1535" s="186">
        <v>46159</v>
      </c>
      <c r="B1535" s="184">
        <v>7002460988</v>
      </c>
      <c r="C1535" s="184">
        <v>1</v>
      </c>
      <c r="D1535" s="9" t="s">
        <v>750</v>
      </c>
    </row>
    <row r="1536" spans="1:4" ht="12.5">
      <c r="A1536" s="186">
        <v>46159</v>
      </c>
      <c r="B1536" s="184">
        <v>7002461116</v>
      </c>
      <c r="C1536" s="184">
        <v>1</v>
      </c>
      <c r="D1536" s="9" t="s">
        <v>750</v>
      </c>
    </row>
    <row r="1537" spans="1:4" ht="12.5">
      <c r="A1537" s="186">
        <v>46159</v>
      </c>
      <c r="B1537" s="184">
        <v>7002461144</v>
      </c>
      <c r="C1537" s="184">
        <v>1</v>
      </c>
      <c r="D1537" s="9" t="s">
        <v>750</v>
      </c>
    </row>
    <row r="1538" spans="1:4" ht="12.5">
      <c r="A1538" s="186">
        <v>46159</v>
      </c>
      <c r="B1538" s="184">
        <v>7002461270</v>
      </c>
      <c r="C1538" s="184">
        <v>2</v>
      </c>
      <c r="D1538" s="9" t="s">
        <v>751</v>
      </c>
    </row>
    <row r="1539" spans="1:4" ht="12.5">
      <c r="A1539" s="186">
        <v>46159</v>
      </c>
      <c r="B1539" s="184">
        <v>7002461994</v>
      </c>
      <c r="C1539" s="184">
        <v>3</v>
      </c>
      <c r="D1539" s="9" t="s">
        <v>751</v>
      </c>
    </row>
    <row r="1540" spans="1:4" ht="12.5">
      <c r="A1540" s="186">
        <v>46159</v>
      </c>
      <c r="B1540" s="184">
        <v>7002462104</v>
      </c>
      <c r="C1540" s="184">
        <v>1</v>
      </c>
      <c r="D1540" s="9" t="s">
        <v>750</v>
      </c>
    </row>
    <row r="1541" spans="1:4" ht="12.5">
      <c r="A1541" s="186">
        <v>46159</v>
      </c>
      <c r="B1541" s="184">
        <v>7002462115</v>
      </c>
      <c r="C1541" s="184">
        <v>1</v>
      </c>
      <c r="D1541" s="9" t="s">
        <v>750</v>
      </c>
    </row>
    <row r="1542" spans="1:4" ht="12.5">
      <c r="A1542" s="186">
        <v>46159</v>
      </c>
      <c r="B1542" s="184">
        <v>7002462127</v>
      </c>
      <c r="C1542" s="184">
        <v>1</v>
      </c>
      <c r="D1542" s="9" t="s">
        <v>750</v>
      </c>
    </row>
    <row r="1543" spans="1:4" ht="12.5">
      <c r="A1543" s="186">
        <v>46159</v>
      </c>
      <c r="B1543" s="184">
        <v>7002462366</v>
      </c>
      <c r="C1543" s="184">
        <v>1</v>
      </c>
      <c r="D1543" s="9" t="s">
        <v>750</v>
      </c>
    </row>
    <row r="1544" spans="1:4" ht="12.5">
      <c r="A1544" s="186">
        <v>46159</v>
      </c>
      <c r="B1544" s="184">
        <v>7002462705</v>
      </c>
      <c r="C1544" s="184">
        <v>1</v>
      </c>
      <c r="D1544" s="9" t="s">
        <v>750</v>
      </c>
    </row>
    <row r="1545" spans="1:4" ht="12.5">
      <c r="A1545" s="186">
        <v>46159</v>
      </c>
      <c r="B1545" s="184">
        <v>7002463126</v>
      </c>
      <c r="C1545" s="184">
        <v>19</v>
      </c>
      <c r="D1545" s="9" t="s">
        <v>752</v>
      </c>
    </row>
    <row r="1546" spans="1:4" ht="12.5">
      <c r="A1546" s="186">
        <v>46159</v>
      </c>
      <c r="B1546" s="184">
        <v>7002463225</v>
      </c>
      <c r="C1546" s="184">
        <v>2</v>
      </c>
      <c r="D1546" s="9" t="s">
        <v>751</v>
      </c>
    </row>
    <row r="1547" spans="1:4" ht="12.5">
      <c r="A1547" s="186">
        <v>46159</v>
      </c>
      <c r="B1547" s="184">
        <v>7002464118</v>
      </c>
      <c r="C1547" s="184">
        <v>13</v>
      </c>
      <c r="D1547" s="9" t="s">
        <v>752</v>
      </c>
    </row>
    <row r="1548" spans="1:4" ht="12.5">
      <c r="A1548" s="186">
        <v>46159</v>
      </c>
      <c r="B1548" s="184">
        <v>7002464598</v>
      </c>
      <c r="C1548" s="184">
        <v>28</v>
      </c>
      <c r="D1548" s="9" t="s">
        <v>752</v>
      </c>
    </row>
    <row r="1549" spans="1:4" ht="12.5">
      <c r="A1549" s="186">
        <v>46159</v>
      </c>
      <c r="B1549" s="184">
        <v>7002465113</v>
      </c>
      <c r="C1549" s="184">
        <v>1</v>
      </c>
      <c r="D1549" s="9" t="s">
        <v>750</v>
      </c>
    </row>
    <row r="1550" spans="1:4" ht="12.5">
      <c r="A1550" s="186">
        <v>46159</v>
      </c>
      <c r="B1550" s="184">
        <v>7002465586</v>
      </c>
      <c r="C1550" s="184">
        <v>1</v>
      </c>
      <c r="D1550" s="9" t="s">
        <v>750</v>
      </c>
    </row>
    <row r="1551" spans="1:4" ht="12.5">
      <c r="A1551" s="186">
        <v>46159</v>
      </c>
      <c r="B1551" s="184">
        <v>7002465757</v>
      </c>
      <c r="C1551" s="184">
        <v>1</v>
      </c>
      <c r="D1551" s="9" t="s">
        <v>750</v>
      </c>
    </row>
    <row r="1552" spans="1:4" ht="12.5">
      <c r="A1552" s="186">
        <v>46159</v>
      </c>
      <c r="B1552" s="184">
        <v>7002466114</v>
      </c>
      <c r="C1552" s="184">
        <v>1</v>
      </c>
      <c r="D1552" s="9" t="s">
        <v>750</v>
      </c>
    </row>
    <row r="1553" spans="1:4" ht="12.5">
      <c r="A1553" s="186">
        <v>46159</v>
      </c>
      <c r="B1553" s="184">
        <v>7002466252</v>
      </c>
      <c r="C1553" s="184">
        <v>5</v>
      </c>
      <c r="D1553" s="9" t="s">
        <v>751</v>
      </c>
    </row>
    <row r="1554" spans="1:4" ht="12.5">
      <c r="A1554" s="186">
        <v>46159</v>
      </c>
      <c r="B1554" s="184">
        <v>7002467106</v>
      </c>
      <c r="C1554" s="184">
        <v>6</v>
      </c>
      <c r="D1554" s="9" t="s">
        <v>758</v>
      </c>
    </row>
    <row r="1555" spans="1:4" ht="12.5">
      <c r="A1555" s="186">
        <v>46159</v>
      </c>
      <c r="B1555" s="184">
        <v>7002467618</v>
      </c>
      <c r="C1555" s="184">
        <v>1</v>
      </c>
      <c r="D1555" s="9" t="s">
        <v>750</v>
      </c>
    </row>
    <row r="1556" spans="1:4" ht="12.5">
      <c r="A1556" s="186">
        <v>46159</v>
      </c>
      <c r="B1556" s="184">
        <v>7002468107</v>
      </c>
      <c r="C1556" s="184">
        <v>53</v>
      </c>
      <c r="D1556" s="9" t="s">
        <v>752</v>
      </c>
    </row>
    <row r="1557" spans="1:4" ht="12.5">
      <c r="A1557" s="186">
        <v>46159</v>
      </c>
      <c r="B1557" s="184">
        <v>7002468111</v>
      </c>
      <c r="C1557" s="184">
        <v>6</v>
      </c>
      <c r="D1557" s="9" t="s">
        <v>758</v>
      </c>
    </row>
    <row r="1558" spans="1:4" ht="12.5">
      <c r="A1558" s="186">
        <v>46159</v>
      </c>
      <c r="B1558" s="184">
        <v>7002468212</v>
      </c>
      <c r="C1558" s="184">
        <v>5</v>
      </c>
      <c r="D1558" s="9" t="s">
        <v>751</v>
      </c>
    </row>
    <row r="1559" spans="1:4" ht="12.5">
      <c r="A1559" s="186">
        <v>46159</v>
      </c>
      <c r="B1559" s="184">
        <v>7002469112</v>
      </c>
      <c r="C1559" s="184">
        <v>1</v>
      </c>
      <c r="D1559" s="9" t="s">
        <v>750</v>
      </c>
    </row>
    <row r="1560" spans="1:4" ht="12.5">
      <c r="A1560" s="186">
        <v>46159</v>
      </c>
      <c r="B1560" s="184">
        <v>7002469120</v>
      </c>
      <c r="C1560" s="184">
        <v>14</v>
      </c>
      <c r="D1560" s="9" t="s">
        <v>752</v>
      </c>
    </row>
    <row r="1561" spans="1:4" ht="12.5">
      <c r="A1561" s="186">
        <v>46159</v>
      </c>
      <c r="B1561" s="184">
        <v>7002469516</v>
      </c>
      <c r="C1561" s="184">
        <v>5</v>
      </c>
      <c r="D1561" s="9" t="s">
        <v>751</v>
      </c>
    </row>
    <row r="1562" spans="1:4" ht="12.5">
      <c r="A1562" s="186">
        <v>46159</v>
      </c>
      <c r="B1562" s="184">
        <v>7002469999</v>
      </c>
      <c r="C1562" s="184">
        <v>2</v>
      </c>
      <c r="D1562" s="9" t="s">
        <v>751</v>
      </c>
    </row>
    <row r="1563" spans="1:4" ht="12.5">
      <c r="A1563" s="186">
        <v>46159</v>
      </c>
      <c r="B1563" s="184">
        <v>7002470130</v>
      </c>
      <c r="C1563" s="184">
        <v>12</v>
      </c>
      <c r="D1563" s="9" t="s">
        <v>752</v>
      </c>
    </row>
    <row r="1564" spans="1:4" ht="12.5">
      <c r="A1564" s="186">
        <v>46159</v>
      </c>
      <c r="B1564" s="184">
        <v>7002471015</v>
      </c>
      <c r="C1564" s="184">
        <v>3</v>
      </c>
      <c r="D1564" s="9" t="s">
        <v>751</v>
      </c>
    </row>
    <row r="1565" spans="1:4" ht="12.5">
      <c r="A1565" s="186">
        <v>46159</v>
      </c>
      <c r="B1565" s="184">
        <v>7002471027</v>
      </c>
      <c r="C1565" s="184">
        <v>3</v>
      </c>
      <c r="D1565" s="9" t="s">
        <v>751</v>
      </c>
    </row>
    <row r="1566" spans="1:4" ht="12.5">
      <c r="A1566" s="186">
        <v>46159</v>
      </c>
      <c r="B1566" s="184">
        <v>7002472151</v>
      </c>
      <c r="C1566" s="184">
        <v>2</v>
      </c>
      <c r="D1566" s="9" t="s">
        <v>751</v>
      </c>
    </row>
    <row r="1567" spans="1:4" ht="12.5">
      <c r="A1567" s="186">
        <v>46159</v>
      </c>
      <c r="B1567" s="184">
        <v>7002474183</v>
      </c>
      <c r="C1567" s="184">
        <v>30</v>
      </c>
      <c r="D1567" s="9" t="s">
        <v>752</v>
      </c>
    </row>
    <row r="1568" spans="1:4" ht="12.5">
      <c r="A1568" s="186">
        <v>46159</v>
      </c>
      <c r="B1568" s="184">
        <v>7002476081</v>
      </c>
      <c r="C1568" s="184">
        <v>2</v>
      </c>
      <c r="D1568" s="9" t="s">
        <v>751</v>
      </c>
    </row>
    <row r="1569" spans="1:4" ht="12.5">
      <c r="A1569" s="186">
        <v>46159</v>
      </c>
      <c r="B1569" s="184">
        <v>7002476115</v>
      </c>
      <c r="C1569" s="184">
        <v>5</v>
      </c>
      <c r="D1569" s="9" t="s">
        <v>751</v>
      </c>
    </row>
    <row r="1570" spans="1:4" ht="12.5">
      <c r="A1570" s="186">
        <v>46159</v>
      </c>
      <c r="B1570" s="184">
        <v>7002476189</v>
      </c>
      <c r="C1570" s="184">
        <v>1</v>
      </c>
      <c r="D1570" s="9" t="s">
        <v>750</v>
      </c>
    </row>
    <row r="1571" spans="1:4" ht="12.5">
      <c r="A1571" s="186">
        <v>46159</v>
      </c>
      <c r="B1571" s="184">
        <v>7002479173</v>
      </c>
      <c r="C1571" s="184">
        <v>5</v>
      </c>
      <c r="D1571" s="9" t="s">
        <v>751</v>
      </c>
    </row>
    <row r="1572" spans="1:4" ht="12.5">
      <c r="A1572" s="191"/>
      <c r="B1572" s="192"/>
      <c r="C1572" s="192"/>
      <c r="D1572" s="136"/>
    </row>
    <row r="1573" spans="1:4" ht="12.5">
      <c r="A1573" s="186">
        <v>46160</v>
      </c>
      <c r="B1573" s="184">
        <v>7000908997</v>
      </c>
      <c r="C1573" s="184">
        <v>1</v>
      </c>
      <c r="D1573" s="9" t="s">
        <v>750</v>
      </c>
    </row>
    <row r="1574" spans="1:4" ht="12.5">
      <c r="A1574" s="186">
        <v>46160</v>
      </c>
      <c r="B1574" s="184">
        <v>7000918024</v>
      </c>
      <c r="C1574" s="184">
        <v>19</v>
      </c>
      <c r="D1574" s="9" t="s">
        <v>752</v>
      </c>
    </row>
    <row r="1575" spans="1:4" ht="12.5">
      <c r="A1575" s="186">
        <v>46160</v>
      </c>
      <c r="B1575" s="184">
        <v>7001727096</v>
      </c>
      <c r="C1575" s="184">
        <v>1</v>
      </c>
      <c r="D1575" s="9" t="s">
        <v>750</v>
      </c>
    </row>
    <row r="1576" spans="1:4" ht="12.5">
      <c r="A1576" s="186">
        <v>46160</v>
      </c>
      <c r="B1576" s="184">
        <v>7002185214</v>
      </c>
      <c r="C1576" s="184">
        <v>1</v>
      </c>
      <c r="D1576" s="9" t="s">
        <v>750</v>
      </c>
    </row>
    <row r="1577" spans="1:4" ht="12.5">
      <c r="A1577" s="186">
        <v>46160</v>
      </c>
      <c r="B1577" s="184">
        <v>7002343318</v>
      </c>
      <c r="C1577" s="184">
        <v>21</v>
      </c>
      <c r="D1577" s="9" t="s">
        <v>752</v>
      </c>
    </row>
    <row r="1578" spans="1:4" ht="12.5">
      <c r="A1578" s="186">
        <v>46160</v>
      </c>
      <c r="B1578" s="184">
        <v>7002355670</v>
      </c>
      <c r="C1578" s="184">
        <v>1</v>
      </c>
      <c r="D1578" s="9" t="s">
        <v>750</v>
      </c>
    </row>
    <row r="1579" spans="1:4" ht="12.5">
      <c r="A1579" s="186">
        <v>46160</v>
      </c>
      <c r="B1579" s="184">
        <v>7002377220</v>
      </c>
      <c r="C1579" s="184">
        <v>15</v>
      </c>
      <c r="D1579" s="9" t="s">
        <v>752</v>
      </c>
    </row>
    <row r="1580" spans="1:4" ht="12.5">
      <c r="A1580" s="186">
        <v>46160</v>
      </c>
      <c r="B1580" s="184">
        <v>7002385259</v>
      </c>
      <c r="C1580" s="184">
        <v>3</v>
      </c>
      <c r="D1580" s="9" t="s">
        <v>751</v>
      </c>
    </row>
    <row r="1581" spans="1:4" ht="12.5">
      <c r="A1581" s="186">
        <v>46160</v>
      </c>
      <c r="B1581" s="184">
        <v>7002386353</v>
      </c>
      <c r="C1581" s="184">
        <v>44</v>
      </c>
      <c r="D1581" s="9" t="s">
        <v>752</v>
      </c>
    </row>
    <row r="1582" spans="1:4" ht="12.5">
      <c r="A1582" s="186">
        <v>46160</v>
      </c>
      <c r="B1582" s="184">
        <v>7002390955</v>
      </c>
      <c r="C1582" s="184">
        <v>5</v>
      </c>
      <c r="D1582" s="9" t="s">
        <v>751</v>
      </c>
    </row>
    <row r="1583" spans="1:4" ht="12.5">
      <c r="A1583" s="186">
        <v>46160</v>
      </c>
      <c r="B1583" s="184">
        <v>7002394752</v>
      </c>
      <c r="C1583" s="184">
        <v>42</v>
      </c>
      <c r="D1583" s="9" t="s">
        <v>752</v>
      </c>
    </row>
    <row r="1584" spans="1:4" ht="12.5">
      <c r="A1584" s="186">
        <v>46160</v>
      </c>
      <c r="B1584" s="184">
        <v>7002398823</v>
      </c>
      <c r="C1584" s="184">
        <v>12</v>
      </c>
      <c r="D1584" s="9" t="s">
        <v>752</v>
      </c>
    </row>
    <row r="1585" spans="1:4" ht="12.5">
      <c r="A1585" s="186">
        <v>46160</v>
      </c>
      <c r="B1585" s="184">
        <v>7002400282</v>
      </c>
      <c r="C1585" s="184">
        <v>5</v>
      </c>
      <c r="D1585" s="9" t="s">
        <v>751</v>
      </c>
    </row>
    <row r="1586" spans="1:4" ht="12.5">
      <c r="A1586" s="186">
        <v>46160</v>
      </c>
      <c r="B1586" s="184">
        <v>7002400301</v>
      </c>
      <c r="C1586" s="184">
        <v>20</v>
      </c>
      <c r="D1586" s="9" t="s">
        <v>752</v>
      </c>
    </row>
    <row r="1587" spans="1:4" ht="12.5">
      <c r="A1587" s="186">
        <v>46160</v>
      </c>
      <c r="B1587" s="184">
        <v>7002403658</v>
      </c>
      <c r="C1587" s="184">
        <v>52</v>
      </c>
      <c r="D1587" s="9" t="s">
        <v>752</v>
      </c>
    </row>
    <row r="1588" spans="1:4" ht="12.5">
      <c r="A1588" s="186">
        <v>46160</v>
      </c>
      <c r="B1588" s="184">
        <v>7002406204</v>
      </c>
      <c r="C1588" s="184">
        <v>3</v>
      </c>
      <c r="D1588" s="9" t="s">
        <v>751</v>
      </c>
    </row>
    <row r="1589" spans="1:4" ht="12.5">
      <c r="A1589" s="186">
        <v>46160</v>
      </c>
      <c r="B1589" s="184">
        <v>7002408828</v>
      </c>
      <c r="C1589" s="184">
        <v>1</v>
      </c>
      <c r="D1589" s="9" t="s">
        <v>750</v>
      </c>
    </row>
    <row r="1590" spans="1:4" ht="12.5">
      <c r="A1590" s="186">
        <v>46160</v>
      </c>
      <c r="B1590" s="184">
        <v>7002409801</v>
      </c>
      <c r="C1590" s="184">
        <v>57</v>
      </c>
      <c r="D1590" s="9" t="s">
        <v>752</v>
      </c>
    </row>
    <row r="1591" spans="1:4" ht="12.5">
      <c r="A1591" s="186">
        <v>46160</v>
      </c>
      <c r="B1591" s="184">
        <v>7002410632</v>
      </c>
      <c r="C1591" s="184">
        <v>11</v>
      </c>
      <c r="D1591" s="9" t="s">
        <v>752</v>
      </c>
    </row>
    <row r="1592" spans="1:4" ht="12.5">
      <c r="A1592" s="186">
        <v>46160</v>
      </c>
      <c r="B1592" s="184">
        <v>7002415281</v>
      </c>
      <c r="C1592" s="184">
        <v>1</v>
      </c>
      <c r="D1592" s="9" t="s">
        <v>750</v>
      </c>
    </row>
    <row r="1593" spans="1:4" ht="12.5">
      <c r="A1593" s="186">
        <v>46160</v>
      </c>
      <c r="B1593" s="184">
        <v>7002416590</v>
      </c>
      <c r="C1593" s="184">
        <v>1</v>
      </c>
      <c r="D1593" s="9" t="s">
        <v>750</v>
      </c>
    </row>
    <row r="1594" spans="1:4" ht="12.5">
      <c r="A1594" s="186">
        <v>46160</v>
      </c>
      <c r="B1594" s="184">
        <v>7002419501</v>
      </c>
      <c r="C1594" s="184">
        <v>1</v>
      </c>
      <c r="D1594" s="9" t="s">
        <v>750</v>
      </c>
    </row>
    <row r="1595" spans="1:4" ht="12.5">
      <c r="A1595" s="186">
        <v>46160</v>
      </c>
      <c r="B1595" s="184">
        <v>7002419538</v>
      </c>
      <c r="C1595" s="184">
        <v>15</v>
      </c>
      <c r="D1595" s="9" t="s">
        <v>752</v>
      </c>
    </row>
    <row r="1596" spans="1:4" ht="12.5">
      <c r="A1596" s="186">
        <v>46160</v>
      </c>
      <c r="B1596" s="184">
        <v>7002420412</v>
      </c>
      <c r="C1596" s="184">
        <v>8</v>
      </c>
      <c r="D1596" s="9" t="s">
        <v>761</v>
      </c>
    </row>
    <row r="1597" spans="1:4" ht="12.5">
      <c r="A1597" s="186">
        <v>46160</v>
      </c>
      <c r="B1597" s="184">
        <v>7002421001</v>
      </c>
      <c r="C1597" s="184">
        <v>6</v>
      </c>
      <c r="D1597" s="9" t="s">
        <v>761</v>
      </c>
    </row>
    <row r="1598" spans="1:4" ht="12.5">
      <c r="A1598" s="186">
        <v>46160</v>
      </c>
      <c r="B1598" s="184">
        <v>7002421424</v>
      </c>
      <c r="C1598" s="184">
        <v>4</v>
      </c>
      <c r="D1598" s="9" t="s">
        <v>751</v>
      </c>
    </row>
    <row r="1599" spans="1:4" ht="12.5">
      <c r="A1599" s="186">
        <v>46160</v>
      </c>
      <c r="B1599" s="184">
        <v>7002422016</v>
      </c>
      <c r="C1599" s="184">
        <v>1</v>
      </c>
      <c r="D1599" s="9" t="s">
        <v>750</v>
      </c>
    </row>
    <row r="1600" spans="1:4" ht="12.5">
      <c r="A1600" s="186">
        <v>46160</v>
      </c>
      <c r="B1600" s="184">
        <v>7002423618</v>
      </c>
      <c r="C1600" s="184">
        <v>1</v>
      </c>
      <c r="D1600" s="9" t="s">
        <v>750</v>
      </c>
    </row>
    <row r="1601" spans="1:4" ht="12.5">
      <c r="A1601" s="186">
        <v>46160</v>
      </c>
      <c r="B1601" s="184">
        <v>7002426749</v>
      </c>
      <c r="C1601" s="184">
        <v>3</v>
      </c>
      <c r="D1601" s="9" t="s">
        <v>751</v>
      </c>
    </row>
    <row r="1602" spans="1:4" ht="12.5">
      <c r="A1602" s="186">
        <v>46160</v>
      </c>
      <c r="B1602" s="184">
        <v>7002426783</v>
      </c>
      <c r="C1602" s="184">
        <v>1</v>
      </c>
      <c r="D1602" s="9" t="s">
        <v>750</v>
      </c>
    </row>
    <row r="1603" spans="1:4" ht="12.5">
      <c r="A1603" s="186">
        <v>46160</v>
      </c>
      <c r="B1603" s="184">
        <v>7002427404</v>
      </c>
      <c r="C1603" s="184">
        <v>1</v>
      </c>
      <c r="D1603" s="9" t="s">
        <v>750</v>
      </c>
    </row>
    <row r="1604" spans="1:4" ht="12.5">
      <c r="A1604" s="186">
        <v>46160</v>
      </c>
      <c r="B1604" s="184">
        <v>7002429775</v>
      </c>
      <c r="C1604" s="184">
        <v>28</v>
      </c>
      <c r="D1604" s="9" t="s">
        <v>752</v>
      </c>
    </row>
    <row r="1605" spans="1:4" ht="12.5">
      <c r="A1605" s="186">
        <v>46160</v>
      </c>
      <c r="B1605" s="184">
        <v>7002436130</v>
      </c>
      <c r="C1605" s="184">
        <v>3</v>
      </c>
      <c r="D1605" s="9" t="s">
        <v>751</v>
      </c>
    </row>
    <row r="1606" spans="1:4" ht="12.5">
      <c r="A1606" s="186">
        <v>46160</v>
      </c>
      <c r="B1606" s="184">
        <v>7002437038</v>
      </c>
      <c r="C1606" s="184">
        <v>8</v>
      </c>
      <c r="D1606" s="9" t="s">
        <v>761</v>
      </c>
    </row>
    <row r="1607" spans="1:4" ht="12.5">
      <c r="A1607" s="186">
        <v>46160</v>
      </c>
      <c r="B1607" s="184">
        <v>7002439105</v>
      </c>
      <c r="C1607" s="184">
        <v>1</v>
      </c>
      <c r="D1607" s="9" t="s">
        <v>750</v>
      </c>
    </row>
    <row r="1608" spans="1:4" ht="12.5">
      <c r="A1608" s="186">
        <v>46160</v>
      </c>
      <c r="B1608" s="184">
        <v>7002441425</v>
      </c>
      <c r="C1608" s="184">
        <v>2</v>
      </c>
      <c r="D1608" s="9" t="s">
        <v>751</v>
      </c>
    </row>
    <row r="1609" spans="1:4" ht="12.5">
      <c r="A1609" s="186">
        <v>46160</v>
      </c>
      <c r="B1609" s="184">
        <v>7002441651</v>
      </c>
      <c r="C1609" s="184">
        <v>2</v>
      </c>
      <c r="D1609" s="9" t="s">
        <v>751</v>
      </c>
    </row>
    <row r="1610" spans="1:4" ht="12.5">
      <c r="A1610" s="186">
        <v>46160</v>
      </c>
      <c r="B1610" s="184">
        <v>7002443075</v>
      </c>
      <c r="C1610" s="184">
        <v>3</v>
      </c>
      <c r="D1610" s="9" t="s">
        <v>751</v>
      </c>
    </row>
    <row r="1611" spans="1:4" ht="12.5">
      <c r="A1611" s="186">
        <v>46160</v>
      </c>
      <c r="B1611" s="184">
        <v>7002443397</v>
      </c>
      <c r="C1611" s="184">
        <v>2</v>
      </c>
      <c r="D1611" s="9" t="s">
        <v>751</v>
      </c>
    </row>
    <row r="1612" spans="1:4" ht="12.5">
      <c r="A1612" s="186">
        <v>46160</v>
      </c>
      <c r="B1612" s="184">
        <v>7002444523</v>
      </c>
      <c r="C1612" s="184">
        <v>22</v>
      </c>
      <c r="D1612" s="9" t="s">
        <v>752</v>
      </c>
    </row>
    <row r="1613" spans="1:4" ht="12.5">
      <c r="A1613" s="186">
        <v>46160</v>
      </c>
      <c r="B1613" s="184">
        <v>7002445319</v>
      </c>
      <c r="C1613" s="184">
        <v>2</v>
      </c>
      <c r="D1613" s="9" t="s">
        <v>751</v>
      </c>
    </row>
    <row r="1614" spans="1:4" ht="12.5">
      <c r="A1614" s="186">
        <v>46160</v>
      </c>
      <c r="B1614" s="184">
        <v>7002449016</v>
      </c>
      <c r="C1614" s="184">
        <v>1</v>
      </c>
      <c r="D1614" s="9" t="s">
        <v>750</v>
      </c>
    </row>
    <row r="1615" spans="1:4" ht="12.5">
      <c r="A1615" s="186">
        <v>46160</v>
      </c>
      <c r="B1615" s="184">
        <v>7002468111</v>
      </c>
      <c r="C1615" s="184">
        <v>1</v>
      </c>
      <c r="D1615" s="9" t="s">
        <v>750</v>
      </c>
    </row>
    <row r="1616" spans="1:4" ht="12.5">
      <c r="A1616" s="186">
        <v>46160</v>
      </c>
      <c r="B1616" s="184">
        <v>7002470717</v>
      </c>
      <c r="C1616" s="184">
        <v>12</v>
      </c>
      <c r="D1616" s="9" t="s">
        <v>752</v>
      </c>
    </row>
    <row r="1617" spans="1:4" ht="12.5">
      <c r="A1617" s="186">
        <v>46160</v>
      </c>
      <c r="B1617" s="184">
        <v>7002472693</v>
      </c>
      <c r="C1617" s="184">
        <v>7</v>
      </c>
      <c r="D1617" s="9" t="s">
        <v>761</v>
      </c>
    </row>
    <row r="1618" spans="1:4" ht="12.5">
      <c r="A1618" s="186">
        <v>46160</v>
      </c>
      <c r="B1618" s="184">
        <v>7002478244</v>
      </c>
      <c r="C1618" s="184">
        <v>4</v>
      </c>
      <c r="D1618" s="9" t="s">
        <v>751</v>
      </c>
    </row>
    <row r="1619" spans="1:4" ht="12.5">
      <c r="A1619" s="191"/>
      <c r="B1619" s="192"/>
      <c r="C1619" s="192"/>
      <c r="D1619" s="136"/>
    </row>
    <row r="1620" spans="1:4" ht="12.5">
      <c r="A1620" s="186">
        <v>46161</v>
      </c>
      <c r="B1620" s="9">
        <v>7000908997</v>
      </c>
      <c r="C1620" s="9">
        <v>1</v>
      </c>
      <c r="D1620" s="9" t="s">
        <v>750</v>
      </c>
    </row>
    <row r="1621" spans="1:4" ht="12.5">
      <c r="A1621" s="186">
        <v>46161</v>
      </c>
      <c r="B1621" s="9">
        <v>7000918024</v>
      </c>
      <c r="C1621" s="9">
        <v>19</v>
      </c>
      <c r="D1621" s="9" t="s">
        <v>752</v>
      </c>
    </row>
    <row r="1622" spans="1:4" ht="12.5">
      <c r="A1622" s="186">
        <v>46161</v>
      </c>
      <c r="B1622" s="9">
        <v>7001727096</v>
      </c>
      <c r="C1622" s="9">
        <v>1</v>
      </c>
      <c r="D1622" s="9" t="s">
        <v>750</v>
      </c>
    </row>
    <row r="1623" spans="1:4" ht="12.5">
      <c r="A1623" s="186">
        <v>46161</v>
      </c>
      <c r="B1623" s="9">
        <v>7002325059</v>
      </c>
      <c r="C1623" s="9">
        <v>10</v>
      </c>
      <c r="D1623" s="9" t="s">
        <v>758</v>
      </c>
    </row>
    <row r="1624" spans="1:4" ht="12.5">
      <c r="A1624" s="186">
        <v>46161</v>
      </c>
      <c r="B1624" s="9">
        <v>7002377220</v>
      </c>
      <c r="C1624" s="9">
        <v>15</v>
      </c>
      <c r="D1624" s="9" t="s">
        <v>752</v>
      </c>
    </row>
    <row r="1625" spans="1:4" ht="12.5">
      <c r="A1625" s="186">
        <v>46161</v>
      </c>
      <c r="B1625" s="9">
        <v>7002381064</v>
      </c>
      <c r="C1625" s="9">
        <v>2</v>
      </c>
      <c r="D1625" s="9" t="s">
        <v>751</v>
      </c>
    </row>
    <row r="1626" spans="1:4" ht="12.5">
      <c r="A1626" s="186">
        <v>46161</v>
      </c>
      <c r="B1626" s="9">
        <v>7002386353</v>
      </c>
      <c r="C1626" s="9">
        <v>44</v>
      </c>
      <c r="D1626" s="9" t="s">
        <v>752</v>
      </c>
    </row>
    <row r="1627" spans="1:4" ht="12.5">
      <c r="A1627" s="186">
        <v>46161</v>
      </c>
      <c r="B1627" s="9">
        <v>7002404016</v>
      </c>
      <c r="C1627" s="9">
        <v>3</v>
      </c>
      <c r="D1627" s="9" t="s">
        <v>751</v>
      </c>
    </row>
    <row r="1628" spans="1:4" ht="12.5">
      <c r="A1628" s="186">
        <v>46161</v>
      </c>
      <c r="B1628" s="9">
        <v>7002410185</v>
      </c>
      <c r="C1628" s="9">
        <v>155</v>
      </c>
      <c r="D1628" s="9" t="s">
        <v>752</v>
      </c>
    </row>
    <row r="1629" spans="1:4" ht="12.5">
      <c r="A1629" s="186">
        <v>46161</v>
      </c>
      <c r="B1629" s="9">
        <v>7002411582</v>
      </c>
      <c r="C1629" s="9">
        <v>6</v>
      </c>
      <c r="D1629" s="9" t="s">
        <v>758</v>
      </c>
    </row>
    <row r="1630" spans="1:4" ht="12.5">
      <c r="A1630" s="186">
        <v>46161</v>
      </c>
      <c r="B1630" s="9">
        <v>7002424180</v>
      </c>
      <c r="C1630" s="9">
        <v>2</v>
      </c>
      <c r="D1630" s="9" t="s">
        <v>751</v>
      </c>
    </row>
    <row r="1631" spans="1:4" ht="12.5">
      <c r="A1631" s="186">
        <v>46161</v>
      </c>
      <c r="B1631" s="9">
        <v>7002424268</v>
      </c>
      <c r="C1631" s="9">
        <v>1</v>
      </c>
      <c r="D1631" s="9" t="s">
        <v>750</v>
      </c>
    </row>
    <row r="1632" spans="1:4" ht="12.5">
      <c r="A1632" s="186">
        <v>46161</v>
      </c>
      <c r="B1632" s="9">
        <v>7002427161</v>
      </c>
      <c r="C1632" s="9">
        <v>2</v>
      </c>
      <c r="D1632" s="9" t="s">
        <v>751</v>
      </c>
    </row>
    <row r="1633" spans="1:4" ht="12.5">
      <c r="A1633" s="186">
        <v>46161</v>
      </c>
      <c r="B1633" s="9">
        <v>7002431552</v>
      </c>
      <c r="C1633" s="9">
        <v>1</v>
      </c>
      <c r="D1633" s="9" t="s">
        <v>750</v>
      </c>
    </row>
    <row r="1634" spans="1:4" ht="12.5">
      <c r="A1634" s="186">
        <v>46161</v>
      </c>
      <c r="B1634" s="9">
        <v>7002438692</v>
      </c>
      <c r="C1634" s="9">
        <v>7</v>
      </c>
      <c r="D1634" s="9" t="s">
        <v>758</v>
      </c>
    </row>
    <row r="1635" spans="1:4" ht="12.5">
      <c r="A1635" s="186">
        <v>46161</v>
      </c>
      <c r="B1635" s="9">
        <v>7002441804</v>
      </c>
      <c r="C1635" s="9">
        <v>1</v>
      </c>
      <c r="D1635" s="9" t="s">
        <v>750</v>
      </c>
    </row>
    <row r="1636" spans="1:4" ht="12.5">
      <c r="A1636" s="186">
        <v>46161</v>
      </c>
      <c r="B1636" s="9">
        <v>7002442666</v>
      </c>
      <c r="C1636" s="9">
        <v>3</v>
      </c>
      <c r="D1636" s="9" t="s">
        <v>751</v>
      </c>
    </row>
    <row r="1637" spans="1:4" ht="12.5">
      <c r="A1637" s="186">
        <v>46161</v>
      </c>
      <c r="B1637" s="9">
        <v>7002444676</v>
      </c>
      <c r="C1637" s="9">
        <v>20</v>
      </c>
      <c r="D1637" s="9" t="s">
        <v>752</v>
      </c>
    </row>
    <row r="1638" spans="1:4" ht="12.5">
      <c r="A1638" s="186">
        <v>46161</v>
      </c>
      <c r="B1638" s="9">
        <v>7002446685</v>
      </c>
      <c r="C1638" s="9">
        <v>3</v>
      </c>
      <c r="D1638" s="9" t="s">
        <v>751</v>
      </c>
    </row>
    <row r="1639" spans="1:4" ht="12.5">
      <c r="A1639" s="186">
        <v>46161</v>
      </c>
      <c r="B1639" s="9">
        <v>7002463161</v>
      </c>
      <c r="C1639" s="9">
        <v>8</v>
      </c>
      <c r="D1639" s="9" t="s">
        <v>758</v>
      </c>
    </row>
    <row r="1640" spans="1:4" ht="12.5">
      <c r="A1640" s="186">
        <v>46161</v>
      </c>
      <c r="B1640" s="9">
        <v>7002464139</v>
      </c>
      <c r="C1640" s="9">
        <v>3</v>
      </c>
      <c r="D1640" s="9" t="s">
        <v>751</v>
      </c>
    </row>
    <row r="1641" spans="1:4" ht="12.5">
      <c r="A1641" s="186">
        <v>46161</v>
      </c>
      <c r="B1641" s="9">
        <v>7002468447</v>
      </c>
      <c r="C1641" s="9">
        <v>2</v>
      </c>
      <c r="D1641" s="9" t="s">
        <v>751</v>
      </c>
    </row>
    <row r="1642" spans="1:4" ht="12.5">
      <c r="A1642" s="186">
        <v>46161</v>
      </c>
      <c r="B1642" s="9">
        <v>7002469108</v>
      </c>
      <c r="C1642" s="9">
        <v>22</v>
      </c>
      <c r="D1642" s="9" t="s">
        <v>752</v>
      </c>
    </row>
    <row r="1643" spans="1:4" ht="12.5">
      <c r="A1643" s="186">
        <v>46161</v>
      </c>
      <c r="B1643" s="9">
        <v>7002470809</v>
      </c>
      <c r="C1643" s="9">
        <v>2</v>
      </c>
      <c r="D1643" s="9" t="s">
        <v>751</v>
      </c>
    </row>
    <row r="1644" spans="1:4" ht="12.5">
      <c r="A1644" s="186">
        <v>46161</v>
      </c>
      <c r="B1644" s="9">
        <v>7002471253</v>
      </c>
      <c r="C1644" s="9">
        <v>1</v>
      </c>
      <c r="D1644" s="9" t="s">
        <v>750</v>
      </c>
    </row>
    <row r="1645" spans="1:4" ht="12.5">
      <c r="A1645" s="186">
        <v>46161</v>
      </c>
      <c r="B1645" s="9">
        <v>7002471877</v>
      </c>
      <c r="C1645" s="9">
        <v>7</v>
      </c>
      <c r="D1645" s="9" t="s">
        <v>758</v>
      </c>
    </row>
    <row r="1646" spans="1:4" ht="12.5">
      <c r="A1646" s="186">
        <v>46161</v>
      </c>
      <c r="B1646" s="9">
        <v>7002471896</v>
      </c>
      <c r="C1646" s="9">
        <v>8</v>
      </c>
      <c r="D1646" s="9" t="s">
        <v>758</v>
      </c>
    </row>
    <row r="1647" spans="1:4" ht="12.5">
      <c r="A1647" s="186">
        <v>46161</v>
      </c>
      <c r="B1647" s="9">
        <v>7002472848</v>
      </c>
      <c r="C1647" s="9">
        <v>2</v>
      </c>
      <c r="D1647" s="9" t="s">
        <v>751</v>
      </c>
    </row>
    <row r="1648" spans="1:4" ht="12.5">
      <c r="A1648" s="186">
        <v>46161</v>
      </c>
      <c r="B1648" s="9">
        <v>7002473214</v>
      </c>
      <c r="C1648" s="9">
        <v>1</v>
      </c>
      <c r="D1648" s="9" t="s">
        <v>750</v>
      </c>
    </row>
    <row r="1649" spans="1:4" ht="12.5">
      <c r="A1649" s="186">
        <v>46161</v>
      </c>
      <c r="B1649" s="9">
        <v>7002473251</v>
      </c>
      <c r="C1649" s="9">
        <v>1</v>
      </c>
      <c r="D1649" s="9" t="s">
        <v>750</v>
      </c>
    </row>
    <row r="1650" spans="1:4" ht="12.5">
      <c r="A1650" s="186">
        <v>46161</v>
      </c>
      <c r="B1650" s="9">
        <v>7002473692</v>
      </c>
      <c r="C1650" s="9">
        <v>2</v>
      </c>
      <c r="D1650" s="9" t="s">
        <v>751</v>
      </c>
    </row>
    <row r="1651" spans="1:4" ht="12.5">
      <c r="A1651" s="186">
        <v>46161</v>
      </c>
      <c r="B1651" s="9">
        <v>7002473735</v>
      </c>
      <c r="C1651" s="9">
        <v>1</v>
      </c>
      <c r="D1651" s="9" t="s">
        <v>750</v>
      </c>
    </row>
    <row r="1652" spans="1:4" ht="12.5">
      <c r="A1652" s="186">
        <v>46161</v>
      </c>
      <c r="B1652" s="9">
        <v>7002473899</v>
      </c>
      <c r="C1652" s="9">
        <v>3</v>
      </c>
      <c r="D1652" s="9" t="s">
        <v>751</v>
      </c>
    </row>
    <row r="1653" spans="1:4" ht="12.5">
      <c r="A1653" s="186">
        <v>46161</v>
      </c>
      <c r="B1653" s="9">
        <v>7002474232</v>
      </c>
      <c r="C1653" s="9">
        <v>31</v>
      </c>
      <c r="D1653" s="9" t="s">
        <v>752</v>
      </c>
    </row>
    <row r="1654" spans="1:4" ht="12.5">
      <c r="A1654" s="186">
        <v>46161</v>
      </c>
      <c r="B1654" s="9">
        <v>7002474851</v>
      </c>
      <c r="C1654" s="9">
        <v>5</v>
      </c>
      <c r="D1654" s="9" t="s">
        <v>751</v>
      </c>
    </row>
    <row r="1655" spans="1:4" ht="12.5">
      <c r="A1655" s="186">
        <v>46161</v>
      </c>
      <c r="B1655" s="9">
        <v>7002474867</v>
      </c>
      <c r="C1655" s="9">
        <v>2</v>
      </c>
      <c r="D1655" s="9" t="s">
        <v>751</v>
      </c>
    </row>
    <row r="1656" spans="1:4" ht="12.5">
      <c r="A1656" s="186">
        <v>46161</v>
      </c>
      <c r="B1656" s="9">
        <v>7002474968</v>
      </c>
      <c r="C1656" s="9">
        <v>7</v>
      </c>
      <c r="D1656" s="9" t="s">
        <v>758</v>
      </c>
    </row>
    <row r="1657" spans="1:4" ht="12.5">
      <c r="A1657" s="186">
        <v>46161</v>
      </c>
      <c r="B1657" s="9">
        <v>7002475256</v>
      </c>
      <c r="C1657" s="9">
        <v>8</v>
      </c>
      <c r="D1657" s="9" t="s">
        <v>758</v>
      </c>
    </row>
    <row r="1658" spans="1:4" ht="12.5">
      <c r="A1658" s="186">
        <v>46161</v>
      </c>
      <c r="B1658" s="9">
        <v>7002475900</v>
      </c>
      <c r="C1658" s="9">
        <v>7</v>
      </c>
      <c r="D1658" s="9" t="s">
        <v>758</v>
      </c>
    </row>
    <row r="1659" spans="1:4" ht="12.5">
      <c r="A1659" s="186">
        <v>46161</v>
      </c>
      <c r="B1659" s="9">
        <v>7002475944</v>
      </c>
      <c r="C1659" s="9">
        <v>4</v>
      </c>
      <c r="D1659" s="9" t="s">
        <v>751</v>
      </c>
    </row>
    <row r="1660" spans="1:4" ht="12.5">
      <c r="A1660" s="186">
        <v>46161</v>
      </c>
      <c r="B1660" s="9">
        <v>7002476860</v>
      </c>
      <c r="C1660" s="9">
        <v>3</v>
      </c>
      <c r="D1660" s="9" t="s">
        <v>751</v>
      </c>
    </row>
    <row r="1661" spans="1:4" ht="12.5">
      <c r="A1661" s="186">
        <v>46161</v>
      </c>
      <c r="B1661" s="9">
        <v>7002476873</v>
      </c>
      <c r="C1661" s="9">
        <v>12</v>
      </c>
      <c r="D1661" s="9" t="s">
        <v>752</v>
      </c>
    </row>
    <row r="1662" spans="1:4" ht="12.5">
      <c r="A1662" s="186">
        <v>46161</v>
      </c>
      <c r="B1662" s="9">
        <v>7002477857</v>
      </c>
      <c r="C1662" s="9">
        <v>3</v>
      </c>
      <c r="D1662" s="9" t="s">
        <v>751</v>
      </c>
    </row>
    <row r="1663" spans="1:4" ht="12.5">
      <c r="A1663" s="186">
        <v>46161</v>
      </c>
      <c r="B1663" s="9">
        <v>7002477939</v>
      </c>
      <c r="C1663" s="9">
        <v>1</v>
      </c>
      <c r="D1663" s="9" t="s">
        <v>750</v>
      </c>
    </row>
    <row r="1664" spans="1:4" ht="12.5">
      <c r="A1664" s="186">
        <v>46161</v>
      </c>
      <c r="B1664" s="9">
        <v>7002478815</v>
      </c>
      <c r="C1664" s="9">
        <v>9</v>
      </c>
      <c r="D1664" s="9" t="s">
        <v>758</v>
      </c>
    </row>
    <row r="1665" spans="1:4" ht="12.5">
      <c r="A1665" s="186">
        <v>46161</v>
      </c>
      <c r="B1665" s="9">
        <v>7002478827</v>
      </c>
      <c r="C1665" s="9">
        <v>1</v>
      </c>
      <c r="D1665" s="9" t="s">
        <v>750</v>
      </c>
    </row>
    <row r="1666" spans="1:4" ht="12.5">
      <c r="A1666" s="186">
        <v>46161</v>
      </c>
      <c r="B1666" s="9">
        <v>7002479021</v>
      </c>
      <c r="C1666" s="9">
        <v>15</v>
      </c>
      <c r="D1666" s="9" t="s">
        <v>752</v>
      </c>
    </row>
    <row r="1667" spans="1:4" ht="12.5">
      <c r="A1667" s="186">
        <v>46161</v>
      </c>
      <c r="B1667" s="9">
        <v>7002479217</v>
      </c>
      <c r="C1667" s="9">
        <v>13</v>
      </c>
      <c r="D1667" s="9" t="s">
        <v>752</v>
      </c>
    </row>
    <row r="1668" spans="1:4" ht="12.5">
      <c r="A1668" s="186">
        <v>46161</v>
      </c>
      <c r="B1668" s="9">
        <v>7002479904</v>
      </c>
      <c r="C1668" s="9">
        <v>2</v>
      </c>
      <c r="D1668" s="9" t="s">
        <v>751</v>
      </c>
    </row>
    <row r="1669" spans="1:4" ht="12.5">
      <c r="A1669" s="186">
        <v>46161</v>
      </c>
      <c r="B1669" s="9">
        <v>7002480079</v>
      </c>
      <c r="C1669" s="9">
        <v>1</v>
      </c>
      <c r="D1669" s="9" t="s">
        <v>750</v>
      </c>
    </row>
    <row r="1670" spans="1:4" ht="12.5">
      <c r="A1670" s="186">
        <v>46161</v>
      </c>
      <c r="B1670" s="9">
        <v>7002480797</v>
      </c>
      <c r="C1670" s="9">
        <v>12</v>
      </c>
      <c r="D1670" s="9" t="s">
        <v>752</v>
      </c>
    </row>
    <row r="1671" spans="1:4" ht="12.5">
      <c r="A1671" s="186">
        <v>46161</v>
      </c>
      <c r="B1671" s="9">
        <v>7002480855</v>
      </c>
      <c r="C1671" s="9">
        <v>4</v>
      </c>
      <c r="D1671" s="9" t="s">
        <v>751</v>
      </c>
    </row>
    <row r="1672" spans="1:4" ht="12.5">
      <c r="A1672" s="186">
        <v>46161</v>
      </c>
      <c r="B1672" s="9">
        <v>7002481084</v>
      </c>
      <c r="C1672" s="9">
        <v>4</v>
      </c>
      <c r="D1672" s="9" t="s">
        <v>751</v>
      </c>
    </row>
    <row r="1673" spans="1:4" ht="12.5">
      <c r="A1673" s="186">
        <v>46161</v>
      </c>
      <c r="B1673" s="9">
        <v>7002481376</v>
      </c>
      <c r="C1673" s="9">
        <v>31</v>
      </c>
      <c r="D1673" s="9" t="s">
        <v>752</v>
      </c>
    </row>
    <row r="1674" spans="1:4" ht="12.5">
      <c r="A1674" s="186">
        <v>46161</v>
      </c>
      <c r="B1674" s="9">
        <v>7002481765</v>
      </c>
      <c r="C1674" s="9">
        <v>1</v>
      </c>
      <c r="D1674" s="9" t="s">
        <v>750</v>
      </c>
    </row>
    <row r="1675" spans="1:4" ht="12.5">
      <c r="A1675" s="186">
        <v>46161</v>
      </c>
      <c r="B1675" s="9">
        <v>7002481859</v>
      </c>
      <c r="C1675" s="9">
        <v>16</v>
      </c>
      <c r="D1675" s="9" t="s">
        <v>752</v>
      </c>
    </row>
    <row r="1676" spans="1:4" ht="12.5">
      <c r="A1676" s="186">
        <v>46161</v>
      </c>
      <c r="B1676" s="9">
        <v>7002481863</v>
      </c>
      <c r="C1676" s="9">
        <v>4</v>
      </c>
      <c r="D1676" s="9" t="s">
        <v>751</v>
      </c>
    </row>
    <row r="1677" spans="1:4" ht="12.5">
      <c r="A1677" s="186">
        <v>46161</v>
      </c>
      <c r="B1677" s="9">
        <v>7002482815</v>
      </c>
      <c r="C1677" s="9">
        <v>3</v>
      </c>
      <c r="D1677" s="9" t="s">
        <v>751</v>
      </c>
    </row>
    <row r="1678" spans="1:4" ht="12.5">
      <c r="A1678" s="186">
        <v>46161</v>
      </c>
      <c r="B1678" s="9">
        <v>7002483227</v>
      </c>
      <c r="C1678" s="9">
        <v>2</v>
      </c>
      <c r="D1678" s="9" t="s">
        <v>751</v>
      </c>
    </row>
    <row r="1679" spans="1:4" ht="12.5">
      <c r="A1679" s="186">
        <v>46161</v>
      </c>
      <c r="B1679" s="9">
        <v>7002483799</v>
      </c>
      <c r="C1679" s="9">
        <v>2</v>
      </c>
      <c r="D1679" s="9" t="s">
        <v>751</v>
      </c>
    </row>
    <row r="1680" spans="1:4" ht="12.5">
      <c r="A1680" s="186">
        <v>46161</v>
      </c>
      <c r="B1680" s="9">
        <v>7002483857</v>
      </c>
      <c r="C1680" s="9">
        <v>6</v>
      </c>
      <c r="D1680" s="9" t="s">
        <v>758</v>
      </c>
    </row>
    <row r="1681" spans="1:4" ht="12.5">
      <c r="A1681" s="186">
        <v>46161</v>
      </c>
      <c r="B1681" s="9">
        <v>7002484257</v>
      </c>
      <c r="C1681" s="9">
        <v>4</v>
      </c>
      <c r="D1681" s="9" t="s">
        <v>751</v>
      </c>
    </row>
    <row r="1682" spans="1:4" ht="12.5">
      <c r="A1682" s="186">
        <v>46161</v>
      </c>
      <c r="B1682" s="9">
        <v>7002484841</v>
      </c>
      <c r="C1682" s="9">
        <v>1</v>
      </c>
      <c r="D1682" s="9" t="s">
        <v>750</v>
      </c>
    </row>
    <row r="1683" spans="1:4" ht="12.5">
      <c r="A1683" s="186">
        <v>46161</v>
      </c>
      <c r="B1683" s="9">
        <v>7002484860</v>
      </c>
      <c r="C1683" s="9">
        <v>4</v>
      </c>
      <c r="D1683" s="9" t="s">
        <v>751</v>
      </c>
    </row>
    <row r="1684" spans="1:4" ht="12.5">
      <c r="A1684" s="186">
        <v>46161</v>
      </c>
      <c r="B1684" s="9">
        <v>7002485850</v>
      </c>
      <c r="C1684" s="9">
        <v>32</v>
      </c>
      <c r="D1684" s="9" t="s">
        <v>752</v>
      </c>
    </row>
    <row r="1685" spans="1:4" ht="12.5">
      <c r="A1685" s="186">
        <v>46161</v>
      </c>
      <c r="B1685" s="9">
        <v>7002486658</v>
      </c>
      <c r="C1685" s="9">
        <v>1</v>
      </c>
      <c r="D1685" s="9" t="s">
        <v>750</v>
      </c>
    </row>
    <row r="1686" spans="1:4" ht="12.5">
      <c r="A1686" s="186">
        <v>46161</v>
      </c>
      <c r="B1686" s="9">
        <v>7002486814</v>
      </c>
      <c r="C1686" s="9">
        <v>3</v>
      </c>
      <c r="D1686" s="9" t="s">
        <v>751</v>
      </c>
    </row>
    <row r="1687" spans="1:4" ht="12.5">
      <c r="A1687" s="186">
        <v>46161</v>
      </c>
      <c r="B1687" s="9">
        <v>7002487644</v>
      </c>
      <c r="C1687" s="9">
        <v>8</v>
      </c>
      <c r="D1687" s="9" t="s">
        <v>758</v>
      </c>
    </row>
    <row r="1688" spans="1:4" ht="12.5">
      <c r="A1688" s="186">
        <v>46161</v>
      </c>
      <c r="B1688" s="9">
        <v>7002487823</v>
      </c>
      <c r="C1688" s="9">
        <v>1</v>
      </c>
      <c r="D1688" s="9" t="s">
        <v>750</v>
      </c>
    </row>
    <row r="1689" spans="1:4" ht="12.5">
      <c r="A1689" s="186">
        <v>46161</v>
      </c>
      <c r="B1689" s="9">
        <v>7002487852</v>
      </c>
      <c r="C1689" s="9">
        <v>4</v>
      </c>
      <c r="D1689" s="9" t="s">
        <v>751</v>
      </c>
    </row>
    <row r="1690" spans="1:4" ht="12.5">
      <c r="A1690" s="186">
        <v>46161</v>
      </c>
      <c r="B1690" s="9">
        <v>7002487995</v>
      </c>
      <c r="C1690" s="9">
        <v>13</v>
      </c>
      <c r="D1690" s="9" t="s">
        <v>752</v>
      </c>
    </row>
    <row r="1691" spans="1:4" ht="12.5">
      <c r="A1691" s="186">
        <v>46161</v>
      </c>
      <c r="B1691" s="9">
        <v>7002488019</v>
      </c>
      <c r="C1691" s="9">
        <v>2</v>
      </c>
      <c r="D1691" s="9" t="s">
        <v>751</v>
      </c>
    </row>
    <row r="1692" spans="1:4" ht="12.5">
      <c r="A1692" s="186">
        <v>46161</v>
      </c>
      <c r="B1692" s="9">
        <v>7002488848</v>
      </c>
      <c r="C1692" s="9">
        <v>6</v>
      </c>
      <c r="D1692" s="9" t="s">
        <v>758</v>
      </c>
    </row>
    <row r="1693" spans="1:4" ht="12.5">
      <c r="A1693" s="186">
        <v>46161</v>
      </c>
      <c r="B1693" s="9">
        <v>7002488853</v>
      </c>
      <c r="C1693" s="9">
        <v>4</v>
      </c>
      <c r="D1693" s="9" t="s">
        <v>751</v>
      </c>
    </row>
    <row r="1694" spans="1:4" ht="12.5">
      <c r="A1694" s="186">
        <v>46161</v>
      </c>
      <c r="B1694" s="9">
        <v>7002488908</v>
      </c>
      <c r="C1694" s="9">
        <v>1</v>
      </c>
      <c r="D1694" s="9" t="s">
        <v>750</v>
      </c>
    </row>
    <row r="1695" spans="1:4" ht="12.5">
      <c r="A1695" s="186">
        <v>46161</v>
      </c>
      <c r="B1695" s="9">
        <v>7002489036</v>
      </c>
      <c r="C1695" s="9">
        <v>15</v>
      </c>
      <c r="D1695" s="9" t="s">
        <v>752</v>
      </c>
    </row>
    <row r="1696" spans="1:4" ht="12.5">
      <c r="A1696" s="186">
        <v>46161</v>
      </c>
      <c r="B1696" s="9">
        <v>7002489728</v>
      </c>
      <c r="C1696" s="9">
        <v>1</v>
      </c>
      <c r="D1696" s="9" t="s">
        <v>750</v>
      </c>
    </row>
    <row r="1697" spans="1:4" ht="12.5">
      <c r="A1697" s="186">
        <v>46161</v>
      </c>
      <c r="B1697" s="9">
        <v>7002489771</v>
      </c>
      <c r="C1697" s="9">
        <v>1</v>
      </c>
      <c r="D1697" s="9" t="s">
        <v>750</v>
      </c>
    </row>
    <row r="1698" spans="1:4" ht="12.5">
      <c r="A1698" s="186">
        <v>46161</v>
      </c>
      <c r="B1698" s="9">
        <v>7002489812</v>
      </c>
      <c r="C1698" s="9">
        <v>2</v>
      </c>
      <c r="D1698" s="9" t="s">
        <v>751</v>
      </c>
    </row>
    <row r="1699" spans="1:4" ht="12.5">
      <c r="A1699" s="186">
        <v>46161</v>
      </c>
      <c r="B1699" s="9">
        <v>7002489849</v>
      </c>
      <c r="C1699" s="9">
        <v>4</v>
      </c>
      <c r="D1699" s="9" t="s">
        <v>751</v>
      </c>
    </row>
    <row r="1700" spans="1:4" ht="12.5">
      <c r="A1700" s="186">
        <v>46161</v>
      </c>
      <c r="B1700" s="9">
        <v>7002489854</v>
      </c>
      <c r="C1700" s="9">
        <v>5</v>
      </c>
      <c r="D1700" s="9" t="s">
        <v>751</v>
      </c>
    </row>
    <row r="1701" spans="1:4" ht="12.5">
      <c r="A1701" s="186">
        <v>46161</v>
      </c>
      <c r="B1701" s="9">
        <v>7002489865</v>
      </c>
      <c r="C1701" s="9">
        <v>8</v>
      </c>
      <c r="D1701" s="9" t="s">
        <v>758</v>
      </c>
    </row>
    <row r="1702" spans="1:4" ht="12.5">
      <c r="A1702" s="186">
        <v>46161</v>
      </c>
      <c r="B1702" s="9">
        <v>7002489997</v>
      </c>
      <c r="C1702" s="9">
        <v>1</v>
      </c>
      <c r="D1702" s="9" t="s">
        <v>750</v>
      </c>
    </row>
    <row r="1703" spans="1:4" ht="12.5">
      <c r="A1703" s="186">
        <v>46161</v>
      </c>
      <c r="B1703" s="9">
        <v>7002491356</v>
      </c>
      <c r="C1703" s="9">
        <v>1</v>
      </c>
      <c r="D1703" s="9" t="s">
        <v>750</v>
      </c>
    </row>
    <row r="1704" spans="1:4" ht="12.5">
      <c r="A1704" s="186">
        <v>46161</v>
      </c>
      <c r="B1704" s="9">
        <v>7002491447</v>
      </c>
      <c r="C1704" s="9">
        <v>9</v>
      </c>
      <c r="D1704" s="9" t="s">
        <v>758</v>
      </c>
    </row>
    <row r="1705" spans="1:4" ht="12.5">
      <c r="A1705" s="186">
        <v>46161</v>
      </c>
      <c r="B1705" s="9">
        <v>7002492301</v>
      </c>
      <c r="C1705" s="9">
        <v>6</v>
      </c>
      <c r="D1705" s="9" t="s">
        <v>758</v>
      </c>
    </row>
    <row r="1706" spans="1:4" ht="12.5">
      <c r="A1706" s="186">
        <v>46161</v>
      </c>
      <c r="B1706" s="9">
        <v>7002492744</v>
      </c>
      <c r="C1706" s="9">
        <v>3</v>
      </c>
      <c r="D1706" s="9" t="s">
        <v>751</v>
      </c>
    </row>
    <row r="1707" spans="1:4" ht="12.5">
      <c r="A1707" s="186">
        <v>46161</v>
      </c>
      <c r="B1707" s="9">
        <v>7002492896</v>
      </c>
      <c r="C1707" s="9">
        <v>1</v>
      </c>
      <c r="D1707" s="9" t="s">
        <v>750</v>
      </c>
    </row>
    <row r="1708" spans="1:4" ht="12.5">
      <c r="A1708" s="186">
        <v>46161</v>
      </c>
      <c r="B1708" s="9">
        <v>7002493299</v>
      </c>
      <c r="C1708" s="9">
        <v>15</v>
      </c>
      <c r="D1708" s="9" t="s">
        <v>752</v>
      </c>
    </row>
    <row r="1709" spans="1:4" ht="12.5">
      <c r="A1709" s="186">
        <v>46161</v>
      </c>
      <c r="B1709" s="9">
        <v>7002493736</v>
      </c>
      <c r="C1709" s="9">
        <v>5</v>
      </c>
      <c r="D1709" s="9" t="s">
        <v>751</v>
      </c>
    </row>
    <row r="1710" spans="1:4" ht="12.5">
      <c r="A1710" s="186">
        <v>46161</v>
      </c>
      <c r="B1710" s="9">
        <v>7002493770</v>
      </c>
      <c r="C1710" s="9">
        <v>3</v>
      </c>
      <c r="D1710" s="9" t="s">
        <v>751</v>
      </c>
    </row>
    <row r="1711" spans="1:4" ht="12.5">
      <c r="A1711" s="186">
        <v>46161</v>
      </c>
      <c r="B1711" s="9">
        <v>7002494039</v>
      </c>
      <c r="C1711" s="9">
        <v>5</v>
      </c>
      <c r="D1711" s="9" t="s">
        <v>751</v>
      </c>
    </row>
    <row r="1712" spans="1:4" ht="12.5">
      <c r="A1712" s="186">
        <v>46161</v>
      </c>
      <c r="B1712" s="9">
        <v>7002494056</v>
      </c>
      <c r="C1712" s="9">
        <v>2</v>
      </c>
      <c r="D1712" s="9" t="s">
        <v>751</v>
      </c>
    </row>
    <row r="1713" spans="1:4" ht="12.5">
      <c r="A1713" s="186">
        <v>46161</v>
      </c>
      <c r="B1713" s="9">
        <v>7002494279</v>
      </c>
      <c r="C1713" s="9">
        <v>1</v>
      </c>
      <c r="D1713" s="9" t="s">
        <v>750</v>
      </c>
    </row>
    <row r="1714" spans="1:4" ht="12.5">
      <c r="A1714" s="186">
        <v>46161</v>
      </c>
      <c r="B1714" s="9">
        <v>7002495457</v>
      </c>
      <c r="C1714" s="9">
        <v>5</v>
      </c>
      <c r="D1714" s="9" t="s">
        <v>751</v>
      </c>
    </row>
    <row r="1715" spans="1:4" ht="12.5">
      <c r="A1715" s="186">
        <v>46161</v>
      </c>
      <c r="B1715" s="9">
        <v>7002495828</v>
      </c>
      <c r="C1715" s="9">
        <v>1</v>
      </c>
      <c r="D1715" s="9" t="s">
        <v>750</v>
      </c>
    </row>
    <row r="1716" spans="1:4" ht="12.5">
      <c r="A1716" s="186">
        <v>46161</v>
      </c>
      <c r="B1716" s="9">
        <v>7002495915</v>
      </c>
      <c r="C1716" s="9">
        <v>2</v>
      </c>
      <c r="D1716" s="9" t="s">
        <v>751</v>
      </c>
    </row>
    <row r="1717" spans="1:4" ht="12.5">
      <c r="A1717" s="186">
        <v>46161</v>
      </c>
      <c r="B1717" s="9">
        <v>7002496046</v>
      </c>
      <c r="C1717" s="9">
        <v>1</v>
      </c>
      <c r="D1717" s="9" t="s">
        <v>750</v>
      </c>
    </row>
    <row r="1718" spans="1:4" ht="12.5">
      <c r="A1718" s="186">
        <v>46161</v>
      </c>
      <c r="B1718" s="9">
        <v>7002496051</v>
      </c>
      <c r="C1718" s="9">
        <v>1</v>
      </c>
      <c r="D1718" s="9" t="s">
        <v>750</v>
      </c>
    </row>
    <row r="1719" spans="1:4" ht="12.5">
      <c r="A1719" s="186">
        <v>46161</v>
      </c>
      <c r="B1719" s="9">
        <v>7002496067</v>
      </c>
      <c r="C1719" s="9">
        <v>4</v>
      </c>
      <c r="D1719" s="9" t="s">
        <v>751</v>
      </c>
    </row>
    <row r="1720" spans="1:4" ht="12.5">
      <c r="A1720" s="186">
        <v>46161</v>
      </c>
      <c r="B1720" s="9">
        <v>7002496308</v>
      </c>
      <c r="C1720" s="9">
        <v>1</v>
      </c>
      <c r="D1720" s="9" t="s">
        <v>750</v>
      </c>
    </row>
    <row r="1721" spans="1:4" ht="12.5">
      <c r="A1721" s="186">
        <v>46161</v>
      </c>
      <c r="B1721" s="9">
        <v>7002496855</v>
      </c>
      <c r="C1721" s="9">
        <v>1</v>
      </c>
      <c r="D1721" s="9" t="s">
        <v>750</v>
      </c>
    </row>
    <row r="1722" spans="1:4" ht="12.5">
      <c r="A1722" s="186">
        <v>46161</v>
      </c>
      <c r="B1722" s="9">
        <v>7002498768</v>
      </c>
      <c r="C1722" s="9">
        <v>1</v>
      </c>
      <c r="D1722" s="9" t="s">
        <v>750</v>
      </c>
    </row>
    <row r="1723" spans="1:4" ht="12.5">
      <c r="A1723" s="186">
        <v>46161</v>
      </c>
      <c r="B1723" s="9">
        <v>7002499460</v>
      </c>
      <c r="C1723" s="9">
        <v>31</v>
      </c>
      <c r="D1723" s="9" t="s">
        <v>752</v>
      </c>
    </row>
    <row r="1724" spans="1:4" ht="12.5">
      <c r="A1724" s="191"/>
      <c r="B1724" s="192"/>
      <c r="C1724" s="192"/>
      <c r="D1724" s="136"/>
    </row>
    <row r="1725" spans="1:4" ht="12.5">
      <c r="A1725" s="186">
        <v>46162</v>
      </c>
      <c r="B1725" s="184">
        <v>7001727096</v>
      </c>
      <c r="C1725" s="184">
        <v>1</v>
      </c>
      <c r="D1725" s="9" t="s">
        <v>750</v>
      </c>
    </row>
    <row r="1726" spans="1:4" ht="12.5">
      <c r="A1726" s="186">
        <v>46162</v>
      </c>
      <c r="B1726" s="184">
        <v>7002325059</v>
      </c>
      <c r="C1726" s="184">
        <v>1</v>
      </c>
      <c r="D1726" s="9" t="s">
        <v>750</v>
      </c>
    </row>
    <row r="1727" spans="1:4" ht="12.5">
      <c r="A1727" s="186">
        <v>46162</v>
      </c>
      <c r="B1727" s="184">
        <v>7002386353</v>
      </c>
      <c r="C1727" s="184">
        <v>44</v>
      </c>
      <c r="D1727" s="9" t="s">
        <v>752</v>
      </c>
    </row>
    <row r="1728" spans="1:4" ht="12.5">
      <c r="A1728" s="186">
        <v>46162</v>
      </c>
      <c r="B1728" s="184">
        <v>7002395728</v>
      </c>
      <c r="C1728" s="184">
        <v>2</v>
      </c>
      <c r="D1728" s="9" t="s">
        <v>751</v>
      </c>
    </row>
    <row r="1729" spans="1:4" ht="12.5">
      <c r="A1729" s="186">
        <v>46162</v>
      </c>
      <c r="B1729" s="184">
        <v>7002444273</v>
      </c>
      <c r="C1729" s="184">
        <v>4</v>
      </c>
      <c r="D1729" s="9" t="s">
        <v>751</v>
      </c>
    </row>
    <row r="1730" spans="1:4" ht="12.5">
      <c r="A1730" s="186">
        <v>46162</v>
      </c>
      <c r="B1730" s="184">
        <v>7002444817</v>
      </c>
      <c r="C1730" s="184">
        <v>3</v>
      </c>
      <c r="D1730" s="9" t="s">
        <v>751</v>
      </c>
    </row>
    <row r="1731" spans="1:4" ht="12.5">
      <c r="A1731" s="186">
        <v>46162</v>
      </c>
      <c r="B1731" s="184">
        <v>7002448716</v>
      </c>
      <c r="C1731" s="184">
        <v>1</v>
      </c>
      <c r="D1731" s="9" t="s">
        <v>750</v>
      </c>
    </row>
    <row r="1732" spans="1:4" ht="12.5">
      <c r="A1732" s="186">
        <v>46162</v>
      </c>
      <c r="B1732" s="184">
        <v>7002448728</v>
      </c>
      <c r="C1732" s="184">
        <v>16</v>
      </c>
      <c r="D1732" s="9" t="s">
        <v>752</v>
      </c>
    </row>
    <row r="1733" spans="1:4" ht="12.5">
      <c r="A1733" s="186">
        <v>46162</v>
      </c>
      <c r="B1733" s="184">
        <v>7002465995</v>
      </c>
      <c r="C1733" s="184">
        <v>3</v>
      </c>
      <c r="D1733" s="9" t="s">
        <v>751</v>
      </c>
    </row>
    <row r="1734" spans="1:4" ht="12.5">
      <c r="A1734" s="186">
        <v>46162</v>
      </c>
      <c r="B1734" s="184">
        <v>7002466133</v>
      </c>
      <c r="C1734" s="184">
        <v>1</v>
      </c>
      <c r="D1734" s="9" t="s">
        <v>750</v>
      </c>
    </row>
    <row r="1735" spans="1:4" ht="12.5">
      <c r="A1735" s="186">
        <v>46162</v>
      </c>
      <c r="B1735" s="184">
        <v>7002467134</v>
      </c>
      <c r="C1735" s="184">
        <v>1</v>
      </c>
      <c r="D1735" s="9" t="s">
        <v>750</v>
      </c>
    </row>
    <row r="1736" spans="1:4" ht="12.5">
      <c r="A1736" s="186">
        <v>46162</v>
      </c>
      <c r="B1736" s="184">
        <v>7002469131</v>
      </c>
      <c r="C1736" s="184">
        <v>1</v>
      </c>
      <c r="D1736" s="9" t="s">
        <v>750</v>
      </c>
    </row>
    <row r="1737" spans="1:4" ht="12.5">
      <c r="A1737" s="186">
        <v>46162</v>
      </c>
      <c r="B1737" s="184">
        <v>7002472299</v>
      </c>
      <c r="C1737" s="184">
        <v>1</v>
      </c>
      <c r="D1737" s="9" t="s">
        <v>750</v>
      </c>
    </row>
    <row r="1738" spans="1:4" ht="12.5">
      <c r="A1738" s="186">
        <v>46162</v>
      </c>
      <c r="B1738" s="184">
        <v>7002472300</v>
      </c>
      <c r="C1738" s="184">
        <v>1</v>
      </c>
      <c r="D1738" s="9" t="s">
        <v>750</v>
      </c>
    </row>
    <row r="1739" spans="1:4" ht="12.5">
      <c r="A1739" s="186">
        <v>46162</v>
      </c>
      <c r="B1739" s="184">
        <v>7002473315</v>
      </c>
      <c r="C1739" s="184">
        <v>1</v>
      </c>
      <c r="D1739" s="9" t="s">
        <v>750</v>
      </c>
    </row>
    <row r="1740" spans="1:4" ht="12.5">
      <c r="A1740" s="186">
        <v>46162</v>
      </c>
      <c r="B1740" s="184">
        <v>7002474284</v>
      </c>
      <c r="C1740" s="184">
        <v>1</v>
      </c>
      <c r="D1740" s="9" t="s">
        <v>750</v>
      </c>
    </row>
    <row r="1741" spans="1:4" ht="12.5">
      <c r="A1741" s="186">
        <v>46162</v>
      </c>
      <c r="B1741" s="184">
        <v>7002474326</v>
      </c>
      <c r="C1741" s="184">
        <v>1</v>
      </c>
      <c r="D1741" s="9" t="s">
        <v>750</v>
      </c>
    </row>
    <row r="1742" spans="1:4" ht="12.5">
      <c r="A1742" s="186">
        <v>46162</v>
      </c>
      <c r="B1742" s="184">
        <v>7002475273</v>
      </c>
      <c r="C1742" s="184">
        <v>1</v>
      </c>
      <c r="D1742" s="9" t="s">
        <v>750</v>
      </c>
    </row>
    <row r="1743" spans="1:4" ht="12.5">
      <c r="A1743" s="186">
        <v>46162</v>
      </c>
      <c r="B1743" s="184">
        <v>7002475695</v>
      </c>
      <c r="C1743" s="184">
        <v>43</v>
      </c>
      <c r="D1743" s="9" t="s">
        <v>752</v>
      </c>
    </row>
    <row r="1744" spans="1:4" ht="12.5">
      <c r="A1744" s="186">
        <v>46162</v>
      </c>
      <c r="B1744" s="184">
        <v>7002476309</v>
      </c>
      <c r="C1744" s="184">
        <v>1</v>
      </c>
      <c r="D1744" s="9" t="s">
        <v>750</v>
      </c>
    </row>
    <row r="1745" spans="1:4" ht="12.5">
      <c r="A1745" s="186">
        <v>46162</v>
      </c>
      <c r="B1745" s="184">
        <v>7002481118</v>
      </c>
      <c r="C1745" s="184">
        <v>18</v>
      </c>
      <c r="D1745" s="9" t="s">
        <v>752</v>
      </c>
    </row>
    <row r="1746" spans="1:4" ht="12.5">
      <c r="A1746" s="186">
        <v>46162</v>
      </c>
      <c r="B1746" s="184">
        <v>7002481844</v>
      </c>
      <c r="C1746" s="184">
        <v>1</v>
      </c>
      <c r="D1746" s="9" t="s">
        <v>750</v>
      </c>
    </row>
    <row r="1747" spans="1:4" ht="12.5">
      <c r="A1747" s="186">
        <v>46162</v>
      </c>
      <c r="B1747" s="184">
        <v>7002482858</v>
      </c>
      <c r="C1747" s="184">
        <v>33</v>
      </c>
      <c r="D1747" s="9" t="s">
        <v>752</v>
      </c>
    </row>
    <row r="1748" spans="1:4" ht="12.5">
      <c r="A1748" s="186">
        <v>46162</v>
      </c>
      <c r="B1748" s="184">
        <v>7002486805</v>
      </c>
      <c r="C1748" s="184">
        <v>3</v>
      </c>
      <c r="D1748" s="9" t="s">
        <v>751</v>
      </c>
    </row>
    <row r="1749" spans="1:4" ht="12.5">
      <c r="A1749" s="186">
        <v>46162</v>
      </c>
      <c r="B1749" s="184">
        <v>7002487391</v>
      </c>
      <c r="C1749" s="184">
        <v>2</v>
      </c>
      <c r="D1749" s="9" t="s">
        <v>751</v>
      </c>
    </row>
    <row r="1750" spans="1:4" ht="12.5">
      <c r="A1750" s="186">
        <v>46162</v>
      </c>
      <c r="B1750" s="184">
        <v>7002487663</v>
      </c>
      <c r="C1750" s="184">
        <v>1</v>
      </c>
      <c r="D1750" s="9" t="s">
        <v>750</v>
      </c>
    </row>
    <row r="1751" spans="1:4" ht="12.5">
      <c r="A1751" s="186">
        <v>46162</v>
      </c>
      <c r="B1751" s="184">
        <v>7002490880</v>
      </c>
      <c r="C1751" s="184">
        <v>1</v>
      </c>
      <c r="D1751" s="9" t="s">
        <v>750</v>
      </c>
    </row>
    <row r="1752" spans="1:4" ht="12.5">
      <c r="A1752" s="186">
        <v>46162</v>
      </c>
      <c r="B1752" s="184">
        <v>7002490968</v>
      </c>
      <c r="C1752" s="184">
        <v>9</v>
      </c>
      <c r="D1752" s="9" t="s">
        <v>758</v>
      </c>
    </row>
    <row r="1753" spans="1:4" ht="12.5">
      <c r="A1753" s="186">
        <v>46162</v>
      </c>
      <c r="B1753" s="184">
        <v>7002491946</v>
      </c>
      <c r="C1753" s="184">
        <v>4</v>
      </c>
      <c r="D1753" s="9" t="s">
        <v>751</v>
      </c>
    </row>
    <row r="1754" spans="1:4" ht="12.5">
      <c r="A1754" s="186">
        <v>46162</v>
      </c>
      <c r="B1754" s="184">
        <v>7002492062</v>
      </c>
      <c r="C1754" s="184">
        <v>37</v>
      </c>
      <c r="D1754" s="9" t="s">
        <v>752</v>
      </c>
    </row>
    <row r="1755" spans="1:4" ht="12.5">
      <c r="A1755" s="186">
        <v>46162</v>
      </c>
      <c r="B1755" s="184">
        <v>7002492602</v>
      </c>
      <c r="C1755" s="184">
        <v>4</v>
      </c>
      <c r="D1755" s="9" t="s">
        <v>751</v>
      </c>
    </row>
    <row r="1756" spans="1:4" ht="12.5">
      <c r="A1756" s="186">
        <v>46162</v>
      </c>
      <c r="B1756" s="184">
        <v>7002493853</v>
      </c>
      <c r="C1756" s="184">
        <v>1</v>
      </c>
      <c r="D1756" s="9" t="s">
        <v>750</v>
      </c>
    </row>
    <row r="1757" spans="1:4" ht="12.5">
      <c r="A1757" s="186">
        <v>46162</v>
      </c>
      <c r="B1757" s="184">
        <v>7002493996</v>
      </c>
      <c r="C1757" s="184">
        <v>5</v>
      </c>
      <c r="D1757" s="9" t="s">
        <v>751</v>
      </c>
    </row>
    <row r="1758" spans="1:4" ht="12.5">
      <c r="A1758" s="186">
        <v>46162</v>
      </c>
      <c r="B1758" s="184">
        <v>7002496427</v>
      </c>
      <c r="C1758" s="184">
        <v>6</v>
      </c>
      <c r="D1758" s="9" t="s">
        <v>758</v>
      </c>
    </row>
    <row r="1759" spans="1:4" ht="12.5">
      <c r="A1759" s="186">
        <v>46162</v>
      </c>
      <c r="B1759" s="184">
        <v>7002496985</v>
      </c>
      <c r="C1759" s="184">
        <v>16</v>
      </c>
      <c r="D1759" s="9" t="s">
        <v>752</v>
      </c>
    </row>
    <row r="1760" spans="1:4" ht="12.5">
      <c r="A1760" s="186">
        <v>46162</v>
      </c>
      <c r="B1760" s="184">
        <v>7002498069</v>
      </c>
      <c r="C1760" s="184">
        <v>12</v>
      </c>
      <c r="D1760" s="9" t="s">
        <v>752</v>
      </c>
    </row>
    <row r="1761" spans="1:4" ht="12.5">
      <c r="A1761" s="186">
        <v>46162</v>
      </c>
      <c r="B1761" s="184">
        <v>7002498960</v>
      </c>
      <c r="C1761" s="184">
        <v>21</v>
      </c>
      <c r="D1761" s="9" t="s">
        <v>752</v>
      </c>
    </row>
    <row r="1762" spans="1:4" ht="12.5">
      <c r="A1762" s="186">
        <v>46162</v>
      </c>
      <c r="B1762" s="184">
        <v>7002498973</v>
      </c>
      <c r="C1762" s="184">
        <v>3</v>
      </c>
      <c r="D1762" s="9" t="s">
        <v>751</v>
      </c>
    </row>
    <row r="1763" spans="1:4" ht="12.5">
      <c r="A1763" s="186">
        <v>46162</v>
      </c>
      <c r="B1763" s="184">
        <v>7002498994</v>
      </c>
      <c r="C1763" s="184">
        <v>18</v>
      </c>
      <c r="D1763" s="9" t="s">
        <v>752</v>
      </c>
    </row>
    <row r="1764" spans="1:4" ht="12.5">
      <c r="A1764" s="186">
        <v>46162</v>
      </c>
      <c r="B1764" s="184">
        <v>7002499974</v>
      </c>
      <c r="C1764" s="184">
        <v>13</v>
      </c>
      <c r="D1764" s="9" t="s">
        <v>752</v>
      </c>
    </row>
    <row r="1765" spans="1:4" ht="12.5">
      <c r="A1765" s="186">
        <v>46162</v>
      </c>
      <c r="B1765" s="184">
        <v>7002499988</v>
      </c>
      <c r="C1765" s="184">
        <v>5</v>
      </c>
      <c r="D1765" s="9" t="s">
        <v>751</v>
      </c>
    </row>
    <row r="1766" spans="1:4" ht="12.5">
      <c r="A1766" s="186">
        <v>46162</v>
      </c>
      <c r="B1766" s="184">
        <v>7002500580</v>
      </c>
      <c r="C1766" s="184">
        <v>48</v>
      </c>
      <c r="D1766" s="9" t="s">
        <v>752</v>
      </c>
    </row>
    <row r="1767" spans="1:4" ht="12.5">
      <c r="A1767" s="186">
        <v>46162</v>
      </c>
      <c r="B1767" s="184">
        <v>7002500708</v>
      </c>
      <c r="C1767" s="184">
        <v>185</v>
      </c>
      <c r="D1767" s="9" t="s">
        <v>752</v>
      </c>
    </row>
    <row r="1768" spans="1:4" ht="12.5">
      <c r="A1768" s="186">
        <v>46162</v>
      </c>
      <c r="B1768" s="184">
        <v>7002501651</v>
      </c>
      <c r="C1768" s="184">
        <v>2</v>
      </c>
      <c r="D1768" s="9" t="s">
        <v>751</v>
      </c>
    </row>
    <row r="1769" spans="1:4" ht="12.5">
      <c r="A1769" s="186">
        <v>46162</v>
      </c>
      <c r="B1769" s="184">
        <v>7002501707</v>
      </c>
      <c r="C1769" s="184">
        <v>24</v>
      </c>
      <c r="D1769" s="9" t="s">
        <v>752</v>
      </c>
    </row>
    <row r="1770" spans="1:4" ht="12.5">
      <c r="A1770" s="186">
        <v>46162</v>
      </c>
      <c r="B1770" s="184">
        <v>7002501776</v>
      </c>
      <c r="C1770" s="184">
        <v>28</v>
      </c>
      <c r="D1770" s="9" t="s">
        <v>752</v>
      </c>
    </row>
    <row r="1771" spans="1:4" ht="12.5">
      <c r="A1771" s="186">
        <v>46162</v>
      </c>
      <c r="B1771" s="184">
        <v>7002502609</v>
      </c>
      <c r="C1771" s="184">
        <v>1</v>
      </c>
      <c r="D1771" s="9" t="s">
        <v>750</v>
      </c>
    </row>
    <row r="1772" spans="1:4" ht="12.5">
      <c r="A1772" s="186">
        <v>46162</v>
      </c>
      <c r="B1772" s="184">
        <v>7002502632</v>
      </c>
      <c r="C1772" s="184">
        <v>14</v>
      </c>
      <c r="D1772" s="9" t="s">
        <v>752</v>
      </c>
    </row>
    <row r="1773" spans="1:4" ht="12.5">
      <c r="A1773" s="186">
        <v>46162</v>
      </c>
      <c r="B1773" s="184">
        <v>7002502706</v>
      </c>
      <c r="C1773" s="184">
        <v>157</v>
      </c>
      <c r="D1773" s="9" t="s">
        <v>752</v>
      </c>
    </row>
    <row r="1774" spans="1:4" ht="12.5">
      <c r="A1774" s="186">
        <v>46162</v>
      </c>
      <c r="B1774" s="184">
        <v>7002503081</v>
      </c>
      <c r="C1774" s="184">
        <v>9</v>
      </c>
      <c r="D1774" s="9" t="s">
        <v>758</v>
      </c>
    </row>
    <row r="1775" spans="1:4" ht="12.5">
      <c r="A1775" s="186">
        <v>46162</v>
      </c>
      <c r="B1775" s="184">
        <v>7002503608</v>
      </c>
      <c r="C1775" s="184">
        <v>1</v>
      </c>
      <c r="D1775" s="9" t="s">
        <v>750</v>
      </c>
    </row>
    <row r="1776" spans="1:4" ht="12.5">
      <c r="A1776" s="186">
        <v>46162</v>
      </c>
      <c r="B1776" s="184">
        <v>7002503649</v>
      </c>
      <c r="C1776" s="184">
        <v>2</v>
      </c>
      <c r="D1776" s="9" t="s">
        <v>751</v>
      </c>
    </row>
    <row r="1777" spans="1:4" ht="12.5">
      <c r="A1777" s="186">
        <v>46162</v>
      </c>
      <c r="B1777" s="184">
        <v>7002503705</v>
      </c>
      <c r="C1777" s="184">
        <v>181</v>
      </c>
      <c r="D1777" s="9" t="s">
        <v>752</v>
      </c>
    </row>
    <row r="1778" spans="1:4" ht="12.5">
      <c r="A1778" s="186">
        <v>46162</v>
      </c>
      <c r="B1778" s="184">
        <v>7002503714</v>
      </c>
      <c r="C1778" s="184">
        <v>7</v>
      </c>
      <c r="D1778" s="9" t="s">
        <v>758</v>
      </c>
    </row>
    <row r="1779" spans="1:4" ht="12.5">
      <c r="A1779" s="186">
        <v>46162</v>
      </c>
      <c r="B1779" s="184">
        <v>7002503860</v>
      </c>
      <c r="C1779" s="184">
        <v>1</v>
      </c>
      <c r="D1779" s="9" t="s">
        <v>750</v>
      </c>
    </row>
    <row r="1780" spans="1:4" ht="12.5">
      <c r="A1780" s="186">
        <v>46162</v>
      </c>
      <c r="B1780" s="184">
        <v>7002503964</v>
      </c>
      <c r="C1780" s="184">
        <v>1</v>
      </c>
      <c r="D1780" s="9" t="s">
        <v>750</v>
      </c>
    </row>
    <row r="1781" spans="1:4" ht="12.5">
      <c r="A1781" s="186">
        <v>46162</v>
      </c>
      <c r="B1781" s="184">
        <v>7002504721</v>
      </c>
      <c r="C1781" s="184">
        <v>6</v>
      </c>
      <c r="D1781" s="9" t="s">
        <v>758</v>
      </c>
    </row>
    <row r="1782" spans="1:4" ht="12.5">
      <c r="A1782" s="186">
        <v>46162</v>
      </c>
      <c r="B1782" s="184">
        <v>7002504784</v>
      </c>
      <c r="C1782" s="184">
        <v>32</v>
      </c>
      <c r="D1782" s="9" t="s">
        <v>752</v>
      </c>
    </row>
    <row r="1783" spans="1:4" ht="12.5">
      <c r="A1783" s="186">
        <v>46162</v>
      </c>
      <c r="B1783" s="184">
        <v>7002505001</v>
      </c>
      <c r="C1783" s="184">
        <v>117</v>
      </c>
      <c r="D1783" s="9" t="s">
        <v>752</v>
      </c>
    </row>
    <row r="1784" spans="1:4" ht="12.5">
      <c r="A1784" s="186">
        <v>46162</v>
      </c>
      <c r="B1784" s="184">
        <v>7002505064</v>
      </c>
      <c r="C1784" s="184">
        <v>2</v>
      </c>
      <c r="D1784" s="9" t="s">
        <v>751</v>
      </c>
    </row>
    <row r="1785" spans="1:4" ht="12.5">
      <c r="A1785" s="186">
        <v>46162</v>
      </c>
      <c r="B1785" s="184">
        <v>7002505585</v>
      </c>
      <c r="C1785" s="184">
        <v>7</v>
      </c>
      <c r="D1785" s="9" t="s">
        <v>758</v>
      </c>
    </row>
    <row r="1786" spans="1:4" ht="12.5">
      <c r="A1786" s="186">
        <v>46162</v>
      </c>
      <c r="B1786" s="184">
        <v>7002505643</v>
      </c>
      <c r="C1786" s="184">
        <v>3</v>
      </c>
      <c r="D1786" s="9" t="s">
        <v>751</v>
      </c>
    </row>
    <row r="1787" spans="1:4" ht="12.5">
      <c r="A1787" s="186">
        <v>46162</v>
      </c>
      <c r="B1787" s="184">
        <v>7002505725</v>
      </c>
      <c r="C1787" s="184">
        <v>2</v>
      </c>
      <c r="D1787" s="9" t="s">
        <v>751</v>
      </c>
    </row>
    <row r="1788" spans="1:4" ht="12.5">
      <c r="A1788" s="186">
        <v>46162</v>
      </c>
      <c r="B1788" s="184">
        <v>7002506214</v>
      </c>
      <c r="C1788" s="184">
        <v>4</v>
      </c>
      <c r="D1788" s="9" t="s">
        <v>751</v>
      </c>
    </row>
    <row r="1789" spans="1:4" ht="12.5">
      <c r="A1789" s="186">
        <v>46162</v>
      </c>
      <c r="B1789" s="184">
        <v>7002506628</v>
      </c>
      <c r="C1789" s="184">
        <v>1</v>
      </c>
      <c r="D1789" s="9" t="s">
        <v>750</v>
      </c>
    </row>
    <row r="1790" spans="1:4" ht="12.5">
      <c r="A1790" s="186">
        <v>46162</v>
      </c>
      <c r="B1790" s="184">
        <v>7002506719</v>
      </c>
      <c r="C1790" s="184">
        <v>39</v>
      </c>
      <c r="D1790" s="9" t="s">
        <v>752</v>
      </c>
    </row>
    <row r="1791" spans="1:4" ht="12.5">
      <c r="A1791" s="186">
        <v>46162</v>
      </c>
      <c r="B1791" s="184">
        <v>7002507525</v>
      </c>
      <c r="C1791" s="184">
        <v>1</v>
      </c>
      <c r="D1791" s="9" t="s">
        <v>750</v>
      </c>
    </row>
    <row r="1792" spans="1:4" ht="12.5">
      <c r="A1792" s="186">
        <v>46162</v>
      </c>
      <c r="B1792" s="184">
        <v>7002507601</v>
      </c>
      <c r="C1792" s="184">
        <v>5</v>
      </c>
      <c r="D1792" s="9" t="s">
        <v>751</v>
      </c>
    </row>
    <row r="1793" spans="1:4" ht="12.5">
      <c r="A1793" s="186">
        <v>46162</v>
      </c>
      <c r="B1793" s="184">
        <v>7002507693</v>
      </c>
      <c r="C1793" s="184">
        <v>3</v>
      </c>
      <c r="D1793" s="9" t="s">
        <v>751</v>
      </c>
    </row>
    <row r="1794" spans="1:4" ht="12.5">
      <c r="A1794" s="186">
        <v>46162</v>
      </c>
      <c r="B1794" s="184">
        <v>7002508639</v>
      </c>
      <c r="C1794" s="184">
        <v>5</v>
      </c>
      <c r="D1794" s="9" t="s">
        <v>751</v>
      </c>
    </row>
    <row r="1795" spans="1:4" ht="12.5">
      <c r="A1795" s="186">
        <v>46162</v>
      </c>
      <c r="B1795" s="184">
        <v>7002508716</v>
      </c>
      <c r="C1795" s="184">
        <v>91</v>
      </c>
      <c r="D1795" s="9" t="s">
        <v>752</v>
      </c>
    </row>
    <row r="1796" spans="1:4" ht="12.5">
      <c r="A1796" s="186">
        <v>46162</v>
      </c>
      <c r="B1796" s="184">
        <v>7002509283</v>
      </c>
      <c r="C1796" s="184">
        <v>1</v>
      </c>
      <c r="D1796" s="9" t="s">
        <v>750</v>
      </c>
    </row>
    <row r="1797" spans="1:4" ht="12.5">
      <c r="A1797" s="186">
        <v>46162</v>
      </c>
      <c r="B1797" s="184">
        <v>7002509717</v>
      </c>
      <c r="C1797" s="184">
        <v>16</v>
      </c>
      <c r="D1797" s="9" t="s">
        <v>752</v>
      </c>
    </row>
    <row r="1798" spans="1:4" ht="12.5">
      <c r="A1798" s="186">
        <v>46162</v>
      </c>
      <c r="B1798" s="184">
        <v>7002510500</v>
      </c>
      <c r="C1798" s="184">
        <v>2</v>
      </c>
      <c r="D1798" s="9" t="s">
        <v>751</v>
      </c>
    </row>
    <row r="1799" spans="1:4" ht="12.5">
      <c r="A1799" s="186">
        <v>46162</v>
      </c>
      <c r="B1799" s="184">
        <v>7002511387</v>
      </c>
      <c r="C1799" s="184">
        <v>2</v>
      </c>
      <c r="D1799" s="9" t="s">
        <v>751</v>
      </c>
    </row>
    <row r="1800" spans="1:4" ht="12.5">
      <c r="A1800" s="186">
        <v>46162</v>
      </c>
      <c r="B1800" s="184">
        <v>7002512168</v>
      </c>
      <c r="C1800" s="184">
        <v>5</v>
      </c>
      <c r="D1800" s="9" t="s">
        <v>751</v>
      </c>
    </row>
    <row r="1801" spans="1:4" ht="12.5">
      <c r="A1801" s="186">
        <v>46162</v>
      </c>
      <c r="B1801" s="184">
        <v>7002512405</v>
      </c>
      <c r="C1801" s="184">
        <v>1</v>
      </c>
      <c r="D1801" s="9" t="s">
        <v>750</v>
      </c>
    </row>
    <row r="1802" spans="1:4" ht="12.5">
      <c r="A1802" s="186">
        <v>46162</v>
      </c>
      <c r="B1802" s="184">
        <v>7002512479</v>
      </c>
      <c r="C1802" s="184">
        <v>1</v>
      </c>
      <c r="D1802" s="9" t="s">
        <v>750</v>
      </c>
    </row>
    <row r="1803" spans="1:4" ht="12.5">
      <c r="A1803" s="186">
        <v>46162</v>
      </c>
      <c r="B1803" s="184">
        <v>7002513363</v>
      </c>
      <c r="C1803" s="184">
        <v>19</v>
      </c>
      <c r="D1803" s="9" t="s">
        <v>752</v>
      </c>
    </row>
    <row r="1804" spans="1:4" ht="12.5">
      <c r="A1804" s="186">
        <v>46162</v>
      </c>
      <c r="B1804" s="184">
        <v>7002513385</v>
      </c>
      <c r="C1804" s="184">
        <v>1</v>
      </c>
      <c r="D1804" s="9" t="s">
        <v>750</v>
      </c>
    </row>
    <row r="1805" spans="1:4" ht="12.5">
      <c r="A1805" s="186">
        <v>46162</v>
      </c>
      <c r="B1805" s="184">
        <v>7002513466</v>
      </c>
      <c r="C1805" s="184">
        <v>1</v>
      </c>
      <c r="D1805" s="9" t="s">
        <v>750</v>
      </c>
    </row>
    <row r="1806" spans="1:4" ht="12.5">
      <c r="A1806" s="186">
        <v>46162</v>
      </c>
      <c r="B1806" s="184">
        <v>7002513497</v>
      </c>
      <c r="C1806" s="184">
        <v>2</v>
      </c>
      <c r="D1806" s="9" t="s">
        <v>751</v>
      </c>
    </row>
    <row r="1807" spans="1:4" ht="12.5">
      <c r="A1807" s="186">
        <v>46162</v>
      </c>
      <c r="B1807" s="184">
        <v>7002513539</v>
      </c>
      <c r="C1807" s="184">
        <v>1</v>
      </c>
      <c r="D1807" s="9" t="s">
        <v>750</v>
      </c>
    </row>
    <row r="1808" spans="1:4" ht="12.5">
      <c r="A1808" s="186">
        <v>46162</v>
      </c>
      <c r="B1808" s="184">
        <v>7002514391</v>
      </c>
      <c r="C1808" s="184">
        <v>1</v>
      </c>
      <c r="D1808" s="9" t="s">
        <v>750</v>
      </c>
    </row>
    <row r="1809" spans="1:4" ht="12.5">
      <c r="A1809" s="186">
        <v>46162</v>
      </c>
      <c r="B1809" s="184">
        <v>7002514465</v>
      </c>
      <c r="C1809" s="184">
        <v>1</v>
      </c>
      <c r="D1809" s="9" t="s">
        <v>750</v>
      </c>
    </row>
    <row r="1810" spans="1:4" ht="12.5">
      <c r="A1810" s="186">
        <v>46162</v>
      </c>
      <c r="B1810" s="184">
        <v>7002516354</v>
      </c>
      <c r="C1810" s="184">
        <v>1</v>
      </c>
      <c r="D1810" s="9" t="s">
        <v>750</v>
      </c>
    </row>
    <row r="1811" spans="1:4" ht="12.5">
      <c r="A1811" s="186">
        <v>46162</v>
      </c>
      <c r="B1811" s="184">
        <v>7002517127</v>
      </c>
      <c r="C1811" s="184">
        <v>26</v>
      </c>
      <c r="D1811" s="9" t="s">
        <v>752</v>
      </c>
    </row>
    <row r="1812" spans="1:4" ht="12.5">
      <c r="A1812" s="186">
        <v>46162</v>
      </c>
      <c r="B1812" s="184">
        <v>7002517136</v>
      </c>
      <c r="C1812" s="184">
        <v>1</v>
      </c>
      <c r="D1812" s="9" t="s">
        <v>750</v>
      </c>
    </row>
    <row r="1813" spans="1:4" ht="12.5">
      <c r="A1813" s="186">
        <v>46162</v>
      </c>
      <c r="B1813" s="184">
        <v>7002517569</v>
      </c>
      <c r="C1813" s="184">
        <v>1</v>
      </c>
      <c r="D1813" s="9" t="s">
        <v>750</v>
      </c>
    </row>
    <row r="1814" spans="1:4" ht="12.5">
      <c r="A1814" s="186">
        <v>46162</v>
      </c>
      <c r="B1814" s="184">
        <v>7002518464</v>
      </c>
      <c r="C1814" s="184">
        <v>1</v>
      </c>
      <c r="D1814" s="9" t="s">
        <v>750</v>
      </c>
    </row>
    <row r="1815" spans="1:4" ht="12.5">
      <c r="A1815" s="186">
        <v>46162</v>
      </c>
      <c r="B1815" s="184">
        <v>7002518632</v>
      </c>
      <c r="C1815" s="184">
        <v>1</v>
      </c>
      <c r="D1815" s="9" t="s">
        <v>750</v>
      </c>
    </row>
    <row r="1816" spans="1:4" ht="12.5">
      <c r="A1816" s="186">
        <v>46162</v>
      </c>
      <c r="B1816" s="184">
        <v>7002519347</v>
      </c>
      <c r="C1816" s="184">
        <v>31</v>
      </c>
      <c r="D1816" s="9" t="s">
        <v>752</v>
      </c>
    </row>
    <row r="1817" spans="1:4" ht="12.5">
      <c r="A1817" s="186">
        <v>46162</v>
      </c>
      <c r="B1817" s="184">
        <v>7002519494</v>
      </c>
      <c r="C1817" s="184">
        <v>1</v>
      </c>
      <c r="D1817" s="9" t="s">
        <v>750</v>
      </c>
    </row>
    <row r="1818" spans="1:4" ht="12.5">
      <c r="A1818" s="186">
        <v>46162</v>
      </c>
      <c r="B1818" s="184">
        <v>7002519532</v>
      </c>
      <c r="C1818" s="184">
        <v>1</v>
      </c>
      <c r="D1818" s="9" t="s">
        <v>750</v>
      </c>
    </row>
    <row r="1819" spans="1:4" ht="12.5">
      <c r="A1819" s="186">
        <v>46162</v>
      </c>
      <c r="B1819" s="184">
        <v>7002519614</v>
      </c>
      <c r="C1819" s="184">
        <v>2</v>
      </c>
      <c r="D1819" s="9" t="s">
        <v>751</v>
      </c>
    </row>
    <row r="1820" spans="1:4" ht="12.5">
      <c r="A1820" s="186"/>
      <c r="B1820" s="184"/>
      <c r="C1820" s="184"/>
      <c r="D1820" s="9"/>
    </row>
    <row r="1821" spans="1:4" ht="12.5">
      <c r="A1821" s="186">
        <v>46163</v>
      </c>
      <c r="B1821" s="184">
        <v>7001727096</v>
      </c>
      <c r="C1821" s="184">
        <v>1</v>
      </c>
      <c r="D1821" s="9" t="s">
        <v>750</v>
      </c>
    </row>
    <row r="1822" spans="1:4" ht="12.5">
      <c r="A1822" s="186">
        <v>46163</v>
      </c>
      <c r="B1822" s="184">
        <v>7002282349</v>
      </c>
      <c r="C1822" s="184">
        <v>1</v>
      </c>
      <c r="D1822" s="9" t="s">
        <v>750</v>
      </c>
    </row>
    <row r="1823" spans="1:4" ht="12.5">
      <c r="A1823" s="186">
        <v>46163</v>
      </c>
      <c r="B1823" s="184">
        <v>7002288319</v>
      </c>
      <c r="C1823" s="184">
        <v>3</v>
      </c>
      <c r="D1823" s="9" t="s">
        <v>751</v>
      </c>
    </row>
    <row r="1824" spans="1:4" ht="12.5">
      <c r="A1824" s="186">
        <v>46163</v>
      </c>
      <c r="B1824" s="184">
        <v>7002321546</v>
      </c>
      <c r="C1824" s="184">
        <v>3</v>
      </c>
      <c r="D1824" s="9" t="s">
        <v>751</v>
      </c>
    </row>
    <row r="1825" spans="1:4" ht="12.5">
      <c r="A1825" s="186">
        <v>46163</v>
      </c>
      <c r="B1825" s="184">
        <v>7002325176</v>
      </c>
      <c r="C1825" s="184">
        <v>1</v>
      </c>
      <c r="D1825" s="9" t="s">
        <v>750</v>
      </c>
    </row>
    <row r="1826" spans="1:4" ht="12.5">
      <c r="A1826" s="186">
        <v>46163</v>
      </c>
      <c r="B1826" s="184">
        <v>7002326177</v>
      </c>
      <c r="C1826" s="184">
        <v>2</v>
      </c>
      <c r="D1826" s="9" t="s">
        <v>751</v>
      </c>
    </row>
    <row r="1827" spans="1:4" ht="12.5">
      <c r="A1827" s="186">
        <v>46163</v>
      </c>
      <c r="B1827" s="184">
        <v>7002342055</v>
      </c>
      <c r="C1827" s="184">
        <v>4</v>
      </c>
      <c r="D1827" s="9" t="s">
        <v>751</v>
      </c>
    </row>
    <row r="1828" spans="1:4" ht="12.5">
      <c r="A1828" s="186">
        <v>46163</v>
      </c>
      <c r="B1828" s="184">
        <v>7002352752</v>
      </c>
      <c r="C1828" s="184">
        <v>17</v>
      </c>
      <c r="D1828" s="9" t="s">
        <v>752</v>
      </c>
    </row>
    <row r="1829" spans="1:4" ht="12.5">
      <c r="A1829" s="186">
        <v>46163</v>
      </c>
      <c r="B1829" s="184">
        <v>7002363585</v>
      </c>
      <c r="C1829" s="184">
        <v>1</v>
      </c>
      <c r="D1829" s="9" t="s">
        <v>750</v>
      </c>
    </row>
    <row r="1830" spans="1:4" ht="12.5">
      <c r="A1830" s="186">
        <v>46163</v>
      </c>
      <c r="B1830" s="184">
        <v>7002375385</v>
      </c>
      <c r="C1830" s="184">
        <v>4</v>
      </c>
      <c r="D1830" s="9" t="s">
        <v>751</v>
      </c>
    </row>
    <row r="1831" spans="1:4" ht="12.5">
      <c r="A1831" s="186">
        <v>46163</v>
      </c>
      <c r="B1831" s="184">
        <v>7002386353</v>
      </c>
      <c r="C1831" s="184">
        <v>44</v>
      </c>
      <c r="D1831" s="9" t="s">
        <v>752</v>
      </c>
    </row>
    <row r="1832" spans="1:4" ht="12.5">
      <c r="A1832" s="186">
        <v>46163</v>
      </c>
      <c r="B1832" s="184">
        <v>7002421615</v>
      </c>
      <c r="C1832" s="184">
        <v>9</v>
      </c>
      <c r="D1832" s="9" t="s">
        <v>758</v>
      </c>
    </row>
    <row r="1833" spans="1:4" ht="12.5">
      <c r="A1833" s="186">
        <v>46163</v>
      </c>
      <c r="B1833" s="184">
        <v>7002423301</v>
      </c>
      <c r="C1833" s="184">
        <v>1</v>
      </c>
      <c r="D1833" s="9" t="s">
        <v>750</v>
      </c>
    </row>
    <row r="1834" spans="1:4" ht="12.5">
      <c r="A1834" s="186">
        <v>46163</v>
      </c>
      <c r="B1834" s="184">
        <v>7002434842</v>
      </c>
      <c r="C1834" s="184">
        <v>25</v>
      </c>
      <c r="D1834" s="9" t="s">
        <v>752</v>
      </c>
    </row>
    <row r="1835" spans="1:4" ht="12.5">
      <c r="A1835" s="186">
        <v>46163</v>
      </c>
      <c r="B1835" s="184">
        <v>7002436543</v>
      </c>
      <c r="C1835" s="184">
        <v>62</v>
      </c>
      <c r="D1835" s="9" t="s">
        <v>752</v>
      </c>
    </row>
    <row r="1836" spans="1:4" ht="12.5">
      <c r="A1836" s="186">
        <v>46163</v>
      </c>
      <c r="B1836" s="184">
        <v>7002437055</v>
      </c>
      <c r="C1836" s="184">
        <v>1</v>
      </c>
      <c r="D1836" s="9" t="s">
        <v>750</v>
      </c>
    </row>
    <row r="1837" spans="1:4" ht="12.5">
      <c r="A1837" s="186">
        <v>46163</v>
      </c>
      <c r="B1837" s="184">
        <v>7002439807</v>
      </c>
      <c r="C1837" s="184">
        <v>16</v>
      </c>
      <c r="D1837" s="9" t="s">
        <v>752</v>
      </c>
    </row>
    <row r="1838" spans="1:4" ht="12.5">
      <c r="A1838" s="186">
        <v>46163</v>
      </c>
      <c r="B1838" s="184">
        <v>7002450179</v>
      </c>
      <c r="C1838" s="184">
        <v>5</v>
      </c>
      <c r="D1838" s="9" t="s">
        <v>751</v>
      </c>
    </row>
    <row r="1839" spans="1:4" ht="12.5">
      <c r="A1839" s="186">
        <v>46163</v>
      </c>
      <c r="B1839" s="184">
        <v>7002454574</v>
      </c>
      <c r="C1839" s="184">
        <v>6</v>
      </c>
      <c r="D1839" s="9" t="s">
        <v>758</v>
      </c>
    </row>
    <row r="1840" spans="1:4" ht="12.5">
      <c r="A1840" s="186">
        <v>46163</v>
      </c>
      <c r="B1840" s="184">
        <v>7002455596</v>
      </c>
      <c r="C1840" s="184">
        <v>45</v>
      </c>
      <c r="D1840" s="9" t="s">
        <v>752</v>
      </c>
    </row>
    <row r="1841" spans="1:4" ht="12.5">
      <c r="A1841" s="186">
        <v>46163</v>
      </c>
      <c r="B1841" s="184">
        <v>7002465420</v>
      </c>
      <c r="C1841" s="184">
        <v>14</v>
      </c>
      <c r="D1841" s="9" t="s">
        <v>752</v>
      </c>
    </row>
    <row r="1842" spans="1:4" ht="12.5">
      <c r="A1842" s="186">
        <v>46163</v>
      </c>
      <c r="B1842" s="184">
        <v>7002465703</v>
      </c>
      <c r="C1842" s="184">
        <v>34</v>
      </c>
      <c r="D1842" s="9" t="s">
        <v>752</v>
      </c>
    </row>
    <row r="1843" spans="1:4" ht="12.5">
      <c r="A1843" s="186">
        <v>46163</v>
      </c>
      <c r="B1843" s="184">
        <v>7002480801</v>
      </c>
      <c r="C1843" s="184">
        <v>1</v>
      </c>
      <c r="D1843" s="9" t="s">
        <v>750</v>
      </c>
    </row>
    <row r="1844" spans="1:4" ht="12.5">
      <c r="A1844" s="186">
        <v>46163</v>
      </c>
      <c r="B1844" s="184">
        <v>7002483842</v>
      </c>
      <c r="C1844" s="184">
        <v>2</v>
      </c>
      <c r="D1844" s="9" t="s">
        <v>751</v>
      </c>
    </row>
    <row r="1845" spans="1:4" ht="12.5">
      <c r="A1845" s="186">
        <v>46163</v>
      </c>
      <c r="B1845" s="184">
        <v>7002491967</v>
      </c>
      <c r="C1845" s="184">
        <v>14</v>
      </c>
      <c r="D1845" s="9" t="s">
        <v>752</v>
      </c>
    </row>
    <row r="1846" spans="1:4" ht="12.5">
      <c r="A1846" s="186">
        <v>46163</v>
      </c>
      <c r="B1846" s="184">
        <v>7002492535</v>
      </c>
      <c r="C1846" s="184">
        <v>38</v>
      </c>
      <c r="D1846" s="9" t="s">
        <v>752</v>
      </c>
    </row>
    <row r="1847" spans="1:4" ht="12.5">
      <c r="A1847" s="186">
        <v>46163</v>
      </c>
      <c r="B1847" s="184">
        <v>7002500699</v>
      </c>
      <c r="C1847" s="184">
        <v>76</v>
      </c>
      <c r="D1847" s="9" t="s">
        <v>752</v>
      </c>
    </row>
    <row r="1848" spans="1:4" ht="12.5">
      <c r="A1848" s="186">
        <v>46163</v>
      </c>
      <c r="B1848" s="184">
        <v>7002500712</v>
      </c>
      <c r="C1848" s="184">
        <v>7</v>
      </c>
      <c r="D1848" s="9" t="s">
        <v>758</v>
      </c>
    </row>
    <row r="1849" spans="1:4" ht="12.5">
      <c r="A1849" s="186">
        <v>46163</v>
      </c>
      <c r="B1849" s="184">
        <v>7002501117</v>
      </c>
      <c r="C1849" s="184">
        <v>3</v>
      </c>
      <c r="D1849" s="9" t="s">
        <v>751</v>
      </c>
    </row>
    <row r="1850" spans="1:4" ht="12.5">
      <c r="A1850" s="186">
        <v>46163</v>
      </c>
      <c r="B1850" s="184">
        <v>7002501138</v>
      </c>
      <c r="C1850" s="184">
        <v>5</v>
      </c>
      <c r="D1850" s="9" t="s">
        <v>751</v>
      </c>
    </row>
    <row r="1851" spans="1:4" ht="12.5">
      <c r="A1851" s="186">
        <v>46163</v>
      </c>
      <c r="B1851" s="184">
        <v>7002501140</v>
      </c>
      <c r="C1851" s="184">
        <v>5</v>
      </c>
      <c r="D1851" s="9" t="s">
        <v>751</v>
      </c>
    </row>
    <row r="1852" spans="1:4" ht="12.5">
      <c r="A1852" s="186">
        <v>46163</v>
      </c>
      <c r="B1852" s="184">
        <v>7002501698</v>
      </c>
      <c r="C1852" s="184">
        <v>78</v>
      </c>
      <c r="D1852" s="9" t="s">
        <v>752</v>
      </c>
    </row>
    <row r="1853" spans="1:4" ht="12.5">
      <c r="A1853" s="186">
        <v>46163</v>
      </c>
      <c r="B1853" s="184">
        <v>7002501711</v>
      </c>
      <c r="C1853" s="184">
        <v>2</v>
      </c>
      <c r="D1853" s="9" t="s">
        <v>751</v>
      </c>
    </row>
    <row r="1854" spans="1:4" ht="12.5">
      <c r="A1854" s="186">
        <v>46163</v>
      </c>
      <c r="B1854" s="184">
        <v>7002501748</v>
      </c>
      <c r="C1854" s="184">
        <v>12</v>
      </c>
      <c r="D1854" s="9" t="s">
        <v>752</v>
      </c>
    </row>
    <row r="1855" spans="1:4" ht="12.5">
      <c r="A1855" s="186">
        <v>46163</v>
      </c>
      <c r="B1855" s="184">
        <v>7002502076</v>
      </c>
      <c r="C1855" s="184">
        <v>2</v>
      </c>
      <c r="D1855" s="9" t="s">
        <v>751</v>
      </c>
    </row>
    <row r="1856" spans="1:4" ht="12.5">
      <c r="A1856" s="186">
        <v>46163</v>
      </c>
      <c r="B1856" s="184">
        <v>7002502128</v>
      </c>
      <c r="C1856" s="184">
        <v>20</v>
      </c>
      <c r="D1856" s="9" t="s">
        <v>752</v>
      </c>
    </row>
    <row r="1857" spans="1:4" ht="12.5">
      <c r="A1857" s="186">
        <v>46163</v>
      </c>
      <c r="B1857" s="184">
        <v>7002502163</v>
      </c>
      <c r="C1857" s="184">
        <v>3</v>
      </c>
      <c r="D1857" s="9" t="s">
        <v>751</v>
      </c>
    </row>
    <row r="1858" spans="1:4" ht="12.5">
      <c r="A1858" s="186">
        <v>46163</v>
      </c>
      <c r="B1858" s="184">
        <v>7002502697</v>
      </c>
      <c r="C1858" s="184">
        <v>26</v>
      </c>
      <c r="D1858" s="9" t="s">
        <v>752</v>
      </c>
    </row>
    <row r="1859" spans="1:4" ht="12.5">
      <c r="A1859" s="186">
        <v>46163</v>
      </c>
      <c r="B1859" s="184">
        <v>7002502842</v>
      </c>
      <c r="C1859" s="184">
        <v>1</v>
      </c>
      <c r="D1859" s="9" t="s">
        <v>750</v>
      </c>
    </row>
    <row r="1860" spans="1:4" ht="12.5">
      <c r="A1860" s="186">
        <v>46163</v>
      </c>
      <c r="B1860" s="184">
        <v>7002503136</v>
      </c>
      <c r="C1860" s="184">
        <v>5</v>
      </c>
      <c r="D1860" s="9" t="s">
        <v>751</v>
      </c>
    </row>
    <row r="1861" spans="1:4" ht="12.5">
      <c r="A1861" s="186">
        <v>46163</v>
      </c>
      <c r="B1861" s="184">
        <v>7002503463</v>
      </c>
      <c r="C1861" s="184">
        <v>3</v>
      </c>
      <c r="D1861" s="9" t="s">
        <v>751</v>
      </c>
    </row>
    <row r="1862" spans="1:4" ht="12.5">
      <c r="A1862" s="186">
        <v>46163</v>
      </c>
      <c r="B1862" s="184">
        <v>7002503986</v>
      </c>
      <c r="C1862" s="184">
        <v>3</v>
      </c>
      <c r="D1862" s="9" t="s">
        <v>751</v>
      </c>
    </row>
    <row r="1863" spans="1:4" ht="12.5">
      <c r="A1863" s="186">
        <v>46163</v>
      </c>
      <c r="B1863" s="184">
        <v>7002504383</v>
      </c>
      <c r="C1863" s="184">
        <v>21</v>
      </c>
      <c r="D1863" s="9" t="s">
        <v>752</v>
      </c>
    </row>
    <row r="1864" spans="1:4" ht="12.5">
      <c r="A1864" s="186">
        <v>46163</v>
      </c>
      <c r="B1864" s="184">
        <v>7002504713</v>
      </c>
      <c r="C1864" s="184">
        <v>3</v>
      </c>
      <c r="D1864" s="9" t="s">
        <v>751</v>
      </c>
    </row>
    <row r="1865" spans="1:4" ht="12.5">
      <c r="A1865" s="186">
        <v>46163</v>
      </c>
      <c r="B1865" s="184">
        <v>7002504840</v>
      </c>
      <c r="C1865" s="184">
        <v>1</v>
      </c>
      <c r="D1865" s="9" t="s">
        <v>750</v>
      </c>
    </row>
    <row r="1866" spans="1:4" ht="12.5">
      <c r="A1866" s="186">
        <v>46163</v>
      </c>
      <c r="B1866" s="184">
        <v>7002504864</v>
      </c>
      <c r="C1866" s="184">
        <v>1</v>
      </c>
      <c r="D1866" s="9" t="s">
        <v>750</v>
      </c>
    </row>
    <row r="1867" spans="1:4" ht="12.5">
      <c r="A1867" s="186">
        <v>46163</v>
      </c>
      <c r="B1867" s="184">
        <v>7002505702</v>
      </c>
      <c r="C1867" s="184">
        <v>74</v>
      </c>
      <c r="D1867" s="9" t="s">
        <v>752</v>
      </c>
    </row>
    <row r="1868" spans="1:4" ht="12.5">
      <c r="A1868" s="186">
        <v>46163</v>
      </c>
      <c r="B1868" s="184">
        <v>7002505981</v>
      </c>
      <c r="C1868" s="184">
        <v>7</v>
      </c>
      <c r="D1868" s="9" t="s">
        <v>758</v>
      </c>
    </row>
    <row r="1869" spans="1:4" ht="12.5">
      <c r="A1869" s="186">
        <v>46163</v>
      </c>
      <c r="B1869" s="184">
        <v>7002506703</v>
      </c>
      <c r="C1869" s="184">
        <v>35</v>
      </c>
      <c r="D1869" s="9" t="s">
        <v>752</v>
      </c>
    </row>
    <row r="1870" spans="1:4" ht="12.5">
      <c r="A1870" s="186">
        <v>46163</v>
      </c>
      <c r="B1870" s="184">
        <v>7002506995</v>
      </c>
      <c r="C1870" s="184">
        <v>22</v>
      </c>
      <c r="D1870" s="9" t="s">
        <v>752</v>
      </c>
    </row>
    <row r="1871" spans="1:4" ht="12.5">
      <c r="A1871" s="186">
        <v>46163</v>
      </c>
      <c r="B1871" s="184">
        <v>7002507853</v>
      </c>
      <c r="C1871" s="184">
        <v>6</v>
      </c>
      <c r="D1871" s="9" t="s">
        <v>758</v>
      </c>
    </row>
    <row r="1872" spans="1:4" ht="12.5">
      <c r="A1872" s="186">
        <v>46163</v>
      </c>
      <c r="B1872" s="184">
        <v>7002508091</v>
      </c>
      <c r="C1872" s="184">
        <v>4</v>
      </c>
      <c r="D1872" s="9" t="s">
        <v>751</v>
      </c>
    </row>
    <row r="1873" spans="1:4" ht="12.5">
      <c r="A1873" s="186">
        <v>46163</v>
      </c>
      <c r="B1873" s="184">
        <v>7002508168</v>
      </c>
      <c r="C1873" s="184">
        <v>2</v>
      </c>
      <c r="D1873" s="9" t="s">
        <v>751</v>
      </c>
    </row>
    <row r="1874" spans="1:4" ht="12.5">
      <c r="A1874" s="186">
        <v>46163</v>
      </c>
      <c r="B1874" s="184">
        <v>7002508618</v>
      </c>
      <c r="C1874" s="184">
        <v>2</v>
      </c>
      <c r="D1874" s="9" t="s">
        <v>751</v>
      </c>
    </row>
    <row r="1875" spans="1:4" ht="12.5">
      <c r="A1875" s="186">
        <v>46163</v>
      </c>
      <c r="B1875" s="184">
        <v>7002508700</v>
      </c>
      <c r="C1875" s="184">
        <v>23</v>
      </c>
      <c r="D1875" s="9" t="s">
        <v>752</v>
      </c>
    </row>
    <row r="1876" spans="1:4" ht="12.5">
      <c r="A1876" s="186">
        <v>46163</v>
      </c>
      <c r="B1876" s="184">
        <v>7002508854</v>
      </c>
      <c r="C1876" s="184">
        <v>6</v>
      </c>
      <c r="D1876" s="9" t="s">
        <v>758</v>
      </c>
    </row>
    <row r="1877" spans="1:4" ht="12.5">
      <c r="A1877" s="186">
        <v>46163</v>
      </c>
      <c r="B1877" s="184">
        <v>7002509635</v>
      </c>
      <c r="C1877" s="184">
        <v>10</v>
      </c>
      <c r="D1877" s="9" t="s">
        <v>758</v>
      </c>
    </row>
    <row r="1878" spans="1:4" ht="12.5">
      <c r="A1878" s="186">
        <v>46163</v>
      </c>
      <c r="B1878" s="184">
        <v>7002509701</v>
      </c>
      <c r="C1878" s="184">
        <v>74</v>
      </c>
      <c r="D1878" s="9" t="s">
        <v>752</v>
      </c>
    </row>
    <row r="1879" spans="1:4" ht="12.5">
      <c r="A1879" s="186">
        <v>46163</v>
      </c>
      <c r="B1879" s="184">
        <v>7002509738</v>
      </c>
      <c r="C1879" s="184">
        <v>2</v>
      </c>
      <c r="D1879" s="9" t="s">
        <v>751</v>
      </c>
    </row>
    <row r="1880" spans="1:4" ht="12.5">
      <c r="A1880" s="186">
        <v>46163</v>
      </c>
      <c r="B1880" s="184">
        <v>7002509786</v>
      </c>
      <c r="C1880" s="184">
        <v>4</v>
      </c>
      <c r="D1880" s="9" t="s">
        <v>751</v>
      </c>
    </row>
    <row r="1881" spans="1:4" ht="12.5">
      <c r="A1881" s="186">
        <v>46163</v>
      </c>
      <c r="B1881" s="184">
        <v>7002509845</v>
      </c>
      <c r="C1881" s="184">
        <v>1</v>
      </c>
      <c r="D1881" s="9" t="s">
        <v>750</v>
      </c>
    </row>
    <row r="1882" spans="1:4" ht="12.5">
      <c r="A1882" s="186">
        <v>46163</v>
      </c>
      <c r="B1882" s="184">
        <v>7002510154</v>
      </c>
      <c r="C1882" s="184">
        <v>25</v>
      </c>
      <c r="D1882" s="9" t="s">
        <v>752</v>
      </c>
    </row>
    <row r="1883" spans="1:4" ht="12.5">
      <c r="A1883" s="186">
        <v>46163</v>
      </c>
      <c r="B1883" s="184">
        <v>7002510476</v>
      </c>
      <c r="C1883" s="184">
        <v>2</v>
      </c>
      <c r="D1883" s="9" t="s">
        <v>751</v>
      </c>
    </row>
    <row r="1884" spans="1:4" ht="12.5">
      <c r="A1884" s="186">
        <v>46163</v>
      </c>
      <c r="B1884" s="184">
        <v>7002510643</v>
      </c>
      <c r="C1884" s="184">
        <v>68</v>
      </c>
      <c r="D1884" s="9" t="s">
        <v>752</v>
      </c>
    </row>
    <row r="1885" spans="1:4" ht="12.5">
      <c r="A1885" s="186">
        <v>46163</v>
      </c>
      <c r="B1885" s="184">
        <v>7002510670</v>
      </c>
      <c r="C1885" s="184">
        <v>6</v>
      </c>
      <c r="D1885" s="9" t="s">
        <v>758</v>
      </c>
    </row>
    <row r="1886" spans="1:4" ht="12.5">
      <c r="A1886" s="186">
        <v>46163</v>
      </c>
      <c r="B1886" s="184">
        <v>7002510689</v>
      </c>
      <c r="C1886" s="184">
        <v>24</v>
      </c>
      <c r="D1886" s="9" t="s">
        <v>752</v>
      </c>
    </row>
    <row r="1887" spans="1:4" ht="12.5">
      <c r="A1887" s="186">
        <v>46163</v>
      </c>
      <c r="B1887" s="184">
        <v>7002510756</v>
      </c>
      <c r="C1887" s="184">
        <v>13</v>
      </c>
      <c r="D1887" s="9" t="s">
        <v>752</v>
      </c>
    </row>
    <row r="1888" spans="1:4" ht="12.5">
      <c r="A1888" s="186">
        <v>46163</v>
      </c>
      <c r="B1888" s="184">
        <v>7002510773</v>
      </c>
      <c r="C1888" s="184">
        <v>12</v>
      </c>
      <c r="D1888" s="9" t="s">
        <v>752</v>
      </c>
    </row>
    <row r="1889" spans="1:4" ht="12.5">
      <c r="A1889" s="186">
        <v>46163</v>
      </c>
      <c r="B1889" s="184">
        <v>7002511729</v>
      </c>
      <c r="C1889" s="184">
        <v>7</v>
      </c>
      <c r="D1889" s="9" t="s">
        <v>758</v>
      </c>
    </row>
    <row r="1890" spans="1:4" ht="12.5">
      <c r="A1890" s="186">
        <v>46163</v>
      </c>
      <c r="B1890" s="184">
        <v>7002511755</v>
      </c>
      <c r="C1890" s="184">
        <v>4</v>
      </c>
      <c r="D1890" s="9" t="s">
        <v>751</v>
      </c>
    </row>
    <row r="1891" spans="1:4" ht="12.5">
      <c r="A1891" s="186">
        <v>46163</v>
      </c>
      <c r="B1891" s="184">
        <v>7002512091</v>
      </c>
      <c r="C1891" s="184">
        <v>13</v>
      </c>
      <c r="D1891" s="9" t="s">
        <v>752</v>
      </c>
    </row>
    <row r="1892" spans="1:4" ht="12.5">
      <c r="A1892" s="186">
        <v>46163</v>
      </c>
      <c r="B1892" s="184">
        <v>7002512535</v>
      </c>
      <c r="C1892" s="184">
        <v>5</v>
      </c>
      <c r="D1892" s="9" t="s">
        <v>751</v>
      </c>
    </row>
    <row r="1893" spans="1:4" ht="12.5">
      <c r="A1893" s="186">
        <v>46163</v>
      </c>
      <c r="B1893" s="184">
        <v>7002512728</v>
      </c>
      <c r="C1893" s="184">
        <v>7</v>
      </c>
      <c r="D1893" s="9" t="s">
        <v>758</v>
      </c>
    </row>
    <row r="1894" spans="1:4" ht="12.5">
      <c r="A1894" s="186">
        <v>46163</v>
      </c>
      <c r="B1894" s="184">
        <v>7002512883</v>
      </c>
      <c r="C1894" s="184">
        <v>2</v>
      </c>
      <c r="D1894" s="9" t="s">
        <v>751</v>
      </c>
    </row>
    <row r="1895" spans="1:4" ht="12.5">
      <c r="A1895" s="186">
        <v>46163</v>
      </c>
      <c r="B1895" s="184">
        <v>7002513556</v>
      </c>
      <c r="C1895" s="184">
        <v>4</v>
      </c>
      <c r="D1895" s="9" t="s">
        <v>751</v>
      </c>
    </row>
    <row r="1896" spans="1:4" ht="12.5">
      <c r="A1896" s="186">
        <v>46163</v>
      </c>
      <c r="B1896" s="184">
        <v>7002513686</v>
      </c>
      <c r="C1896" s="184">
        <v>160</v>
      </c>
      <c r="D1896" s="9" t="s">
        <v>752</v>
      </c>
    </row>
    <row r="1897" spans="1:4" ht="12.5">
      <c r="A1897" s="186">
        <v>46163</v>
      </c>
      <c r="B1897" s="184">
        <v>7002513727</v>
      </c>
      <c r="C1897" s="184">
        <v>11</v>
      </c>
      <c r="D1897" s="9" t="s">
        <v>752</v>
      </c>
    </row>
    <row r="1898" spans="1:4" ht="12.5">
      <c r="A1898" s="186">
        <v>46163</v>
      </c>
      <c r="B1898" s="184">
        <v>7002513736</v>
      </c>
      <c r="C1898" s="184">
        <v>2</v>
      </c>
      <c r="D1898" s="9" t="s">
        <v>751</v>
      </c>
    </row>
    <row r="1899" spans="1:4" ht="12.5">
      <c r="A1899" s="186">
        <v>46163</v>
      </c>
      <c r="B1899" s="184">
        <v>7002513791</v>
      </c>
      <c r="C1899" s="184">
        <v>2</v>
      </c>
      <c r="D1899" s="9" t="s">
        <v>751</v>
      </c>
    </row>
    <row r="1900" spans="1:4" ht="12.5">
      <c r="A1900" s="186">
        <v>46163</v>
      </c>
      <c r="B1900" s="184">
        <v>7002514692</v>
      </c>
      <c r="C1900" s="184">
        <v>8</v>
      </c>
      <c r="D1900" s="9" t="s">
        <v>758</v>
      </c>
    </row>
    <row r="1901" spans="1:4" ht="12.5">
      <c r="A1901" s="186">
        <v>46163</v>
      </c>
      <c r="B1901" s="184">
        <v>7002515652</v>
      </c>
      <c r="C1901" s="184">
        <v>15</v>
      </c>
      <c r="D1901" s="9" t="s">
        <v>752</v>
      </c>
    </row>
    <row r="1902" spans="1:4" ht="12.5">
      <c r="A1902" s="186">
        <v>46163</v>
      </c>
      <c r="B1902" s="184">
        <v>7002515796</v>
      </c>
      <c r="C1902" s="184">
        <v>10</v>
      </c>
      <c r="D1902" s="9" t="s">
        <v>758</v>
      </c>
    </row>
    <row r="1903" spans="1:4" ht="12.5">
      <c r="A1903" s="186">
        <v>46163</v>
      </c>
      <c r="B1903" s="184">
        <v>7002516669</v>
      </c>
      <c r="C1903" s="184">
        <v>1</v>
      </c>
      <c r="D1903" s="9" t="s">
        <v>750</v>
      </c>
    </row>
    <row r="1904" spans="1:4" ht="12.5">
      <c r="A1904" s="186">
        <v>46163</v>
      </c>
      <c r="B1904" s="184">
        <v>7002516797</v>
      </c>
      <c r="C1904" s="184">
        <v>3</v>
      </c>
      <c r="D1904" s="9" t="s">
        <v>751</v>
      </c>
    </row>
    <row r="1905" spans="1:4" ht="12.5">
      <c r="A1905" s="186">
        <v>46163</v>
      </c>
      <c r="B1905" s="184">
        <v>7002516817</v>
      </c>
      <c r="C1905" s="184">
        <v>12</v>
      </c>
      <c r="D1905" s="9" t="s">
        <v>752</v>
      </c>
    </row>
    <row r="1906" spans="1:4" ht="12.5">
      <c r="A1906" s="186">
        <v>46163</v>
      </c>
      <c r="B1906" s="184">
        <v>7002517696</v>
      </c>
      <c r="C1906" s="184">
        <v>1</v>
      </c>
      <c r="D1906" s="9" t="s">
        <v>750</v>
      </c>
    </row>
    <row r="1907" spans="1:4" ht="12.5">
      <c r="A1907" s="186">
        <v>46163</v>
      </c>
      <c r="B1907" s="184">
        <v>7002517705</v>
      </c>
      <c r="C1907" s="184">
        <v>1</v>
      </c>
      <c r="D1907" s="9" t="s">
        <v>750</v>
      </c>
    </row>
    <row r="1908" spans="1:4" ht="12.5">
      <c r="A1908" s="186">
        <v>46163</v>
      </c>
      <c r="B1908" s="184">
        <v>7002517714</v>
      </c>
      <c r="C1908" s="184">
        <v>50</v>
      </c>
      <c r="D1908" s="9" t="s">
        <v>752</v>
      </c>
    </row>
    <row r="1909" spans="1:4" ht="12.5">
      <c r="A1909" s="186">
        <v>46163</v>
      </c>
      <c r="B1909" s="184">
        <v>7002517733</v>
      </c>
      <c r="C1909" s="184">
        <v>4</v>
      </c>
      <c r="D1909" s="9" t="s">
        <v>751</v>
      </c>
    </row>
    <row r="1910" spans="1:4" ht="12.5">
      <c r="A1910" s="186">
        <v>46163</v>
      </c>
      <c r="B1910" s="184">
        <v>7002518645</v>
      </c>
      <c r="C1910" s="184">
        <v>6</v>
      </c>
      <c r="D1910" s="9" t="s">
        <v>758</v>
      </c>
    </row>
    <row r="1911" spans="1:4" ht="12.5">
      <c r="A1911" s="186">
        <v>46163</v>
      </c>
      <c r="B1911" s="184">
        <v>7002518697</v>
      </c>
      <c r="C1911" s="184">
        <v>2</v>
      </c>
      <c r="D1911" s="9" t="s">
        <v>751</v>
      </c>
    </row>
    <row r="1912" spans="1:4" ht="12.5">
      <c r="A1912" s="186">
        <v>46163</v>
      </c>
      <c r="B1912" s="184">
        <v>7002519550</v>
      </c>
      <c r="C1912" s="184">
        <v>4</v>
      </c>
      <c r="D1912" s="9" t="s">
        <v>751</v>
      </c>
    </row>
    <row r="1913" spans="1:4" ht="12.5">
      <c r="A1913" s="186">
        <v>46163</v>
      </c>
      <c r="B1913" s="184">
        <v>7002519633</v>
      </c>
      <c r="C1913" s="184">
        <v>10</v>
      </c>
      <c r="D1913" s="9" t="s">
        <v>758</v>
      </c>
    </row>
    <row r="1914" spans="1:4" ht="12.5">
      <c r="A1914" s="186">
        <v>46163</v>
      </c>
      <c r="B1914" s="184">
        <v>7002519646</v>
      </c>
      <c r="C1914" s="184">
        <v>4</v>
      </c>
      <c r="D1914" s="9" t="s">
        <v>751</v>
      </c>
    </row>
    <row r="1915" spans="1:4" ht="12.5">
      <c r="A1915" s="186">
        <v>46163</v>
      </c>
      <c r="B1915" s="184">
        <v>7002519961</v>
      </c>
      <c r="C1915" s="184">
        <v>10</v>
      </c>
      <c r="D1915" s="9" t="s">
        <v>758</v>
      </c>
    </row>
    <row r="1916" spans="1:4" ht="12.5">
      <c r="A1916" s="186">
        <v>46163</v>
      </c>
      <c r="B1916" s="184">
        <v>7002520052</v>
      </c>
      <c r="C1916" s="184">
        <v>1</v>
      </c>
      <c r="D1916" s="9" t="s">
        <v>750</v>
      </c>
    </row>
    <row r="1917" spans="1:4" ht="12.5">
      <c r="A1917" s="186">
        <v>46163</v>
      </c>
      <c r="B1917" s="184">
        <v>7002520203</v>
      </c>
      <c r="C1917" s="184">
        <v>3</v>
      </c>
      <c r="D1917" s="9" t="s">
        <v>751</v>
      </c>
    </row>
    <row r="1918" spans="1:4" ht="12.5">
      <c r="A1918" s="186">
        <v>46163</v>
      </c>
      <c r="B1918" s="184">
        <v>7002521051</v>
      </c>
      <c r="C1918" s="184">
        <v>1</v>
      </c>
      <c r="D1918" s="9" t="s">
        <v>750</v>
      </c>
    </row>
    <row r="1919" spans="1:4" ht="12.5">
      <c r="A1919" s="186">
        <v>46163</v>
      </c>
      <c r="B1919" s="184">
        <v>7002521732</v>
      </c>
      <c r="C1919" s="184">
        <v>87</v>
      </c>
      <c r="D1919" s="9" t="s">
        <v>752</v>
      </c>
    </row>
    <row r="1920" spans="1:4" ht="12.5">
      <c r="A1920" s="186">
        <v>46163</v>
      </c>
      <c r="B1920" s="184">
        <v>7002522032</v>
      </c>
      <c r="C1920" s="184">
        <v>89</v>
      </c>
      <c r="D1920" s="9" t="s">
        <v>752</v>
      </c>
    </row>
    <row r="1921" spans="1:4" ht="12.5">
      <c r="A1921" s="186">
        <v>46163</v>
      </c>
      <c r="B1921" s="184">
        <v>7002522395</v>
      </c>
      <c r="C1921" s="184">
        <v>6</v>
      </c>
      <c r="D1921" s="9" t="s">
        <v>758</v>
      </c>
    </row>
    <row r="1922" spans="1:4" ht="12.5">
      <c r="A1922" s="186">
        <v>46163</v>
      </c>
      <c r="B1922" s="184">
        <v>7002522731</v>
      </c>
      <c r="C1922" s="184">
        <v>52</v>
      </c>
      <c r="D1922" s="9" t="s">
        <v>752</v>
      </c>
    </row>
    <row r="1923" spans="1:4" ht="12.5">
      <c r="A1923" s="186">
        <v>46163</v>
      </c>
      <c r="B1923" s="184">
        <v>7002523724</v>
      </c>
      <c r="C1923" s="184">
        <v>4</v>
      </c>
      <c r="D1923" s="9" t="s">
        <v>751</v>
      </c>
    </row>
    <row r="1924" spans="1:4" ht="12.5">
      <c r="A1924" s="186">
        <v>46163</v>
      </c>
      <c r="B1924" s="184">
        <v>7002524171</v>
      </c>
      <c r="C1924" s="184">
        <v>6</v>
      </c>
      <c r="D1924" s="9" t="s">
        <v>758</v>
      </c>
    </row>
    <row r="1925" spans="1:4" ht="12.5">
      <c r="A1925" s="186">
        <v>46163</v>
      </c>
      <c r="B1925" s="184">
        <v>7002524723</v>
      </c>
      <c r="C1925" s="184">
        <v>2</v>
      </c>
      <c r="D1925" s="9" t="s">
        <v>751</v>
      </c>
    </row>
    <row r="1926" spans="1:4" ht="12.5">
      <c r="A1926" s="186">
        <v>46163</v>
      </c>
      <c r="B1926" s="184">
        <v>7002524734</v>
      </c>
      <c r="C1926" s="184">
        <v>66</v>
      </c>
      <c r="D1926" s="9" t="s">
        <v>752</v>
      </c>
    </row>
    <row r="1927" spans="1:4" ht="12.5">
      <c r="A1927" s="186">
        <v>46163</v>
      </c>
      <c r="B1927" s="184">
        <v>7002525248</v>
      </c>
      <c r="C1927" s="184">
        <v>1</v>
      </c>
      <c r="D1927" s="9" t="s">
        <v>750</v>
      </c>
    </row>
    <row r="1928" spans="1:4" ht="12.5">
      <c r="A1928" s="186">
        <v>46163</v>
      </c>
      <c r="B1928" s="184">
        <v>7002525865</v>
      </c>
      <c r="C1928" s="184">
        <v>1</v>
      </c>
      <c r="D1928" s="9" t="s">
        <v>750</v>
      </c>
    </row>
    <row r="1929" spans="1:4" ht="12.5">
      <c r="A1929" s="186">
        <v>46163</v>
      </c>
      <c r="B1929" s="184">
        <v>7002526764</v>
      </c>
      <c r="C1929" s="184">
        <v>11</v>
      </c>
      <c r="D1929" s="9" t="s">
        <v>752</v>
      </c>
    </row>
    <row r="1930" spans="1:4" ht="12.5">
      <c r="A1930" s="186">
        <v>46163</v>
      </c>
      <c r="B1930" s="184">
        <v>7002527001</v>
      </c>
      <c r="C1930" s="184">
        <v>23</v>
      </c>
      <c r="D1930" s="9" t="s">
        <v>752</v>
      </c>
    </row>
    <row r="1931" spans="1:4" ht="12.5">
      <c r="A1931" s="186">
        <v>46163</v>
      </c>
      <c r="B1931" s="184">
        <v>7002527250</v>
      </c>
      <c r="C1931" s="184">
        <v>12</v>
      </c>
      <c r="D1931" s="9" t="s">
        <v>752</v>
      </c>
    </row>
    <row r="1932" spans="1:4" ht="12.5">
      <c r="A1932" s="186">
        <v>46163</v>
      </c>
      <c r="B1932" s="184">
        <v>7002527319</v>
      </c>
      <c r="C1932" s="184">
        <v>2</v>
      </c>
      <c r="D1932" s="9" t="s">
        <v>751</v>
      </c>
    </row>
    <row r="1933" spans="1:4" ht="12.5">
      <c r="A1933" s="186">
        <v>46163</v>
      </c>
      <c r="B1933" s="184">
        <v>7002527424</v>
      </c>
      <c r="C1933" s="184">
        <v>2</v>
      </c>
      <c r="D1933" s="9" t="s">
        <v>751</v>
      </c>
    </row>
    <row r="1934" spans="1:4" ht="12.5">
      <c r="A1934" s="186">
        <v>46163</v>
      </c>
      <c r="B1934" s="184">
        <v>7002527725</v>
      </c>
      <c r="C1934" s="184">
        <v>1</v>
      </c>
      <c r="D1934" s="9" t="s">
        <v>750</v>
      </c>
    </row>
    <row r="1935" spans="1:4" ht="12.5">
      <c r="A1935" s="186">
        <v>46163</v>
      </c>
      <c r="B1935" s="184">
        <v>7002528389</v>
      </c>
      <c r="C1935" s="184">
        <v>14</v>
      </c>
      <c r="D1935" s="9" t="s">
        <v>752</v>
      </c>
    </row>
    <row r="1936" spans="1:4" ht="12.5">
      <c r="A1936" s="186">
        <v>46163</v>
      </c>
      <c r="B1936" s="184">
        <v>7002528735</v>
      </c>
      <c r="C1936" s="184">
        <v>17</v>
      </c>
      <c r="D1936" s="9" t="s">
        <v>752</v>
      </c>
    </row>
    <row r="1937" spans="1:4" ht="12.5">
      <c r="A1937" s="186">
        <v>46163</v>
      </c>
      <c r="B1937" s="184">
        <v>7002528899</v>
      </c>
      <c r="C1937" s="184">
        <v>1</v>
      </c>
      <c r="D1937" s="9" t="s">
        <v>750</v>
      </c>
    </row>
    <row r="1938" spans="1:4" ht="12.5">
      <c r="A1938" s="186">
        <v>46163</v>
      </c>
      <c r="B1938" s="184">
        <v>7002528995</v>
      </c>
      <c r="C1938" s="184">
        <v>1</v>
      </c>
      <c r="D1938" s="9" t="s">
        <v>750</v>
      </c>
    </row>
    <row r="1939" spans="1:4" ht="12.5">
      <c r="A1939" s="186">
        <v>46163</v>
      </c>
      <c r="B1939" s="184">
        <v>7002529019</v>
      </c>
      <c r="C1939" s="184">
        <v>4</v>
      </c>
      <c r="D1939" s="9" t="s">
        <v>751</v>
      </c>
    </row>
    <row r="1940" spans="1:4" ht="12.5">
      <c r="A1940" s="186">
        <v>46163</v>
      </c>
      <c r="B1940" s="184">
        <v>7002529736</v>
      </c>
      <c r="C1940" s="184">
        <v>107</v>
      </c>
      <c r="D1940" s="9" t="s">
        <v>752</v>
      </c>
    </row>
    <row r="1941" spans="1:4" ht="12.5">
      <c r="A1941" s="186">
        <v>46163</v>
      </c>
      <c r="B1941" s="184">
        <v>7002529977</v>
      </c>
      <c r="C1941" s="184">
        <v>1</v>
      </c>
      <c r="D1941" s="9" t="s">
        <v>750</v>
      </c>
    </row>
    <row r="1942" spans="1:4" ht="12.5">
      <c r="A1942" s="186">
        <v>46163</v>
      </c>
      <c r="B1942" s="184">
        <v>7002532037</v>
      </c>
      <c r="C1942" s="184">
        <v>10</v>
      </c>
      <c r="D1942" s="9" t="s">
        <v>758</v>
      </c>
    </row>
    <row r="1943" spans="1:4" ht="12.5">
      <c r="A1943" s="186">
        <v>46163</v>
      </c>
      <c r="B1943" s="184">
        <v>7002533588</v>
      </c>
      <c r="C1943" s="184">
        <v>33</v>
      </c>
      <c r="D1943" s="9" t="s">
        <v>752</v>
      </c>
    </row>
    <row r="1944" spans="1:4" ht="12.5">
      <c r="A1944" s="186">
        <v>46163</v>
      </c>
      <c r="B1944" s="184">
        <v>7002534179</v>
      </c>
      <c r="C1944" s="184">
        <v>1</v>
      </c>
      <c r="D1944" s="9" t="s">
        <v>750</v>
      </c>
    </row>
    <row r="1945" spans="1:4" ht="12.5">
      <c r="A1945" s="186">
        <v>46163</v>
      </c>
      <c r="B1945" s="184">
        <v>7002534344</v>
      </c>
      <c r="C1945" s="184">
        <v>1</v>
      </c>
      <c r="D1945" s="9" t="s">
        <v>750</v>
      </c>
    </row>
    <row r="1946" spans="1:4" ht="12.5">
      <c r="A1946" s="186">
        <v>46163</v>
      </c>
      <c r="B1946" s="184">
        <v>7002534421</v>
      </c>
      <c r="C1946" s="184">
        <v>1</v>
      </c>
      <c r="D1946" s="9" t="s">
        <v>750</v>
      </c>
    </row>
    <row r="1947" spans="1:4" ht="12.5">
      <c r="A1947" s="186">
        <v>46163</v>
      </c>
      <c r="B1947" s="184">
        <v>7002534587</v>
      </c>
      <c r="C1947" s="184">
        <v>1</v>
      </c>
      <c r="D1947" s="9" t="s">
        <v>750</v>
      </c>
    </row>
    <row r="1948" spans="1:4" ht="12.5">
      <c r="A1948" s="186">
        <v>46163</v>
      </c>
      <c r="B1948" s="184">
        <v>7002535494</v>
      </c>
      <c r="C1948" s="184">
        <v>2</v>
      </c>
      <c r="D1948" s="9" t="s">
        <v>751</v>
      </c>
    </row>
    <row r="1949" spans="1:4" ht="12.5">
      <c r="A1949" s="186">
        <v>46163</v>
      </c>
      <c r="B1949" s="184">
        <v>7002538242</v>
      </c>
      <c r="C1949" s="184">
        <v>8</v>
      </c>
      <c r="D1949" s="9" t="s">
        <v>758</v>
      </c>
    </row>
    <row r="1950" spans="1:4" ht="12.5">
      <c r="A1950" s="186">
        <v>46163</v>
      </c>
      <c r="B1950" s="184">
        <v>7002538416</v>
      </c>
      <c r="C1950" s="184">
        <v>1</v>
      </c>
      <c r="D1950" s="9" t="s">
        <v>750</v>
      </c>
    </row>
    <row r="1951" spans="1:4" ht="12.5">
      <c r="A1951" s="186">
        <v>46163</v>
      </c>
      <c r="B1951" s="184">
        <v>7002538471</v>
      </c>
      <c r="C1951" s="184">
        <v>3</v>
      </c>
      <c r="D1951" s="9" t="s">
        <v>751</v>
      </c>
    </row>
    <row r="1952" spans="1:4" ht="12.5">
      <c r="A1952" s="186">
        <v>46163</v>
      </c>
      <c r="B1952" s="184">
        <v>7002539609</v>
      </c>
      <c r="C1952" s="184">
        <v>1</v>
      </c>
      <c r="D1952" s="9" t="s">
        <v>750</v>
      </c>
    </row>
    <row r="1953" spans="1:4" ht="12.5">
      <c r="A1953" s="191"/>
      <c r="B1953" s="192"/>
      <c r="C1953" s="192"/>
      <c r="D1953" s="136"/>
    </row>
    <row r="1954" spans="1:4" ht="12.5">
      <c r="A1954" s="186">
        <v>46164</v>
      </c>
      <c r="B1954" s="14">
        <v>7001204815</v>
      </c>
      <c r="C1954" s="14">
        <v>1</v>
      </c>
      <c r="D1954" s="9" t="s">
        <v>750</v>
      </c>
    </row>
    <row r="1955" spans="1:4" ht="12.5">
      <c r="A1955" s="186">
        <v>46164</v>
      </c>
      <c r="B1955" s="14">
        <v>7001727096</v>
      </c>
      <c r="C1955" s="14">
        <v>1</v>
      </c>
      <c r="D1955" s="9" t="s">
        <v>750</v>
      </c>
    </row>
    <row r="1956" spans="1:4" ht="12.5">
      <c r="A1956" s="186">
        <v>46164</v>
      </c>
      <c r="B1956" s="14">
        <v>7002386353</v>
      </c>
      <c r="C1956" s="14">
        <v>44</v>
      </c>
      <c r="D1956" s="9" t="s">
        <v>752</v>
      </c>
    </row>
    <row r="1957" spans="1:4" ht="12.5">
      <c r="A1957" s="186">
        <v>46164</v>
      </c>
      <c r="B1957" s="14">
        <v>7002420564</v>
      </c>
      <c r="C1957" s="14">
        <v>8</v>
      </c>
      <c r="D1957" s="9" t="s">
        <v>758</v>
      </c>
    </row>
    <row r="1958" spans="1:4" ht="12.5">
      <c r="A1958" s="186">
        <v>46164</v>
      </c>
      <c r="B1958" s="14">
        <v>7002495173</v>
      </c>
      <c r="C1958" s="14">
        <v>11</v>
      </c>
      <c r="D1958" s="9" t="s">
        <v>752</v>
      </c>
    </row>
    <row r="1959" spans="1:4" ht="12.5">
      <c r="A1959" s="186">
        <v>46164</v>
      </c>
      <c r="B1959" s="14">
        <v>7002507704</v>
      </c>
      <c r="C1959" s="14">
        <v>4</v>
      </c>
      <c r="D1959" s="9" t="s">
        <v>751</v>
      </c>
    </row>
    <row r="1960" spans="1:4" ht="12.5">
      <c r="A1960" s="186">
        <v>46164</v>
      </c>
      <c r="B1960" s="14">
        <v>7002521239</v>
      </c>
      <c r="C1960" s="14">
        <v>1</v>
      </c>
      <c r="D1960" s="9" t="s">
        <v>750</v>
      </c>
    </row>
    <row r="1961" spans="1:4" ht="12.5">
      <c r="A1961" s="186">
        <v>46164</v>
      </c>
      <c r="B1961" s="14">
        <v>7002521713</v>
      </c>
      <c r="C1961" s="14">
        <v>19</v>
      </c>
      <c r="D1961" s="9" t="s">
        <v>752</v>
      </c>
    </row>
    <row r="1962" spans="1:4" ht="12.5">
      <c r="A1962" s="186">
        <v>46164</v>
      </c>
      <c r="B1962" s="14">
        <v>7002521721</v>
      </c>
      <c r="C1962" s="14">
        <v>12</v>
      </c>
      <c r="D1962" s="9" t="s">
        <v>752</v>
      </c>
    </row>
    <row r="1963" spans="1:4" ht="12.5">
      <c r="A1963" s="186">
        <v>46164</v>
      </c>
      <c r="B1963" s="14">
        <v>7002521855</v>
      </c>
      <c r="C1963" s="14">
        <v>1</v>
      </c>
      <c r="D1963" s="9" t="s">
        <v>750</v>
      </c>
    </row>
    <row r="1964" spans="1:4" ht="12.5">
      <c r="A1964" s="186">
        <v>46164</v>
      </c>
      <c r="B1964" s="14">
        <v>7002523711</v>
      </c>
      <c r="C1964" s="14">
        <v>34</v>
      </c>
      <c r="D1964" s="9" t="s">
        <v>752</v>
      </c>
    </row>
    <row r="1965" spans="1:4" ht="12.5">
      <c r="A1965" s="186">
        <v>46164</v>
      </c>
      <c r="B1965" s="14">
        <v>7002524781</v>
      </c>
      <c r="C1965" s="14">
        <v>118</v>
      </c>
      <c r="D1965" s="9" t="s">
        <v>752</v>
      </c>
    </row>
    <row r="1966" spans="1:4" ht="12.5">
      <c r="A1966" s="186">
        <v>46164</v>
      </c>
      <c r="B1966" s="14">
        <v>7002526717</v>
      </c>
      <c r="C1966" s="14">
        <v>6</v>
      </c>
      <c r="D1966" s="9" t="s">
        <v>758</v>
      </c>
    </row>
    <row r="1967" spans="1:4" ht="12.5">
      <c r="A1967" s="186">
        <v>46164</v>
      </c>
      <c r="B1967" s="14">
        <v>7002526740</v>
      </c>
      <c r="C1967" s="14">
        <v>2</v>
      </c>
      <c r="D1967" s="9" t="s">
        <v>751</v>
      </c>
    </row>
    <row r="1968" spans="1:4" ht="12.5">
      <c r="A1968" s="186">
        <v>46164</v>
      </c>
      <c r="B1968" s="14">
        <v>7002527718</v>
      </c>
      <c r="C1968" s="14">
        <v>4</v>
      </c>
      <c r="D1968" s="9" t="s">
        <v>751</v>
      </c>
    </row>
    <row r="1969" spans="1:4" ht="12.5">
      <c r="A1969" s="186">
        <v>46164</v>
      </c>
      <c r="B1969" s="14">
        <v>7002530637</v>
      </c>
      <c r="C1969" s="14">
        <v>9</v>
      </c>
      <c r="D1969" s="9" t="s">
        <v>758</v>
      </c>
    </row>
    <row r="1970" spans="1:4" ht="12.5">
      <c r="A1970" s="186">
        <v>46164</v>
      </c>
      <c r="B1970" s="14">
        <v>7002530726</v>
      </c>
      <c r="C1970" s="14">
        <v>32</v>
      </c>
      <c r="D1970" s="9" t="s">
        <v>752</v>
      </c>
    </row>
    <row r="1971" spans="1:4" ht="12.5">
      <c r="A1971" s="186">
        <v>46164</v>
      </c>
      <c r="B1971" s="14">
        <v>7002530757</v>
      </c>
      <c r="C1971" s="14">
        <v>1</v>
      </c>
      <c r="D1971" s="9" t="s">
        <v>750</v>
      </c>
    </row>
    <row r="1972" spans="1:4" ht="12.5">
      <c r="A1972" s="186">
        <v>46164</v>
      </c>
      <c r="B1972" s="14">
        <v>7002531658</v>
      </c>
      <c r="C1972" s="14">
        <v>3</v>
      </c>
      <c r="D1972" s="9" t="s">
        <v>751</v>
      </c>
    </row>
    <row r="1973" spans="1:4" ht="12.5">
      <c r="A1973" s="186">
        <v>46164</v>
      </c>
      <c r="B1973" s="14">
        <v>7002531662</v>
      </c>
      <c r="C1973" s="14">
        <v>4</v>
      </c>
      <c r="D1973" s="9" t="s">
        <v>751</v>
      </c>
    </row>
    <row r="1974" spans="1:4" ht="12.5">
      <c r="A1974" s="186">
        <v>46164</v>
      </c>
      <c r="B1974" s="14">
        <v>7002531725</v>
      </c>
      <c r="C1974" s="14">
        <v>2</v>
      </c>
      <c r="D1974" s="9" t="s">
        <v>751</v>
      </c>
    </row>
    <row r="1975" spans="1:4" ht="12.5">
      <c r="A1975" s="186">
        <v>46164</v>
      </c>
      <c r="B1975" s="14">
        <v>7002532661</v>
      </c>
      <c r="C1975" s="14">
        <v>14</v>
      </c>
      <c r="D1975" s="9" t="s">
        <v>752</v>
      </c>
    </row>
    <row r="1976" spans="1:4" ht="12.5">
      <c r="A1976" s="186">
        <v>46164</v>
      </c>
      <c r="B1976" s="14">
        <v>7002532674</v>
      </c>
      <c r="C1976" s="14">
        <v>21</v>
      </c>
      <c r="D1976" s="9" t="s">
        <v>752</v>
      </c>
    </row>
    <row r="1977" spans="1:4" ht="12.5">
      <c r="A1977" s="186">
        <v>46164</v>
      </c>
      <c r="B1977" s="14">
        <v>7002532688</v>
      </c>
      <c r="C1977" s="14">
        <v>15</v>
      </c>
      <c r="D1977" s="9" t="s">
        <v>752</v>
      </c>
    </row>
    <row r="1978" spans="1:4" ht="12.5">
      <c r="A1978" s="186">
        <v>46164</v>
      </c>
      <c r="B1978" s="14">
        <v>7002532701</v>
      </c>
      <c r="C1978" s="14">
        <v>4</v>
      </c>
      <c r="D1978" s="9" t="s">
        <v>751</v>
      </c>
    </row>
    <row r="1979" spans="1:4" ht="12.5">
      <c r="A1979" s="186">
        <v>46164</v>
      </c>
      <c r="B1979" s="14">
        <v>7002532738</v>
      </c>
      <c r="C1979" s="14">
        <v>4</v>
      </c>
      <c r="D1979" s="9" t="s">
        <v>751</v>
      </c>
    </row>
    <row r="1980" spans="1:4" ht="12.5">
      <c r="A1980" s="186">
        <v>46164</v>
      </c>
      <c r="B1980" s="14">
        <v>7002533673</v>
      </c>
      <c r="C1980" s="14">
        <v>9</v>
      </c>
      <c r="D1980" s="9" t="s">
        <v>758</v>
      </c>
    </row>
    <row r="1981" spans="1:4" ht="12.5">
      <c r="A1981" s="186">
        <v>46164</v>
      </c>
      <c r="B1981" s="14">
        <v>7002533687</v>
      </c>
      <c r="C1981" s="14">
        <v>7</v>
      </c>
      <c r="D1981" s="9" t="s">
        <v>758</v>
      </c>
    </row>
    <row r="1982" spans="1:4" ht="12.5">
      <c r="A1982" s="186">
        <v>46164</v>
      </c>
      <c r="B1982" s="14">
        <v>7002533737</v>
      </c>
      <c r="C1982" s="14">
        <v>3</v>
      </c>
      <c r="D1982" s="9" t="s">
        <v>751</v>
      </c>
    </row>
    <row r="1983" spans="1:4" ht="12.5">
      <c r="A1983" s="186">
        <v>46164</v>
      </c>
      <c r="B1983" s="14">
        <v>7002533984</v>
      </c>
      <c r="C1983" s="14">
        <v>1</v>
      </c>
      <c r="D1983" s="9" t="s">
        <v>750</v>
      </c>
    </row>
    <row r="1984" spans="1:4" ht="12.5">
      <c r="A1984" s="186">
        <v>46164</v>
      </c>
      <c r="B1984" s="14">
        <v>7002534655</v>
      </c>
      <c r="C1984" s="14">
        <v>5</v>
      </c>
      <c r="D1984" s="9" t="s">
        <v>751</v>
      </c>
    </row>
    <row r="1985" spans="1:4" ht="12.5">
      <c r="A1985" s="186">
        <v>46164</v>
      </c>
      <c r="B1985" s="14">
        <v>7002534693</v>
      </c>
      <c r="C1985" s="14">
        <v>6</v>
      </c>
      <c r="D1985" s="9" t="s">
        <v>758</v>
      </c>
    </row>
    <row r="1986" spans="1:4" ht="12.5">
      <c r="A1986" s="186">
        <v>46164</v>
      </c>
      <c r="B1986" s="14">
        <v>7002534704</v>
      </c>
      <c r="C1986" s="14">
        <v>7</v>
      </c>
      <c r="D1986" s="9" t="s">
        <v>758</v>
      </c>
    </row>
    <row r="1987" spans="1:4" ht="12.5">
      <c r="A1987" s="186">
        <v>46164</v>
      </c>
      <c r="B1987" s="14">
        <v>7002534715</v>
      </c>
      <c r="C1987" s="14">
        <v>6</v>
      </c>
      <c r="D1987" s="9" t="s">
        <v>758</v>
      </c>
    </row>
    <row r="1988" spans="1:4" ht="12.5">
      <c r="A1988" s="186">
        <v>46164</v>
      </c>
      <c r="B1988" s="14">
        <v>7002534996</v>
      </c>
      <c r="C1988" s="14">
        <v>3</v>
      </c>
      <c r="D1988" s="9" t="s">
        <v>751</v>
      </c>
    </row>
    <row r="1989" spans="1:4" ht="12.5">
      <c r="A1989" s="186">
        <v>46164</v>
      </c>
      <c r="B1989" s="14">
        <v>7002535633</v>
      </c>
      <c r="C1989" s="14">
        <v>56</v>
      </c>
      <c r="D1989" s="9" t="s">
        <v>752</v>
      </c>
    </row>
    <row r="1990" spans="1:4" ht="12.5">
      <c r="A1990" s="186">
        <v>46164</v>
      </c>
      <c r="B1990" s="14">
        <v>7002535679</v>
      </c>
      <c r="C1990" s="14">
        <v>5</v>
      </c>
      <c r="D1990" s="9" t="s">
        <v>751</v>
      </c>
    </row>
    <row r="1991" spans="1:4" ht="12.5">
      <c r="A1991" s="186">
        <v>46164</v>
      </c>
      <c r="B1991" s="14">
        <v>7002535753</v>
      </c>
      <c r="C1991" s="14">
        <v>11</v>
      </c>
      <c r="D1991" s="9" t="s">
        <v>752</v>
      </c>
    </row>
    <row r="1992" spans="1:4" ht="12.5">
      <c r="A1992" s="186">
        <v>46164</v>
      </c>
      <c r="B1992" s="14">
        <v>7002536652</v>
      </c>
      <c r="C1992" s="14">
        <v>5</v>
      </c>
      <c r="D1992" s="9" t="s">
        <v>751</v>
      </c>
    </row>
    <row r="1993" spans="1:4" ht="12.5">
      <c r="A1993" s="186">
        <v>46164</v>
      </c>
      <c r="B1993" s="14">
        <v>7002536681</v>
      </c>
      <c r="C1993" s="14">
        <v>11</v>
      </c>
      <c r="D1993" s="9" t="s">
        <v>752</v>
      </c>
    </row>
    <row r="1994" spans="1:4" ht="12.5">
      <c r="A1994" s="186">
        <v>46164</v>
      </c>
      <c r="B1994" s="14">
        <v>7002536712</v>
      </c>
      <c r="C1994" s="14">
        <v>3</v>
      </c>
      <c r="D1994" s="9" t="s">
        <v>751</v>
      </c>
    </row>
    <row r="1995" spans="1:4" ht="12.5">
      <c r="A1995" s="186">
        <v>46164</v>
      </c>
      <c r="B1995" s="14">
        <v>7002536720</v>
      </c>
      <c r="C1995" s="14">
        <v>90</v>
      </c>
      <c r="D1995" s="9" t="s">
        <v>752</v>
      </c>
    </row>
    <row r="1996" spans="1:4" ht="12.5">
      <c r="A1996" s="186">
        <v>46164</v>
      </c>
      <c r="B1996" s="14">
        <v>7002537624</v>
      </c>
      <c r="C1996" s="14">
        <v>27</v>
      </c>
      <c r="D1996" s="9" t="s">
        <v>752</v>
      </c>
    </row>
    <row r="1997" spans="1:4" ht="12.5">
      <c r="A1997" s="186">
        <v>46164</v>
      </c>
      <c r="B1997" s="14">
        <v>7002537745</v>
      </c>
      <c r="C1997" s="14">
        <v>1</v>
      </c>
      <c r="D1997" s="9" t="s">
        <v>750</v>
      </c>
    </row>
    <row r="1998" spans="1:4" ht="12.5">
      <c r="A1998" s="186">
        <v>46164</v>
      </c>
      <c r="B1998" s="14">
        <v>7002538665</v>
      </c>
      <c r="C1998" s="14">
        <v>2</v>
      </c>
      <c r="D1998" s="9" t="s">
        <v>751</v>
      </c>
    </row>
    <row r="1999" spans="1:4" ht="12.5">
      <c r="A1999" s="186">
        <v>46164</v>
      </c>
      <c r="B1999" s="14">
        <v>7002538714</v>
      </c>
      <c r="C1999" s="14">
        <v>4</v>
      </c>
      <c r="D1999" s="9" t="s">
        <v>751</v>
      </c>
    </row>
    <row r="2000" spans="1:4" ht="12.5">
      <c r="A2000" s="186">
        <v>46164</v>
      </c>
      <c r="B2000" s="14">
        <v>7002538733</v>
      </c>
      <c r="C2000" s="14">
        <v>1</v>
      </c>
      <c r="D2000" s="9" t="s">
        <v>750</v>
      </c>
    </row>
    <row r="2001" spans="1:4" ht="12.5">
      <c r="A2001" s="186">
        <v>46164</v>
      </c>
      <c r="B2001" s="14">
        <v>7002539486</v>
      </c>
      <c r="C2001" s="14">
        <v>1</v>
      </c>
      <c r="D2001" s="9" t="s">
        <v>750</v>
      </c>
    </row>
    <row r="2002" spans="1:4" ht="12.5">
      <c r="A2002" s="186">
        <v>46164</v>
      </c>
      <c r="B2002" s="14">
        <v>7002539678</v>
      </c>
      <c r="C2002" s="14">
        <v>3</v>
      </c>
      <c r="D2002" s="9" t="s">
        <v>751</v>
      </c>
    </row>
    <row r="2003" spans="1:4" ht="12.5">
      <c r="A2003" s="186">
        <v>46164</v>
      </c>
      <c r="B2003" s="14">
        <v>7002539734</v>
      </c>
      <c r="C2003" s="14">
        <v>15</v>
      </c>
      <c r="D2003" s="9" t="s">
        <v>752</v>
      </c>
    </row>
    <row r="2004" spans="1:4" ht="12.5">
      <c r="A2004" s="186">
        <v>46164</v>
      </c>
      <c r="B2004" s="14">
        <v>7002540792</v>
      </c>
      <c r="C2004" s="14">
        <v>6</v>
      </c>
      <c r="D2004" s="9" t="s">
        <v>758</v>
      </c>
    </row>
    <row r="2005" spans="1:4" ht="12.5">
      <c r="A2005" s="186">
        <v>46164</v>
      </c>
      <c r="B2005" s="14">
        <v>7002540812</v>
      </c>
      <c r="C2005" s="14">
        <v>4</v>
      </c>
      <c r="D2005" s="9" t="s">
        <v>751</v>
      </c>
    </row>
    <row r="2006" spans="1:4" ht="12.5">
      <c r="A2006" s="186">
        <v>46164</v>
      </c>
      <c r="B2006" s="14">
        <v>7002540820</v>
      </c>
      <c r="C2006" s="14">
        <v>2</v>
      </c>
      <c r="D2006" s="9" t="s">
        <v>751</v>
      </c>
    </row>
    <row r="2007" spans="1:4" ht="12.5">
      <c r="A2007" s="186">
        <v>46164</v>
      </c>
      <c r="B2007" s="14">
        <v>7002540854</v>
      </c>
      <c r="C2007" s="14">
        <v>7</v>
      </c>
      <c r="D2007" s="9" t="s">
        <v>758</v>
      </c>
    </row>
    <row r="2008" spans="1:4" ht="12.5">
      <c r="A2008" s="186">
        <v>46164</v>
      </c>
      <c r="B2008" s="14">
        <v>7002540865</v>
      </c>
      <c r="C2008" s="14">
        <v>7</v>
      </c>
      <c r="D2008" s="9" t="s">
        <v>758</v>
      </c>
    </row>
    <row r="2009" spans="1:4" ht="12.5">
      <c r="A2009" s="186">
        <v>46164</v>
      </c>
      <c r="B2009" s="14">
        <v>7002540877</v>
      </c>
      <c r="C2009" s="14">
        <v>5</v>
      </c>
      <c r="D2009" s="9" t="s">
        <v>751</v>
      </c>
    </row>
    <row r="2010" spans="1:4" ht="12.5">
      <c r="A2010" s="186">
        <v>46164</v>
      </c>
      <c r="B2010" s="14">
        <v>7002541114</v>
      </c>
      <c r="C2010" s="14">
        <v>9</v>
      </c>
      <c r="D2010" s="9" t="s">
        <v>758</v>
      </c>
    </row>
    <row r="2011" spans="1:4" ht="12.5">
      <c r="A2011" s="186">
        <v>46164</v>
      </c>
      <c r="B2011" s="14">
        <v>7002541789</v>
      </c>
      <c r="C2011" s="14">
        <v>4</v>
      </c>
      <c r="D2011" s="9" t="s">
        <v>751</v>
      </c>
    </row>
    <row r="2012" spans="1:4" ht="12.5">
      <c r="A2012" s="186">
        <v>46164</v>
      </c>
      <c r="B2012" s="14">
        <v>7002541811</v>
      </c>
      <c r="C2012" s="14">
        <v>2</v>
      </c>
      <c r="D2012" s="9" t="s">
        <v>751</v>
      </c>
    </row>
    <row r="2013" spans="1:4" ht="12.5">
      <c r="A2013" s="186">
        <v>46164</v>
      </c>
      <c r="B2013" s="14">
        <v>7002541869</v>
      </c>
      <c r="C2013" s="14">
        <v>2</v>
      </c>
      <c r="D2013" s="9" t="s">
        <v>751</v>
      </c>
    </row>
    <row r="2014" spans="1:4" ht="12.5">
      <c r="A2014" s="186">
        <v>46164</v>
      </c>
      <c r="B2014" s="14">
        <v>7002542197</v>
      </c>
      <c r="C2014" s="14">
        <v>1</v>
      </c>
      <c r="D2014" s="9" t="s">
        <v>750</v>
      </c>
    </row>
    <row r="2015" spans="1:4" ht="12.5">
      <c r="A2015" s="186">
        <v>46164</v>
      </c>
      <c r="B2015" s="14">
        <v>7002542298</v>
      </c>
      <c r="C2015" s="14">
        <v>2</v>
      </c>
      <c r="D2015" s="9" t="s">
        <v>751</v>
      </c>
    </row>
    <row r="2016" spans="1:4" ht="12.5">
      <c r="A2016" s="186">
        <v>46164</v>
      </c>
      <c r="B2016" s="14">
        <v>7002542790</v>
      </c>
      <c r="C2016" s="14">
        <v>28</v>
      </c>
      <c r="D2016" s="9" t="s">
        <v>752</v>
      </c>
    </row>
    <row r="2017" spans="1:4" ht="12.5">
      <c r="A2017" s="186">
        <v>46164</v>
      </c>
      <c r="B2017" s="14">
        <v>7002542930</v>
      </c>
      <c r="C2017" s="14">
        <v>4</v>
      </c>
      <c r="D2017" s="9" t="s">
        <v>751</v>
      </c>
    </row>
    <row r="2018" spans="1:4" ht="12.5">
      <c r="A2018" s="186">
        <v>46164</v>
      </c>
      <c r="B2018" s="14">
        <v>7002543040</v>
      </c>
      <c r="C2018" s="14">
        <v>7</v>
      </c>
      <c r="D2018" s="9" t="s">
        <v>758</v>
      </c>
    </row>
    <row r="2019" spans="1:4" ht="12.5">
      <c r="A2019" s="186">
        <v>46164</v>
      </c>
      <c r="B2019" s="14">
        <v>7002543814</v>
      </c>
      <c r="C2019" s="14">
        <v>11</v>
      </c>
      <c r="D2019" s="9" t="s">
        <v>752</v>
      </c>
    </row>
    <row r="2020" spans="1:4" ht="12.5">
      <c r="A2020" s="186">
        <v>46164</v>
      </c>
      <c r="B2020" s="14">
        <v>7002543851</v>
      </c>
      <c r="C2020" s="14">
        <v>1</v>
      </c>
      <c r="D2020" s="9" t="s">
        <v>750</v>
      </c>
    </row>
    <row r="2021" spans="1:4" ht="12.5">
      <c r="A2021" s="186">
        <v>46164</v>
      </c>
      <c r="B2021" s="14">
        <v>7002544884</v>
      </c>
      <c r="C2021" s="14">
        <v>3</v>
      </c>
      <c r="D2021" s="9" t="s">
        <v>751</v>
      </c>
    </row>
    <row r="2022" spans="1:4" ht="12.5">
      <c r="A2022" s="186">
        <v>46164</v>
      </c>
      <c r="B2022" s="14">
        <v>7002544979</v>
      </c>
      <c r="C2022" s="14">
        <v>3</v>
      </c>
      <c r="D2022" s="9" t="s">
        <v>751</v>
      </c>
    </row>
    <row r="2023" spans="1:4" ht="12.5">
      <c r="A2023" s="186">
        <v>46164</v>
      </c>
      <c r="B2023" s="14">
        <v>7002545290</v>
      </c>
      <c r="C2023" s="14">
        <v>3</v>
      </c>
      <c r="D2023" s="9" t="s">
        <v>751</v>
      </c>
    </row>
    <row r="2024" spans="1:4" ht="12.5">
      <c r="A2024" s="186">
        <v>46164</v>
      </c>
      <c r="B2024" s="14">
        <v>7002545818</v>
      </c>
      <c r="C2024" s="14">
        <v>1</v>
      </c>
      <c r="D2024" s="9" t="s">
        <v>750</v>
      </c>
    </row>
    <row r="2025" spans="1:4" ht="12.5">
      <c r="A2025" s="186">
        <v>46164</v>
      </c>
      <c r="B2025" s="14">
        <v>7002545839</v>
      </c>
      <c r="C2025" s="14">
        <v>1</v>
      </c>
      <c r="D2025" s="9" t="s">
        <v>750</v>
      </c>
    </row>
    <row r="2026" spans="1:4" ht="12.5">
      <c r="A2026" s="186">
        <v>46164</v>
      </c>
      <c r="B2026" s="14">
        <v>7002546803</v>
      </c>
      <c r="C2026" s="14">
        <v>4</v>
      </c>
      <c r="D2026" s="9" t="s">
        <v>751</v>
      </c>
    </row>
    <row r="2027" spans="1:4" ht="12.5">
      <c r="A2027" s="186">
        <v>46164</v>
      </c>
      <c r="B2027" s="14">
        <v>7002546902</v>
      </c>
      <c r="C2027" s="14">
        <v>14</v>
      </c>
      <c r="D2027" s="9" t="s">
        <v>752</v>
      </c>
    </row>
    <row r="2028" spans="1:4" ht="12.5">
      <c r="A2028" s="186">
        <v>46164</v>
      </c>
      <c r="B2028" s="14">
        <v>7002547129</v>
      </c>
      <c r="C2028" s="14">
        <v>1</v>
      </c>
      <c r="D2028" s="9" t="s">
        <v>750</v>
      </c>
    </row>
    <row r="2029" spans="1:4" ht="12.5">
      <c r="A2029" s="186">
        <v>46164</v>
      </c>
      <c r="B2029" s="14">
        <v>7002547259</v>
      </c>
      <c r="C2029" s="14">
        <v>23</v>
      </c>
      <c r="D2029" s="9" t="s">
        <v>752</v>
      </c>
    </row>
    <row r="2030" spans="1:4" ht="12.5">
      <c r="A2030" s="186">
        <v>46164</v>
      </c>
      <c r="B2030" s="14">
        <v>7002547782</v>
      </c>
      <c r="C2030" s="14">
        <v>31</v>
      </c>
      <c r="D2030" s="9" t="s">
        <v>752</v>
      </c>
    </row>
    <row r="2031" spans="1:4" ht="12.5">
      <c r="A2031" s="186">
        <v>46164</v>
      </c>
      <c r="B2031" s="14">
        <v>7002547815</v>
      </c>
      <c r="C2031" s="14">
        <v>5</v>
      </c>
      <c r="D2031" s="9" t="s">
        <v>751</v>
      </c>
    </row>
    <row r="2032" spans="1:4" ht="12.5">
      <c r="A2032" s="186">
        <v>46164</v>
      </c>
      <c r="B2032" s="14">
        <v>7002548013</v>
      </c>
      <c r="C2032" s="14">
        <v>3</v>
      </c>
      <c r="D2032" s="9" t="s">
        <v>751</v>
      </c>
    </row>
    <row r="2033" spans="1:4" ht="12.5">
      <c r="A2033" s="186">
        <v>46164</v>
      </c>
      <c r="B2033" s="14">
        <v>7002548783</v>
      </c>
      <c r="C2033" s="14">
        <v>3</v>
      </c>
      <c r="D2033" s="9" t="s">
        <v>751</v>
      </c>
    </row>
    <row r="2034" spans="1:4" ht="12.5">
      <c r="A2034" s="186">
        <v>46164</v>
      </c>
      <c r="B2034" s="14">
        <v>7002548816</v>
      </c>
      <c r="C2034" s="14">
        <v>9</v>
      </c>
      <c r="D2034" s="9" t="s">
        <v>758</v>
      </c>
    </row>
    <row r="2035" spans="1:4" ht="12.5">
      <c r="A2035" s="186">
        <v>46164</v>
      </c>
      <c r="B2035" s="14">
        <v>7002548828</v>
      </c>
      <c r="C2035" s="14">
        <v>4</v>
      </c>
      <c r="D2035" s="9" t="s">
        <v>751</v>
      </c>
    </row>
    <row r="2036" spans="1:4" ht="12.5">
      <c r="A2036" s="186">
        <v>46164</v>
      </c>
      <c r="B2036" s="14">
        <v>7002548871</v>
      </c>
      <c r="C2036" s="14">
        <v>1</v>
      </c>
      <c r="D2036" s="9" t="s">
        <v>750</v>
      </c>
    </row>
    <row r="2037" spans="1:4" ht="12.5">
      <c r="A2037" s="186">
        <v>46164</v>
      </c>
      <c r="B2037" s="14">
        <v>7002549308</v>
      </c>
      <c r="C2037" s="14">
        <v>6</v>
      </c>
      <c r="D2037" s="9" t="s">
        <v>758</v>
      </c>
    </row>
    <row r="2038" spans="1:4" ht="12.5">
      <c r="A2038" s="186">
        <v>46164</v>
      </c>
      <c r="B2038" s="14">
        <v>7002549797</v>
      </c>
      <c r="C2038" s="14">
        <v>11</v>
      </c>
      <c r="D2038" s="9" t="s">
        <v>752</v>
      </c>
    </row>
    <row r="2039" spans="1:4" ht="12.5">
      <c r="A2039" s="186">
        <v>46164</v>
      </c>
      <c r="B2039" s="14">
        <v>7002549817</v>
      </c>
      <c r="C2039" s="14">
        <v>2</v>
      </c>
      <c r="D2039" s="9" t="s">
        <v>751</v>
      </c>
    </row>
    <row r="2040" spans="1:4" ht="12.5">
      <c r="A2040" s="186">
        <v>46164</v>
      </c>
      <c r="B2040" s="14">
        <v>7002549855</v>
      </c>
      <c r="C2040" s="14">
        <v>1</v>
      </c>
      <c r="D2040" s="9" t="s">
        <v>750</v>
      </c>
    </row>
    <row r="2041" spans="1:4" ht="12.5">
      <c r="A2041" s="186">
        <v>46164</v>
      </c>
      <c r="B2041" s="14">
        <v>7002549864</v>
      </c>
      <c r="C2041" s="14">
        <v>6</v>
      </c>
      <c r="D2041" s="9" t="s">
        <v>758</v>
      </c>
    </row>
    <row r="2042" spans="1:4" ht="12.5">
      <c r="A2042" s="186">
        <v>46164</v>
      </c>
      <c r="B2042" s="14">
        <v>7002549985</v>
      </c>
      <c r="C2042" s="14">
        <v>67</v>
      </c>
      <c r="D2042" s="9" t="s">
        <v>752</v>
      </c>
    </row>
    <row r="2043" spans="1:4" ht="12.5">
      <c r="A2043" s="186">
        <v>46164</v>
      </c>
      <c r="B2043" s="14">
        <v>7002550581</v>
      </c>
      <c r="C2043" s="14">
        <v>1</v>
      </c>
      <c r="D2043" s="9" t="s">
        <v>750</v>
      </c>
    </row>
    <row r="2044" spans="1:4" ht="12.5">
      <c r="A2044" s="186">
        <v>46164</v>
      </c>
      <c r="B2044" s="14">
        <v>7002551610</v>
      </c>
      <c r="C2044" s="14">
        <v>1</v>
      </c>
      <c r="D2044" s="9" t="s">
        <v>750</v>
      </c>
    </row>
    <row r="2045" spans="1:4" ht="12.5">
      <c r="A2045" s="186">
        <v>46164</v>
      </c>
      <c r="B2045" s="14">
        <v>7002552545</v>
      </c>
      <c r="C2045" s="14">
        <v>2</v>
      </c>
      <c r="D2045" s="9" t="s">
        <v>751</v>
      </c>
    </row>
    <row r="2046" spans="1:4" ht="12.5">
      <c r="A2046" s="186">
        <v>46164</v>
      </c>
      <c r="B2046" s="14">
        <v>7002552614</v>
      </c>
      <c r="C2046" s="14">
        <v>1</v>
      </c>
      <c r="D2046" s="9" t="s">
        <v>750</v>
      </c>
    </row>
    <row r="2047" spans="1:4" ht="12.5">
      <c r="A2047" s="186">
        <v>46164</v>
      </c>
      <c r="B2047" s="14">
        <v>7002555499</v>
      </c>
      <c r="C2047" s="14">
        <v>8</v>
      </c>
      <c r="D2047" s="9" t="s">
        <v>758</v>
      </c>
    </row>
    <row r="2048" spans="1:4" ht="12.5">
      <c r="A2048" s="186">
        <v>46164</v>
      </c>
      <c r="B2048" s="14">
        <v>7002556165</v>
      </c>
      <c r="C2048" s="14">
        <v>1</v>
      </c>
      <c r="D2048" s="9" t="s">
        <v>750</v>
      </c>
    </row>
    <row r="2049" spans="1:4" ht="12.5">
      <c r="A2049" s="186">
        <v>46164</v>
      </c>
      <c r="B2049" s="14">
        <v>7002556516</v>
      </c>
      <c r="C2049" s="14">
        <v>3</v>
      </c>
      <c r="D2049" s="9" t="s">
        <v>751</v>
      </c>
    </row>
    <row r="2050" spans="1:4" ht="12.5">
      <c r="A2050" s="186">
        <v>46164</v>
      </c>
      <c r="B2050" s="14">
        <v>7002556592</v>
      </c>
      <c r="C2050" s="14">
        <v>2</v>
      </c>
      <c r="D2050" s="9" t="s">
        <v>751</v>
      </c>
    </row>
    <row r="2051" spans="1:4" ht="12.5">
      <c r="A2051" s="186">
        <v>46164</v>
      </c>
      <c r="B2051" s="14">
        <v>7002557251</v>
      </c>
      <c r="C2051" s="14">
        <v>2</v>
      </c>
      <c r="D2051" s="9" t="s">
        <v>751</v>
      </c>
    </row>
    <row r="2052" spans="1:4" ht="12.5">
      <c r="A2052" s="186">
        <v>46164</v>
      </c>
      <c r="B2052" s="14">
        <v>7002557555</v>
      </c>
      <c r="C2052" s="14">
        <v>4</v>
      </c>
      <c r="D2052" s="9" t="s">
        <v>751</v>
      </c>
    </row>
    <row r="2053" spans="1:4" ht="12.5">
      <c r="A2053" s="186">
        <v>46164</v>
      </c>
      <c r="B2053" s="14">
        <v>7002558268</v>
      </c>
      <c r="C2053" s="14">
        <v>4</v>
      </c>
      <c r="D2053" s="9" t="s">
        <v>751</v>
      </c>
    </row>
    <row r="2054" spans="1:4" ht="12.5">
      <c r="A2054" s="186">
        <v>46164</v>
      </c>
      <c r="B2054" s="14">
        <v>7002558556</v>
      </c>
      <c r="C2054" s="14">
        <v>10</v>
      </c>
      <c r="D2054" s="9" t="s">
        <v>758</v>
      </c>
    </row>
    <row r="2055" spans="1:4" ht="12.5">
      <c r="A2055" s="186">
        <v>46164</v>
      </c>
      <c r="B2055" s="14">
        <v>7002558601</v>
      </c>
      <c r="C2055" s="14">
        <v>3</v>
      </c>
      <c r="D2055" s="9" t="s">
        <v>751</v>
      </c>
    </row>
    <row r="2056" spans="1:4" ht="12.5">
      <c r="A2056" s="186">
        <v>46164</v>
      </c>
      <c r="B2056" s="14">
        <v>7002559027</v>
      </c>
      <c r="C2056" s="14">
        <v>6</v>
      </c>
      <c r="D2056" s="9" t="s">
        <v>758</v>
      </c>
    </row>
    <row r="2057" spans="1:4" ht="12.5">
      <c r="A2057" s="186">
        <v>46164</v>
      </c>
      <c r="B2057" s="14">
        <v>7002559557</v>
      </c>
      <c r="C2057" s="14">
        <v>2</v>
      </c>
      <c r="D2057" s="9" t="s">
        <v>751</v>
      </c>
    </row>
    <row r="2058" spans="1:4" ht="12.5">
      <c r="A2058" s="191"/>
      <c r="B2058" s="194"/>
      <c r="C2058" s="194"/>
      <c r="D2058" s="136"/>
    </row>
    <row r="2059" spans="1:4" ht="12.5">
      <c r="A2059" s="186">
        <v>46165</v>
      </c>
      <c r="B2059" s="184">
        <v>7001204815</v>
      </c>
      <c r="C2059" s="184">
        <v>1</v>
      </c>
      <c r="D2059" s="9" t="s">
        <v>750</v>
      </c>
    </row>
    <row r="2060" spans="1:4" ht="12.5">
      <c r="A2060" s="186">
        <v>46165</v>
      </c>
      <c r="B2060" s="184">
        <v>7002393870</v>
      </c>
      <c r="C2060" s="184">
        <v>1</v>
      </c>
      <c r="D2060" s="9" t="s">
        <v>750</v>
      </c>
    </row>
    <row r="2061" spans="1:4" ht="12.5">
      <c r="A2061" s="186">
        <v>46165</v>
      </c>
      <c r="B2061" s="184">
        <v>7002398586</v>
      </c>
      <c r="C2061" s="184">
        <v>150</v>
      </c>
      <c r="D2061" s="9" t="s">
        <v>752</v>
      </c>
    </row>
    <row r="2062" spans="1:4" ht="12.5">
      <c r="A2062" s="186">
        <v>46165</v>
      </c>
      <c r="B2062" s="184">
        <v>7002405321</v>
      </c>
      <c r="C2062" s="184">
        <v>123</v>
      </c>
      <c r="D2062" s="9" t="s">
        <v>752</v>
      </c>
    </row>
    <row r="2063" spans="1:4" ht="12.5">
      <c r="A2063" s="186">
        <v>46165</v>
      </c>
      <c r="B2063" s="184">
        <v>7002407323</v>
      </c>
      <c r="C2063" s="184">
        <v>46</v>
      </c>
      <c r="D2063" s="9" t="s">
        <v>752</v>
      </c>
    </row>
    <row r="2064" spans="1:4" ht="12.5">
      <c r="A2064" s="186">
        <v>46165</v>
      </c>
      <c r="B2064" s="184">
        <v>7002421833</v>
      </c>
      <c r="C2064" s="184">
        <v>17</v>
      </c>
      <c r="D2064" s="9" t="s">
        <v>752</v>
      </c>
    </row>
    <row r="2065" spans="1:4" ht="12.5">
      <c r="A2065" s="186">
        <v>46165</v>
      </c>
      <c r="B2065" s="184">
        <v>7002424539</v>
      </c>
      <c r="C2065" s="184">
        <v>89</v>
      </c>
      <c r="D2065" s="9" t="s">
        <v>752</v>
      </c>
    </row>
    <row r="2066" spans="1:4" ht="12.5">
      <c r="A2066" s="186">
        <v>46165</v>
      </c>
      <c r="B2066" s="184">
        <v>7002438810</v>
      </c>
      <c r="C2066" s="184">
        <v>3</v>
      </c>
      <c r="D2066" s="9" t="s">
        <v>751</v>
      </c>
    </row>
    <row r="2067" spans="1:4" ht="12.5">
      <c r="A2067" s="186">
        <v>46165</v>
      </c>
      <c r="B2067" s="184">
        <v>7002445017</v>
      </c>
      <c r="C2067" s="184">
        <v>50</v>
      </c>
      <c r="D2067" s="9" t="s">
        <v>752</v>
      </c>
    </row>
    <row r="2068" spans="1:4" ht="12.5">
      <c r="A2068" s="186">
        <v>46165</v>
      </c>
      <c r="B2068" s="184">
        <v>7002486232</v>
      </c>
      <c r="C2068" s="184">
        <v>16</v>
      </c>
      <c r="D2068" s="9" t="s">
        <v>752</v>
      </c>
    </row>
    <row r="2069" spans="1:4" ht="12.5">
      <c r="A2069" s="186">
        <v>46165</v>
      </c>
      <c r="B2069" s="184">
        <v>7002516766</v>
      </c>
      <c r="C2069" s="184">
        <v>29</v>
      </c>
      <c r="D2069" s="9" t="s">
        <v>752</v>
      </c>
    </row>
    <row r="2070" spans="1:4" ht="12.5">
      <c r="A2070" s="186">
        <v>46165</v>
      </c>
      <c r="B2070" s="184">
        <v>7002530145</v>
      </c>
      <c r="C2070" s="184">
        <v>4</v>
      </c>
      <c r="D2070" s="9" t="s">
        <v>751</v>
      </c>
    </row>
    <row r="2071" spans="1:4" ht="12.5">
      <c r="A2071" s="186">
        <v>46165</v>
      </c>
      <c r="B2071" s="184">
        <v>7002530644</v>
      </c>
      <c r="C2071" s="184">
        <v>1</v>
      </c>
      <c r="D2071" s="9" t="s">
        <v>750</v>
      </c>
    </row>
    <row r="2072" spans="1:4" ht="12.5">
      <c r="A2072" s="186">
        <v>46165</v>
      </c>
      <c r="B2072" s="184">
        <v>7002530953</v>
      </c>
      <c r="C2072" s="184">
        <v>2</v>
      </c>
      <c r="D2072" s="9" t="s">
        <v>751</v>
      </c>
    </row>
    <row r="2073" spans="1:4" ht="12.5">
      <c r="A2073" s="186">
        <v>46165</v>
      </c>
      <c r="B2073" s="184">
        <v>7002531670</v>
      </c>
      <c r="C2073" s="184">
        <v>16</v>
      </c>
      <c r="D2073" s="9" t="s">
        <v>752</v>
      </c>
    </row>
    <row r="2074" spans="1:4" ht="12.5">
      <c r="A2074" s="186">
        <v>46165</v>
      </c>
      <c r="B2074" s="184">
        <v>7002531718</v>
      </c>
      <c r="C2074" s="184">
        <v>3</v>
      </c>
      <c r="D2074" s="9" t="s">
        <v>751</v>
      </c>
    </row>
    <row r="2075" spans="1:4" ht="12.5">
      <c r="A2075" s="186">
        <v>46165</v>
      </c>
      <c r="B2075" s="184">
        <v>7002533660</v>
      </c>
      <c r="C2075" s="184">
        <v>57</v>
      </c>
      <c r="D2075" s="9" t="s">
        <v>752</v>
      </c>
    </row>
    <row r="2076" spans="1:4" ht="12.5">
      <c r="A2076" s="186">
        <v>46165</v>
      </c>
      <c r="B2076" s="184">
        <v>7002534965</v>
      </c>
      <c r="C2076" s="184">
        <v>1</v>
      </c>
      <c r="D2076" s="9" t="s">
        <v>750</v>
      </c>
    </row>
    <row r="2077" spans="1:4" ht="12.5">
      <c r="A2077" s="186">
        <v>46165</v>
      </c>
      <c r="B2077" s="184">
        <v>7002536675</v>
      </c>
      <c r="C2077" s="184">
        <v>8</v>
      </c>
      <c r="D2077" s="9" t="s">
        <v>758</v>
      </c>
    </row>
    <row r="2078" spans="1:4" ht="12.5">
      <c r="A2078" s="186">
        <v>46165</v>
      </c>
      <c r="B2078" s="184">
        <v>7002538345</v>
      </c>
      <c r="C2078" s="184">
        <v>1</v>
      </c>
      <c r="D2078" s="9" t="s">
        <v>750</v>
      </c>
    </row>
    <row r="2079" spans="1:4" ht="12.5">
      <c r="A2079" s="186">
        <v>46165</v>
      </c>
      <c r="B2079" s="184">
        <v>7002539747</v>
      </c>
      <c r="C2079" s="184">
        <v>4</v>
      </c>
      <c r="D2079" s="9" t="s">
        <v>751</v>
      </c>
    </row>
    <row r="2080" spans="1:4" ht="12.5">
      <c r="A2080" s="186">
        <v>46165</v>
      </c>
      <c r="B2080" s="184">
        <v>7002540355</v>
      </c>
      <c r="C2080" s="184">
        <v>1</v>
      </c>
      <c r="D2080" s="9" t="s">
        <v>750</v>
      </c>
    </row>
    <row r="2081" spans="1:4" ht="12.5">
      <c r="A2081" s="186">
        <v>46165</v>
      </c>
      <c r="B2081" s="184">
        <v>7002541268</v>
      </c>
      <c r="C2081" s="184">
        <v>1</v>
      </c>
      <c r="D2081" s="9" t="s">
        <v>750</v>
      </c>
    </row>
    <row r="2082" spans="1:4" ht="12.5">
      <c r="A2082" s="186">
        <v>46165</v>
      </c>
      <c r="B2082" s="184">
        <v>7002542875</v>
      </c>
      <c r="C2082" s="184">
        <v>48</v>
      </c>
      <c r="D2082" s="9" t="s">
        <v>752</v>
      </c>
    </row>
    <row r="2083" spans="1:4" ht="12.5">
      <c r="A2083" s="186">
        <v>46165</v>
      </c>
      <c r="B2083" s="184">
        <v>7002544809</v>
      </c>
      <c r="C2083" s="184">
        <v>4</v>
      </c>
      <c r="D2083" s="9" t="s">
        <v>751</v>
      </c>
    </row>
    <row r="2084" spans="1:4" ht="12.5">
      <c r="A2084" s="186">
        <v>46165</v>
      </c>
      <c r="B2084" s="184">
        <v>7002545887</v>
      </c>
      <c r="C2084" s="184">
        <v>8</v>
      </c>
      <c r="D2084" s="9" t="s">
        <v>758</v>
      </c>
    </row>
    <row r="2085" spans="1:4" ht="12.5">
      <c r="A2085" s="186">
        <v>46165</v>
      </c>
      <c r="B2085" s="184">
        <v>7002546939</v>
      </c>
      <c r="C2085" s="184">
        <v>2</v>
      </c>
      <c r="D2085" s="9" t="s">
        <v>751</v>
      </c>
    </row>
    <row r="2086" spans="1:4" ht="12.5">
      <c r="A2086" s="186">
        <v>46165</v>
      </c>
      <c r="B2086" s="184">
        <v>7002547836</v>
      </c>
      <c r="C2086" s="184">
        <v>6</v>
      </c>
      <c r="D2086" s="9" t="s">
        <v>758</v>
      </c>
    </row>
    <row r="2087" spans="1:4" ht="12.5">
      <c r="A2087" s="186">
        <v>46165</v>
      </c>
      <c r="B2087" s="184">
        <v>7002548796</v>
      </c>
      <c r="C2087" s="184">
        <v>2</v>
      </c>
      <c r="D2087" s="9" t="s">
        <v>751</v>
      </c>
    </row>
    <row r="2088" spans="1:4" ht="12.5">
      <c r="A2088" s="186">
        <v>46165</v>
      </c>
      <c r="B2088" s="184">
        <v>7002550797</v>
      </c>
      <c r="C2088" s="184">
        <v>8</v>
      </c>
      <c r="D2088" s="9" t="s">
        <v>758</v>
      </c>
    </row>
    <row r="2089" spans="1:4" ht="12.5">
      <c r="A2089" s="186">
        <v>46165</v>
      </c>
      <c r="B2089" s="184">
        <v>7002550872</v>
      </c>
      <c r="C2089" s="184">
        <v>16</v>
      </c>
      <c r="D2089" s="9" t="s">
        <v>752</v>
      </c>
    </row>
    <row r="2090" spans="1:4" ht="12.5">
      <c r="A2090" s="186">
        <v>46165</v>
      </c>
      <c r="B2090" s="184">
        <v>7002551828</v>
      </c>
      <c r="C2090" s="184">
        <v>4</v>
      </c>
      <c r="D2090" s="9" t="s">
        <v>751</v>
      </c>
    </row>
    <row r="2091" spans="1:4" ht="12.5">
      <c r="A2091" s="186">
        <v>46165</v>
      </c>
      <c r="B2091" s="184">
        <v>7002552748</v>
      </c>
      <c r="C2091" s="184">
        <v>48</v>
      </c>
      <c r="D2091" s="9" t="s">
        <v>752</v>
      </c>
    </row>
    <row r="2092" spans="1:4" ht="12.5">
      <c r="A2092" s="186">
        <v>46165</v>
      </c>
      <c r="B2092" s="184">
        <v>7002552862</v>
      </c>
      <c r="C2092" s="184">
        <v>22</v>
      </c>
      <c r="D2092" s="9" t="s">
        <v>752</v>
      </c>
    </row>
    <row r="2093" spans="1:4" ht="12.5">
      <c r="A2093" s="186">
        <v>46165</v>
      </c>
      <c r="B2093" s="184">
        <v>7002553204</v>
      </c>
      <c r="C2093" s="184">
        <v>3</v>
      </c>
      <c r="D2093" s="9" t="s">
        <v>751</v>
      </c>
    </row>
    <row r="2094" spans="1:4" ht="12.5">
      <c r="A2094" s="186">
        <v>46165</v>
      </c>
      <c r="B2094" s="184">
        <v>7002553351</v>
      </c>
      <c r="C2094" s="184">
        <v>1</v>
      </c>
      <c r="D2094" s="9" t="s">
        <v>750</v>
      </c>
    </row>
    <row r="2095" spans="1:4" ht="12.5">
      <c r="A2095" s="186">
        <v>46165</v>
      </c>
      <c r="B2095" s="184">
        <v>7002554189</v>
      </c>
      <c r="C2095" s="184">
        <v>8</v>
      </c>
      <c r="D2095" s="9" t="s">
        <v>758</v>
      </c>
    </row>
    <row r="2096" spans="1:4" ht="12.5">
      <c r="A2096" s="186">
        <v>46165</v>
      </c>
      <c r="B2096" s="184">
        <v>7002554839</v>
      </c>
      <c r="C2096" s="184">
        <v>1</v>
      </c>
      <c r="D2096" s="9" t="s">
        <v>750</v>
      </c>
    </row>
    <row r="2097" spans="1:4" ht="12.5">
      <c r="A2097" s="186">
        <v>46165</v>
      </c>
      <c r="B2097" s="184">
        <v>7002554841</v>
      </c>
      <c r="C2097" s="184">
        <v>8</v>
      </c>
      <c r="D2097" s="9" t="s">
        <v>758</v>
      </c>
    </row>
    <row r="2098" spans="1:4" ht="12.5">
      <c r="A2098" s="186">
        <v>46165</v>
      </c>
      <c r="B2098" s="184">
        <v>7002554901</v>
      </c>
      <c r="C2098" s="184">
        <v>1</v>
      </c>
      <c r="D2098" s="9" t="s">
        <v>750</v>
      </c>
    </row>
    <row r="2099" spans="1:4" ht="12.5">
      <c r="A2099" s="186">
        <v>46165</v>
      </c>
      <c r="B2099" s="184">
        <v>7002555764</v>
      </c>
      <c r="C2099" s="184">
        <v>5</v>
      </c>
      <c r="D2099" s="9" t="s">
        <v>751</v>
      </c>
    </row>
    <row r="2100" spans="1:4" ht="12.5">
      <c r="A2100" s="186">
        <v>46165</v>
      </c>
      <c r="B2100" s="184">
        <v>7002555850</v>
      </c>
      <c r="C2100" s="184">
        <v>1</v>
      </c>
      <c r="D2100" s="9" t="s">
        <v>750</v>
      </c>
    </row>
    <row r="2101" spans="1:4" ht="12.5">
      <c r="A2101" s="186">
        <v>46165</v>
      </c>
      <c r="B2101" s="184">
        <v>7002555979</v>
      </c>
      <c r="C2101" s="184">
        <v>23</v>
      </c>
      <c r="D2101" s="9" t="s">
        <v>752</v>
      </c>
    </row>
    <row r="2102" spans="1:4" ht="12.5">
      <c r="A2102" s="186">
        <v>46165</v>
      </c>
      <c r="B2102" s="184">
        <v>7002555980</v>
      </c>
      <c r="C2102" s="184">
        <v>2</v>
      </c>
      <c r="D2102" s="9" t="s">
        <v>751</v>
      </c>
    </row>
    <row r="2103" spans="1:4" ht="12.5">
      <c r="A2103" s="186">
        <v>46165</v>
      </c>
      <c r="B2103" s="184">
        <v>7002556760</v>
      </c>
      <c r="C2103" s="184">
        <v>16</v>
      </c>
      <c r="D2103" s="9" t="s">
        <v>752</v>
      </c>
    </row>
    <row r="2104" spans="1:4" ht="12.5">
      <c r="A2104" s="186">
        <v>46165</v>
      </c>
      <c r="B2104" s="184">
        <v>7002556814</v>
      </c>
      <c r="C2104" s="184">
        <v>8</v>
      </c>
      <c r="D2104" s="9" t="s">
        <v>758</v>
      </c>
    </row>
    <row r="2105" spans="1:4" ht="12.5">
      <c r="A2105" s="186">
        <v>46165</v>
      </c>
      <c r="B2105" s="184">
        <v>7002556833</v>
      </c>
      <c r="C2105" s="184">
        <v>7</v>
      </c>
      <c r="D2105" s="9" t="s">
        <v>758</v>
      </c>
    </row>
    <row r="2106" spans="1:4" ht="12.5">
      <c r="A2106" s="186">
        <v>46165</v>
      </c>
      <c r="B2106" s="184">
        <v>7002556880</v>
      </c>
      <c r="C2106" s="184">
        <v>42</v>
      </c>
      <c r="D2106" s="9" t="s">
        <v>752</v>
      </c>
    </row>
    <row r="2107" spans="1:4" ht="12.5">
      <c r="A2107" s="186">
        <v>46165</v>
      </c>
      <c r="B2107" s="184">
        <v>7002556910</v>
      </c>
      <c r="C2107" s="184">
        <v>1</v>
      </c>
      <c r="D2107" s="9" t="s">
        <v>750</v>
      </c>
    </row>
    <row r="2108" spans="1:4" ht="12.5">
      <c r="A2108" s="186">
        <v>46165</v>
      </c>
      <c r="B2108" s="184">
        <v>7002557663</v>
      </c>
      <c r="C2108" s="184">
        <v>1</v>
      </c>
      <c r="D2108" s="9" t="s">
        <v>750</v>
      </c>
    </row>
    <row r="2109" spans="1:4" ht="12.5">
      <c r="A2109" s="186">
        <v>46165</v>
      </c>
      <c r="B2109" s="184">
        <v>7002557774</v>
      </c>
      <c r="C2109" s="184">
        <v>6</v>
      </c>
      <c r="D2109" s="9" t="s">
        <v>758</v>
      </c>
    </row>
    <row r="2110" spans="1:4" ht="12.5">
      <c r="A2110" s="186">
        <v>46165</v>
      </c>
      <c r="B2110" s="184">
        <v>7002557806</v>
      </c>
      <c r="C2110" s="184">
        <v>5</v>
      </c>
      <c r="D2110" s="9" t="s">
        <v>751</v>
      </c>
    </row>
    <row r="2111" spans="1:4" ht="12.5">
      <c r="A2111" s="186">
        <v>46165</v>
      </c>
      <c r="B2111" s="184">
        <v>7002557810</v>
      </c>
      <c r="C2111" s="184">
        <v>1</v>
      </c>
      <c r="D2111" s="9" t="s">
        <v>750</v>
      </c>
    </row>
    <row r="2112" spans="1:4" ht="12.5">
      <c r="A2112" s="186">
        <v>46165</v>
      </c>
      <c r="B2112" s="184">
        <v>7002557899</v>
      </c>
      <c r="C2112" s="184">
        <v>50</v>
      </c>
      <c r="D2112" s="9" t="s">
        <v>752</v>
      </c>
    </row>
    <row r="2113" spans="1:4" ht="12.5">
      <c r="A2113" s="186">
        <v>46165</v>
      </c>
      <c r="B2113" s="184">
        <v>7002558736</v>
      </c>
      <c r="C2113" s="184">
        <v>4</v>
      </c>
      <c r="D2113" s="9" t="s">
        <v>751</v>
      </c>
    </row>
    <row r="2114" spans="1:4" ht="12.5">
      <c r="A2114" s="186">
        <v>46165</v>
      </c>
      <c r="B2114" s="184">
        <v>7002558770</v>
      </c>
      <c r="C2114" s="184">
        <v>1</v>
      </c>
      <c r="D2114" s="9" t="s">
        <v>750</v>
      </c>
    </row>
    <row r="2115" spans="1:4" ht="12.5">
      <c r="A2115" s="186">
        <v>46165</v>
      </c>
      <c r="B2115" s="184">
        <v>7002558807</v>
      </c>
      <c r="C2115" s="184">
        <v>24</v>
      </c>
      <c r="D2115" s="9" t="s">
        <v>752</v>
      </c>
    </row>
    <row r="2116" spans="1:4" ht="12.5">
      <c r="A2116" s="186">
        <v>46165</v>
      </c>
      <c r="B2116" s="184">
        <v>7002558824</v>
      </c>
      <c r="C2116" s="184">
        <v>5</v>
      </c>
      <c r="D2116" s="9" t="s">
        <v>751</v>
      </c>
    </row>
    <row r="2117" spans="1:4" ht="12.5">
      <c r="A2117" s="186">
        <v>46165</v>
      </c>
      <c r="B2117" s="184">
        <v>7002559737</v>
      </c>
      <c r="C2117" s="184">
        <v>2</v>
      </c>
      <c r="D2117" s="9" t="s">
        <v>751</v>
      </c>
    </row>
    <row r="2118" spans="1:4" ht="12.5">
      <c r="A2118" s="186">
        <v>46165</v>
      </c>
      <c r="B2118" s="184">
        <v>7002559759</v>
      </c>
      <c r="C2118" s="184">
        <v>6</v>
      </c>
      <c r="D2118" s="9" t="s">
        <v>758</v>
      </c>
    </row>
    <row r="2119" spans="1:4" ht="12.5">
      <c r="A2119" s="186">
        <v>46165</v>
      </c>
      <c r="B2119" s="184">
        <v>7002559763</v>
      </c>
      <c r="C2119" s="184">
        <v>4</v>
      </c>
      <c r="D2119" s="9" t="s">
        <v>751</v>
      </c>
    </row>
    <row r="2120" spans="1:4" ht="12.5">
      <c r="A2120" s="186">
        <v>46165</v>
      </c>
      <c r="B2120" s="184">
        <v>7002559771</v>
      </c>
      <c r="C2120" s="184">
        <v>12</v>
      </c>
      <c r="D2120" s="9" t="s">
        <v>752</v>
      </c>
    </row>
    <row r="2121" spans="1:4" ht="12.5">
      <c r="A2121" s="186">
        <v>46165</v>
      </c>
      <c r="B2121" s="184">
        <v>7002559785</v>
      </c>
      <c r="C2121" s="184">
        <v>6</v>
      </c>
      <c r="D2121" s="9" t="s">
        <v>758</v>
      </c>
    </row>
    <row r="2122" spans="1:4" ht="12.5">
      <c r="A2122" s="186">
        <v>46165</v>
      </c>
      <c r="B2122" s="184">
        <v>7002559812</v>
      </c>
      <c r="C2122" s="184">
        <v>2</v>
      </c>
      <c r="D2122" s="9" t="s">
        <v>751</v>
      </c>
    </row>
    <row r="2123" spans="1:4" ht="12.5">
      <c r="A2123" s="186">
        <v>46165</v>
      </c>
      <c r="B2123" s="184">
        <v>7002559883</v>
      </c>
      <c r="C2123" s="184">
        <v>495</v>
      </c>
      <c r="D2123" s="9" t="s">
        <v>752</v>
      </c>
    </row>
    <row r="2124" spans="1:4" ht="12.5">
      <c r="A2124" s="186">
        <v>46165</v>
      </c>
      <c r="B2124" s="184">
        <v>7002561199</v>
      </c>
      <c r="C2124" s="184">
        <v>3</v>
      </c>
      <c r="D2124" s="9" t="s">
        <v>751</v>
      </c>
    </row>
    <row r="2125" spans="1:4" ht="12.5">
      <c r="A2125" s="186">
        <v>46165</v>
      </c>
      <c r="B2125" s="184">
        <v>7002561728</v>
      </c>
      <c r="C2125" s="184">
        <v>3</v>
      </c>
      <c r="D2125" s="9" t="s">
        <v>751</v>
      </c>
    </row>
    <row r="2126" spans="1:4" ht="12.5">
      <c r="A2126" s="186">
        <v>46165</v>
      </c>
      <c r="B2126" s="184">
        <v>7002562363</v>
      </c>
      <c r="C2126" s="184">
        <v>2</v>
      </c>
      <c r="D2126" s="9" t="s">
        <v>751</v>
      </c>
    </row>
    <row r="2127" spans="1:4" ht="12.5">
      <c r="A2127" s="186">
        <v>46165</v>
      </c>
      <c r="B2127" s="184">
        <v>7002563336</v>
      </c>
      <c r="C2127" s="184">
        <v>2</v>
      </c>
      <c r="D2127" s="9" t="s">
        <v>751</v>
      </c>
    </row>
    <row r="2128" spans="1:4" ht="12.5">
      <c r="A2128" s="186">
        <v>46165</v>
      </c>
      <c r="B2128" s="184">
        <v>7002563389</v>
      </c>
      <c r="C2128" s="184">
        <v>1</v>
      </c>
      <c r="D2128" s="9" t="s">
        <v>750</v>
      </c>
    </row>
    <row r="2129" spans="1:4" ht="12.5">
      <c r="A2129" s="186">
        <v>46165</v>
      </c>
      <c r="B2129" s="184">
        <v>7002563454</v>
      </c>
      <c r="C2129" s="184">
        <v>2</v>
      </c>
      <c r="D2129" s="9" t="s">
        <v>751</v>
      </c>
    </row>
    <row r="2130" spans="1:4" ht="12.5">
      <c r="A2130" s="186">
        <v>46165</v>
      </c>
      <c r="B2130" s="184">
        <v>7002563538</v>
      </c>
      <c r="C2130" s="184">
        <v>2</v>
      </c>
      <c r="D2130" s="9" t="s">
        <v>751</v>
      </c>
    </row>
    <row r="2131" spans="1:4" ht="12.5">
      <c r="A2131" s="186">
        <v>46165</v>
      </c>
      <c r="B2131" s="184">
        <v>7002564361</v>
      </c>
      <c r="C2131" s="184">
        <v>2</v>
      </c>
      <c r="D2131" s="9" t="s">
        <v>751</v>
      </c>
    </row>
    <row r="2132" spans="1:4" ht="12.5">
      <c r="A2132" s="186">
        <v>46165</v>
      </c>
      <c r="B2132" s="184">
        <v>7002565046</v>
      </c>
      <c r="C2132" s="184">
        <v>3</v>
      </c>
      <c r="D2132" s="9" t="s">
        <v>751</v>
      </c>
    </row>
    <row r="2133" spans="1:4" ht="12.5">
      <c r="A2133" s="186">
        <v>46165</v>
      </c>
      <c r="B2133" s="184">
        <v>7002565630</v>
      </c>
      <c r="C2133" s="184">
        <v>1</v>
      </c>
      <c r="D2133" s="9" t="s">
        <v>750</v>
      </c>
    </row>
    <row r="2134" spans="1:4" ht="12.5">
      <c r="A2134" s="186">
        <v>46165</v>
      </c>
      <c r="B2134" s="184">
        <v>7002566261</v>
      </c>
      <c r="C2134" s="184">
        <v>15</v>
      </c>
      <c r="D2134" s="9" t="s">
        <v>752</v>
      </c>
    </row>
    <row r="2135" spans="1:4" ht="12.5">
      <c r="A2135" s="186">
        <v>46165</v>
      </c>
      <c r="B2135" s="184">
        <v>7002566696</v>
      </c>
      <c r="C2135" s="184">
        <v>9</v>
      </c>
      <c r="D2135" s="9" t="s">
        <v>758</v>
      </c>
    </row>
    <row r="2136" spans="1:4" ht="12.5">
      <c r="A2136" s="186">
        <v>46165</v>
      </c>
      <c r="B2136" s="184">
        <v>7002566705</v>
      </c>
      <c r="C2136" s="184">
        <v>13</v>
      </c>
      <c r="D2136" s="9" t="s">
        <v>752</v>
      </c>
    </row>
    <row r="2137" spans="1:4" ht="12.5">
      <c r="A2137" s="186">
        <v>46165</v>
      </c>
      <c r="B2137" s="184">
        <v>7002568012</v>
      </c>
      <c r="C2137" s="184">
        <v>2</v>
      </c>
      <c r="D2137" s="9" t="s">
        <v>751</v>
      </c>
    </row>
    <row r="2138" spans="1:4" ht="12.5">
      <c r="A2138" s="186">
        <v>46165</v>
      </c>
      <c r="B2138" s="184">
        <v>7002568020</v>
      </c>
      <c r="C2138" s="184">
        <v>151</v>
      </c>
      <c r="D2138" s="9" t="s">
        <v>752</v>
      </c>
    </row>
    <row r="2139" spans="1:4" ht="12.5">
      <c r="A2139" s="186">
        <v>46165</v>
      </c>
      <c r="B2139" s="184">
        <v>7002569699</v>
      </c>
      <c r="C2139" s="184">
        <v>3</v>
      </c>
      <c r="D2139" s="9" t="s">
        <v>751</v>
      </c>
    </row>
    <row r="2140" spans="1:4" ht="12.5">
      <c r="A2140" s="186">
        <v>46165</v>
      </c>
      <c r="B2140" s="184">
        <v>7002570096</v>
      </c>
      <c r="C2140" s="184">
        <v>1</v>
      </c>
      <c r="D2140" s="9" t="s">
        <v>750</v>
      </c>
    </row>
    <row r="2141" spans="1:4" ht="12.5">
      <c r="A2141" s="186">
        <v>46165</v>
      </c>
      <c r="B2141" s="184">
        <v>7002570101</v>
      </c>
      <c r="C2141" s="184">
        <v>1</v>
      </c>
      <c r="D2141" s="9" t="s">
        <v>750</v>
      </c>
    </row>
    <row r="2142" spans="1:4" ht="12.5">
      <c r="A2142" s="186">
        <v>46165</v>
      </c>
      <c r="B2142" s="184">
        <v>7002570117</v>
      </c>
      <c r="C2142" s="184">
        <v>2</v>
      </c>
      <c r="D2142" s="9" t="s">
        <v>751</v>
      </c>
    </row>
    <row r="2143" spans="1:4" ht="12.5">
      <c r="A2143" s="186">
        <v>46165</v>
      </c>
      <c r="B2143" s="184">
        <v>7002570155</v>
      </c>
      <c r="C2143" s="184">
        <v>20</v>
      </c>
      <c r="D2143" s="9" t="s">
        <v>752</v>
      </c>
    </row>
    <row r="2144" spans="1:4" ht="12.5">
      <c r="A2144" s="186">
        <v>46165</v>
      </c>
      <c r="B2144" s="184">
        <v>7002570164</v>
      </c>
      <c r="C2144" s="184">
        <v>3</v>
      </c>
      <c r="D2144" s="9" t="s">
        <v>751</v>
      </c>
    </row>
    <row r="2145" spans="1:4" ht="12.5">
      <c r="A2145" s="186">
        <v>46165</v>
      </c>
      <c r="B2145" s="184">
        <v>7002571137</v>
      </c>
      <c r="C2145" s="184">
        <v>2</v>
      </c>
      <c r="D2145" s="9" t="s">
        <v>751</v>
      </c>
    </row>
    <row r="2146" spans="1:4" ht="12.5">
      <c r="A2146" s="186">
        <v>46165</v>
      </c>
      <c r="B2146" s="184">
        <v>7002571159</v>
      </c>
      <c r="C2146" s="184">
        <v>5</v>
      </c>
      <c r="D2146" s="9" t="s">
        <v>751</v>
      </c>
    </row>
    <row r="2147" spans="1:4" ht="12.5">
      <c r="A2147" s="186">
        <v>46165</v>
      </c>
      <c r="B2147" s="184">
        <v>7002571163</v>
      </c>
      <c r="C2147" s="184">
        <v>4</v>
      </c>
      <c r="D2147" s="9" t="s">
        <v>751</v>
      </c>
    </row>
    <row r="2148" spans="1:4" ht="12.5">
      <c r="A2148" s="186">
        <v>46165</v>
      </c>
      <c r="B2148" s="184">
        <v>7002571171</v>
      </c>
      <c r="C2148" s="184">
        <v>41</v>
      </c>
      <c r="D2148" s="9" t="s">
        <v>752</v>
      </c>
    </row>
    <row r="2149" spans="1:4" ht="12.5">
      <c r="A2149" s="186">
        <v>46165</v>
      </c>
      <c r="B2149" s="184">
        <v>7002571429</v>
      </c>
      <c r="C2149" s="184">
        <v>3</v>
      </c>
      <c r="D2149" s="9" t="s">
        <v>751</v>
      </c>
    </row>
    <row r="2150" spans="1:4" ht="12.5">
      <c r="A2150" s="186">
        <v>46165</v>
      </c>
      <c r="B2150" s="184">
        <v>7002571803</v>
      </c>
      <c r="C2150" s="184">
        <v>3</v>
      </c>
      <c r="D2150" s="9" t="s">
        <v>751</v>
      </c>
    </row>
    <row r="2151" spans="1:4" ht="12.5">
      <c r="A2151" s="186">
        <v>46165</v>
      </c>
      <c r="B2151" s="184">
        <v>7002572158</v>
      </c>
      <c r="C2151" s="184">
        <v>3</v>
      </c>
      <c r="D2151" s="9" t="s">
        <v>751</v>
      </c>
    </row>
    <row r="2152" spans="1:4" ht="12.5">
      <c r="A2152" s="186">
        <v>46165</v>
      </c>
      <c r="B2152" s="184">
        <v>7002572219</v>
      </c>
      <c r="C2152" s="184">
        <v>29</v>
      </c>
      <c r="D2152" s="9" t="s">
        <v>752</v>
      </c>
    </row>
    <row r="2153" spans="1:4" ht="12.5">
      <c r="A2153" s="186">
        <v>46165</v>
      </c>
      <c r="B2153" s="184">
        <v>7002572746</v>
      </c>
      <c r="C2153" s="184">
        <v>1</v>
      </c>
      <c r="D2153" s="9" t="s">
        <v>750</v>
      </c>
    </row>
    <row r="2154" spans="1:4" ht="12.5">
      <c r="A2154" s="186">
        <v>46165</v>
      </c>
      <c r="B2154" s="184">
        <v>7002572767</v>
      </c>
      <c r="C2154" s="184">
        <v>2</v>
      </c>
      <c r="D2154" s="9" t="s">
        <v>751</v>
      </c>
    </row>
    <row r="2155" spans="1:4" ht="12.5">
      <c r="A2155" s="186">
        <v>46165</v>
      </c>
      <c r="B2155" s="184">
        <v>7002572798</v>
      </c>
      <c r="C2155" s="184">
        <v>4</v>
      </c>
      <c r="D2155" s="9" t="s">
        <v>751</v>
      </c>
    </row>
    <row r="2156" spans="1:4" ht="12.5">
      <c r="A2156" s="186">
        <v>46165</v>
      </c>
      <c r="B2156" s="184">
        <v>7002573067</v>
      </c>
      <c r="C2156" s="184">
        <v>10</v>
      </c>
      <c r="D2156" s="9" t="s">
        <v>758</v>
      </c>
    </row>
    <row r="2157" spans="1:4" ht="12.5">
      <c r="A2157" s="186">
        <v>46165</v>
      </c>
      <c r="B2157" s="184">
        <v>7002573142</v>
      </c>
      <c r="C2157" s="184">
        <v>4</v>
      </c>
      <c r="D2157" s="9" t="s">
        <v>751</v>
      </c>
    </row>
    <row r="2158" spans="1:4" ht="12.5">
      <c r="A2158" s="186">
        <v>46165</v>
      </c>
      <c r="B2158" s="184">
        <v>7002573157</v>
      </c>
      <c r="C2158" s="184">
        <v>30</v>
      </c>
      <c r="D2158" s="9" t="s">
        <v>752</v>
      </c>
    </row>
    <row r="2159" spans="1:4" ht="12.5">
      <c r="A2159" s="186">
        <v>46165</v>
      </c>
      <c r="B2159" s="184">
        <v>7002573161</v>
      </c>
      <c r="C2159" s="184">
        <v>5</v>
      </c>
      <c r="D2159" s="9" t="s">
        <v>751</v>
      </c>
    </row>
    <row r="2160" spans="1:4" ht="12.5">
      <c r="A2160" s="186">
        <v>46165</v>
      </c>
      <c r="B2160" s="184">
        <v>7002573709</v>
      </c>
      <c r="C2160" s="184">
        <v>2</v>
      </c>
      <c r="D2160" s="9" t="s">
        <v>751</v>
      </c>
    </row>
    <row r="2161" spans="1:4" ht="12.5">
      <c r="A2161" s="186">
        <v>46165</v>
      </c>
      <c r="B2161" s="184">
        <v>7002573745</v>
      </c>
      <c r="C2161" s="184">
        <v>1</v>
      </c>
      <c r="D2161" s="9" t="s">
        <v>750</v>
      </c>
    </row>
    <row r="2162" spans="1:4" ht="12.5">
      <c r="A2162" s="186">
        <v>46165</v>
      </c>
      <c r="B2162" s="184">
        <v>7002573766</v>
      </c>
      <c r="C2162" s="184">
        <v>12</v>
      </c>
      <c r="D2162" s="9" t="s">
        <v>752</v>
      </c>
    </row>
    <row r="2163" spans="1:4" ht="12.5">
      <c r="A2163" s="186">
        <v>46165</v>
      </c>
      <c r="B2163" s="184">
        <v>7002573778</v>
      </c>
      <c r="C2163" s="184">
        <v>21</v>
      </c>
      <c r="D2163" s="9" t="s">
        <v>752</v>
      </c>
    </row>
    <row r="2164" spans="1:4" ht="12.5">
      <c r="A2164" s="186">
        <v>46165</v>
      </c>
      <c r="B2164" s="184">
        <v>7002574118</v>
      </c>
      <c r="C2164" s="184">
        <v>7</v>
      </c>
      <c r="D2164" s="9" t="s">
        <v>758</v>
      </c>
    </row>
    <row r="2165" spans="1:4" ht="12.5">
      <c r="A2165" s="186">
        <v>46165</v>
      </c>
      <c r="B2165" s="184">
        <v>7002574156</v>
      </c>
      <c r="C2165" s="184">
        <v>5</v>
      </c>
      <c r="D2165" s="9" t="s">
        <v>751</v>
      </c>
    </row>
    <row r="2166" spans="1:4" ht="12.5">
      <c r="A2166" s="186">
        <v>46165</v>
      </c>
      <c r="B2166" s="184">
        <v>7002574160</v>
      </c>
      <c r="C2166" s="184">
        <v>5</v>
      </c>
      <c r="D2166" s="9" t="s">
        <v>751</v>
      </c>
    </row>
    <row r="2167" spans="1:4" ht="12.5">
      <c r="A2167" s="186">
        <v>46165</v>
      </c>
      <c r="B2167" s="184">
        <v>7002574708</v>
      </c>
      <c r="C2167" s="184">
        <v>3</v>
      </c>
      <c r="D2167" s="9" t="s">
        <v>751</v>
      </c>
    </row>
    <row r="2168" spans="1:4" ht="12.5">
      <c r="A2168" s="186">
        <v>46165</v>
      </c>
      <c r="B2168" s="184">
        <v>7002574749</v>
      </c>
      <c r="C2168" s="184">
        <v>1</v>
      </c>
      <c r="D2168" s="9" t="s">
        <v>750</v>
      </c>
    </row>
    <row r="2169" spans="1:4" ht="12.5">
      <c r="A2169" s="186">
        <v>46165</v>
      </c>
      <c r="B2169" s="184">
        <v>7002575113</v>
      </c>
      <c r="C2169" s="184">
        <v>1</v>
      </c>
      <c r="D2169" s="9" t="s">
        <v>750</v>
      </c>
    </row>
    <row r="2170" spans="1:4" ht="12.5">
      <c r="A2170" s="186">
        <v>46165</v>
      </c>
      <c r="B2170" s="184">
        <v>7002575205</v>
      </c>
      <c r="C2170" s="184">
        <v>2</v>
      </c>
      <c r="D2170" s="9" t="s">
        <v>751</v>
      </c>
    </row>
    <row r="2171" spans="1:4" ht="12.5">
      <c r="A2171" s="186">
        <v>46165</v>
      </c>
      <c r="B2171" s="184">
        <v>7002575222</v>
      </c>
      <c r="C2171" s="184">
        <v>1</v>
      </c>
      <c r="D2171" s="9" t="s">
        <v>750</v>
      </c>
    </row>
    <row r="2172" spans="1:4" ht="12.5">
      <c r="A2172" s="186">
        <v>46165</v>
      </c>
      <c r="B2172" s="184">
        <v>7002576105</v>
      </c>
      <c r="C2172" s="184">
        <v>50</v>
      </c>
      <c r="D2172" s="9" t="s">
        <v>752</v>
      </c>
    </row>
    <row r="2173" spans="1:4" ht="12.5">
      <c r="A2173" s="186">
        <v>46165</v>
      </c>
      <c r="B2173" s="184">
        <v>7002576432</v>
      </c>
      <c r="C2173" s="184">
        <v>3</v>
      </c>
      <c r="D2173" s="9" t="s">
        <v>751</v>
      </c>
    </row>
    <row r="2174" spans="1:4" ht="12.5">
      <c r="A2174" s="186">
        <v>46165</v>
      </c>
      <c r="B2174" s="184">
        <v>7002576445</v>
      </c>
      <c r="C2174" s="184">
        <v>23</v>
      </c>
      <c r="D2174" s="9" t="s">
        <v>752</v>
      </c>
    </row>
    <row r="2175" spans="1:4" ht="12.5">
      <c r="A2175" s="186">
        <v>46165</v>
      </c>
      <c r="B2175" s="184">
        <v>7002576556</v>
      </c>
      <c r="C2175" s="184">
        <v>20</v>
      </c>
      <c r="D2175" s="9" t="s">
        <v>752</v>
      </c>
    </row>
    <row r="2176" spans="1:4" ht="12.5">
      <c r="A2176" s="186">
        <v>46165</v>
      </c>
      <c r="B2176" s="184">
        <v>7002577110</v>
      </c>
      <c r="C2176" s="184">
        <v>13</v>
      </c>
      <c r="D2176" s="9" t="s">
        <v>752</v>
      </c>
    </row>
    <row r="2177" spans="1:4" ht="12.5">
      <c r="A2177" s="186">
        <v>46165</v>
      </c>
      <c r="B2177" s="184">
        <v>7002577134</v>
      </c>
      <c r="C2177" s="184">
        <v>50</v>
      </c>
      <c r="D2177" s="9" t="s">
        <v>752</v>
      </c>
    </row>
    <row r="2178" spans="1:4" ht="12.5">
      <c r="A2178" s="186">
        <v>46165</v>
      </c>
      <c r="B2178" s="184">
        <v>7002577168</v>
      </c>
      <c r="C2178" s="184">
        <v>1</v>
      </c>
      <c r="D2178" s="9" t="s">
        <v>750</v>
      </c>
    </row>
    <row r="2179" spans="1:4" ht="12.5">
      <c r="A2179" s="186">
        <v>46165</v>
      </c>
      <c r="B2179" s="184">
        <v>7002577301</v>
      </c>
      <c r="C2179" s="184">
        <v>7</v>
      </c>
      <c r="D2179" s="9" t="s">
        <v>758</v>
      </c>
    </row>
    <row r="2180" spans="1:4" ht="12.5">
      <c r="A2180" s="186">
        <v>46165</v>
      </c>
      <c r="B2180" s="184">
        <v>7002577317</v>
      </c>
      <c r="C2180" s="184">
        <v>6</v>
      </c>
      <c r="D2180" s="9" t="s">
        <v>758</v>
      </c>
    </row>
    <row r="2181" spans="1:4" ht="12.5">
      <c r="A2181" s="186">
        <v>46165</v>
      </c>
      <c r="B2181" s="184">
        <v>7002577921</v>
      </c>
      <c r="C2181" s="184">
        <v>17</v>
      </c>
      <c r="D2181" s="9" t="s">
        <v>752</v>
      </c>
    </row>
    <row r="2182" spans="1:4" ht="12.5">
      <c r="A2182" s="186">
        <v>46165</v>
      </c>
      <c r="B2182" s="184">
        <v>7002578111</v>
      </c>
      <c r="C2182" s="184">
        <v>3</v>
      </c>
      <c r="D2182" s="9" t="s">
        <v>751</v>
      </c>
    </row>
    <row r="2183" spans="1:4" ht="12.5">
      <c r="A2183" s="186">
        <v>46165</v>
      </c>
      <c r="B2183" s="184">
        <v>7002578153</v>
      </c>
      <c r="C2183" s="184">
        <v>3</v>
      </c>
      <c r="D2183" s="9" t="s">
        <v>751</v>
      </c>
    </row>
    <row r="2184" spans="1:4" ht="12.5">
      <c r="A2184" s="186">
        <v>46165</v>
      </c>
      <c r="B2184" s="184">
        <v>7002578339</v>
      </c>
      <c r="C2184" s="184">
        <v>2</v>
      </c>
      <c r="D2184" s="9" t="s">
        <v>751</v>
      </c>
    </row>
    <row r="2185" spans="1:4" ht="12.5">
      <c r="A2185" s="186">
        <v>46165</v>
      </c>
      <c r="B2185" s="184">
        <v>7002578755</v>
      </c>
      <c r="C2185" s="184">
        <v>1</v>
      </c>
      <c r="D2185" s="9" t="s">
        <v>750</v>
      </c>
    </row>
    <row r="2186" spans="1:4" ht="12.5">
      <c r="A2186" s="186">
        <v>46165</v>
      </c>
      <c r="B2186" s="184">
        <v>7002578914</v>
      </c>
      <c r="C2186" s="184">
        <v>5</v>
      </c>
      <c r="D2186" s="9" t="s">
        <v>751</v>
      </c>
    </row>
    <row r="2187" spans="1:4" ht="12.5">
      <c r="A2187" s="186">
        <v>46165</v>
      </c>
      <c r="B2187" s="184">
        <v>7002579131</v>
      </c>
      <c r="C2187" s="184">
        <v>5</v>
      </c>
      <c r="D2187" s="9" t="s">
        <v>751</v>
      </c>
    </row>
    <row r="2188" spans="1:4" ht="12.5">
      <c r="A2188" s="186">
        <v>46165</v>
      </c>
      <c r="B2188" s="184">
        <v>7002579627</v>
      </c>
      <c r="C2188" s="184">
        <v>6</v>
      </c>
      <c r="D2188" s="9" t="s">
        <v>758</v>
      </c>
    </row>
    <row r="2189" spans="1:4" ht="12.5">
      <c r="A2189" s="186">
        <v>46165</v>
      </c>
      <c r="B2189" s="184">
        <v>7002579756</v>
      </c>
      <c r="C2189" s="184">
        <v>1</v>
      </c>
      <c r="D2189" s="9" t="s">
        <v>750</v>
      </c>
    </row>
    <row r="2190" spans="1:4" ht="12.5">
      <c r="A2190" s="186">
        <v>46165</v>
      </c>
      <c r="B2190" s="184">
        <v>7002579805</v>
      </c>
      <c r="C2190" s="184">
        <v>3</v>
      </c>
      <c r="D2190" s="9" t="s">
        <v>751</v>
      </c>
    </row>
    <row r="2191" spans="1:4" ht="12.5">
      <c r="A2191" s="186">
        <v>46165</v>
      </c>
      <c r="B2191" s="184">
        <v>7002581214</v>
      </c>
      <c r="C2191" s="184">
        <v>2</v>
      </c>
      <c r="D2191" s="9" t="s">
        <v>751</v>
      </c>
    </row>
    <row r="2192" spans="1:4" ht="12.5">
      <c r="A2192" s="186">
        <v>46165</v>
      </c>
      <c r="B2192" s="184">
        <v>7002582072</v>
      </c>
      <c r="C2192" s="184">
        <v>2</v>
      </c>
      <c r="D2192" s="9" t="s">
        <v>751</v>
      </c>
    </row>
    <row r="2193" spans="1:4" ht="12.5">
      <c r="A2193" s="186">
        <v>46165</v>
      </c>
      <c r="B2193" s="184">
        <v>7002582250</v>
      </c>
      <c r="C2193" s="184">
        <v>22</v>
      </c>
      <c r="D2193" s="9" t="s">
        <v>752</v>
      </c>
    </row>
    <row r="2194" spans="1:4" ht="12.5">
      <c r="A2194" s="186">
        <v>46165</v>
      </c>
      <c r="B2194" s="184">
        <v>7002584091</v>
      </c>
      <c r="C2194" s="184">
        <v>1</v>
      </c>
      <c r="D2194" s="9" t="s">
        <v>750</v>
      </c>
    </row>
    <row r="2195" spans="1:4" ht="12.5">
      <c r="A2195" s="186">
        <v>46165</v>
      </c>
      <c r="B2195" s="184">
        <v>7002586020</v>
      </c>
      <c r="C2195" s="184">
        <v>1</v>
      </c>
      <c r="D2195" s="9" t="s">
        <v>750</v>
      </c>
    </row>
    <row r="2196" spans="1:4" ht="12.5">
      <c r="A2196" s="186">
        <v>46165</v>
      </c>
      <c r="B2196" s="184">
        <v>7002587240</v>
      </c>
      <c r="C2196" s="184">
        <v>2</v>
      </c>
      <c r="D2196" s="9" t="s">
        <v>751</v>
      </c>
    </row>
    <row r="2197" spans="1:4" ht="12.5">
      <c r="A2197" s="191"/>
      <c r="B2197" s="194"/>
      <c r="C2197" s="194"/>
      <c r="D2197" s="136"/>
    </row>
    <row r="2198" spans="1:4" ht="12.5">
      <c r="A2198" s="186">
        <v>46166</v>
      </c>
      <c r="B2198" s="184">
        <v>7001727096</v>
      </c>
      <c r="C2198" s="184">
        <v>2</v>
      </c>
      <c r="D2198" s="9" t="s">
        <v>751</v>
      </c>
    </row>
    <row r="2199" spans="1:4" ht="12.5">
      <c r="A2199" s="186">
        <v>46166</v>
      </c>
      <c r="B2199" s="184">
        <v>7002394159</v>
      </c>
      <c r="C2199" s="184">
        <v>31</v>
      </c>
      <c r="D2199" s="9" t="s">
        <v>759</v>
      </c>
    </row>
    <row r="2200" spans="1:4" ht="12.5">
      <c r="A2200" s="186">
        <v>46166</v>
      </c>
      <c r="B2200" s="184">
        <v>7002413652</v>
      </c>
      <c r="C2200" s="184">
        <v>22</v>
      </c>
      <c r="D2200" s="9" t="s">
        <v>759</v>
      </c>
    </row>
    <row r="2201" spans="1:4" ht="12.5">
      <c r="A2201" s="186">
        <v>46166</v>
      </c>
      <c r="B2201" s="184">
        <v>7002466151</v>
      </c>
      <c r="C2201" s="184">
        <v>41</v>
      </c>
      <c r="D2201" s="9" t="s">
        <v>759</v>
      </c>
    </row>
    <row r="2202" spans="1:4" ht="12.5">
      <c r="A2202" s="186">
        <v>46166</v>
      </c>
      <c r="B2202" s="184">
        <v>7002521202</v>
      </c>
      <c r="C2202" s="184">
        <v>9</v>
      </c>
      <c r="D2202" s="9" t="s">
        <v>758</v>
      </c>
    </row>
    <row r="2203" spans="1:4" ht="12.5">
      <c r="A2203" s="186">
        <v>46166</v>
      </c>
      <c r="B2203" s="184">
        <v>7002521963</v>
      </c>
      <c r="C2203" s="184">
        <v>1</v>
      </c>
      <c r="D2203" s="9" t="s">
        <v>750</v>
      </c>
    </row>
    <row r="2204" spans="1:4" ht="12.5">
      <c r="A2204" s="186">
        <v>46166</v>
      </c>
      <c r="B2204" s="184">
        <v>7002530358</v>
      </c>
      <c r="C2204" s="184">
        <v>2</v>
      </c>
      <c r="D2204" s="9" t="s">
        <v>751</v>
      </c>
    </row>
    <row r="2205" spans="1:4" ht="12.5">
      <c r="A2205" s="186">
        <v>46166</v>
      </c>
      <c r="B2205" s="184">
        <v>7002531361</v>
      </c>
      <c r="C2205" s="184">
        <v>2</v>
      </c>
      <c r="D2205" s="9" t="s">
        <v>751</v>
      </c>
    </row>
    <row r="2206" spans="1:4" ht="12.5">
      <c r="A2206" s="186">
        <v>46166</v>
      </c>
      <c r="B2206" s="184">
        <v>7002531448</v>
      </c>
      <c r="C2206" s="184">
        <v>2</v>
      </c>
      <c r="D2206" s="9" t="s">
        <v>751</v>
      </c>
    </row>
    <row r="2207" spans="1:4" ht="12.5">
      <c r="A2207" s="186">
        <v>46166</v>
      </c>
      <c r="B2207" s="184">
        <v>7002532107</v>
      </c>
      <c r="C2207" s="184">
        <v>2</v>
      </c>
      <c r="D2207" s="9" t="s">
        <v>751</v>
      </c>
    </row>
    <row r="2208" spans="1:4" ht="12.5">
      <c r="A2208" s="186">
        <v>46166</v>
      </c>
      <c r="B2208" s="184">
        <v>7002532249</v>
      </c>
      <c r="C2208" s="184">
        <v>5</v>
      </c>
      <c r="D2208" s="9" t="s">
        <v>751</v>
      </c>
    </row>
    <row r="2209" spans="1:4" ht="12.5">
      <c r="A2209" s="186">
        <v>46166</v>
      </c>
      <c r="B2209" s="184">
        <v>7002533147</v>
      </c>
      <c r="C2209" s="184">
        <v>2</v>
      </c>
      <c r="D2209" s="9" t="s">
        <v>751</v>
      </c>
    </row>
    <row r="2210" spans="1:4" ht="12.5">
      <c r="A2210" s="186">
        <v>46166</v>
      </c>
      <c r="B2210" s="184">
        <v>7002533355</v>
      </c>
      <c r="C2210" s="184">
        <v>3</v>
      </c>
      <c r="D2210" s="9" t="s">
        <v>751</v>
      </c>
    </row>
    <row r="2211" spans="1:4" ht="12.5">
      <c r="A2211" s="186">
        <v>46166</v>
      </c>
      <c r="B2211" s="184">
        <v>7002533364</v>
      </c>
      <c r="C2211" s="184">
        <v>2</v>
      </c>
      <c r="D2211" s="9" t="s">
        <v>751</v>
      </c>
    </row>
    <row r="2212" spans="1:4" ht="12.5">
      <c r="A2212" s="186">
        <v>46166</v>
      </c>
      <c r="B2212" s="184">
        <v>7002534198</v>
      </c>
      <c r="C2212" s="184">
        <v>1</v>
      </c>
      <c r="D2212" s="9" t="s">
        <v>750</v>
      </c>
    </row>
    <row r="2213" spans="1:4" ht="12.5">
      <c r="A2213" s="186">
        <v>46166</v>
      </c>
      <c r="B2213" s="184">
        <v>7002534223</v>
      </c>
      <c r="C2213" s="184">
        <v>3</v>
      </c>
      <c r="D2213" s="9" t="s">
        <v>751</v>
      </c>
    </row>
    <row r="2214" spans="1:4" ht="12.5">
      <c r="A2214" s="186">
        <v>46166</v>
      </c>
      <c r="B2214" s="184">
        <v>7002535140</v>
      </c>
      <c r="C2214" s="184">
        <v>2</v>
      </c>
      <c r="D2214" s="9" t="s">
        <v>751</v>
      </c>
    </row>
    <row r="2215" spans="1:4" ht="12.5">
      <c r="A2215" s="186">
        <v>46166</v>
      </c>
      <c r="B2215" s="184">
        <v>7002535651</v>
      </c>
      <c r="C2215" s="184">
        <v>3</v>
      </c>
      <c r="D2215" s="9" t="s">
        <v>751</v>
      </c>
    </row>
    <row r="2216" spans="1:4" ht="12.5">
      <c r="A2216" s="186">
        <v>46166</v>
      </c>
      <c r="B2216" s="184">
        <v>7002535680</v>
      </c>
      <c r="C2216" s="184">
        <v>2</v>
      </c>
      <c r="D2216" s="9" t="s">
        <v>751</v>
      </c>
    </row>
    <row r="2217" spans="1:4" ht="12.5">
      <c r="A2217" s="186">
        <v>46166</v>
      </c>
      <c r="B2217" s="184">
        <v>7002536353</v>
      </c>
      <c r="C2217" s="184">
        <v>3</v>
      </c>
      <c r="D2217" s="9" t="s">
        <v>751</v>
      </c>
    </row>
    <row r="2218" spans="1:4" ht="12.5">
      <c r="A2218" s="186">
        <v>46166</v>
      </c>
      <c r="B2218" s="184">
        <v>7002536457</v>
      </c>
      <c r="C2218" s="184">
        <v>2</v>
      </c>
      <c r="D2218" s="9" t="s">
        <v>751</v>
      </c>
    </row>
    <row r="2219" spans="1:4" ht="12.5">
      <c r="A2219" s="186">
        <v>46166</v>
      </c>
      <c r="B2219" s="184">
        <v>7002536708</v>
      </c>
      <c r="C2219" s="184">
        <v>10</v>
      </c>
      <c r="D2219" s="9" t="s">
        <v>758</v>
      </c>
    </row>
    <row r="2220" spans="1:4" ht="12.5">
      <c r="A2220" s="186">
        <v>46166</v>
      </c>
      <c r="B2220" s="184">
        <v>7002537051</v>
      </c>
      <c r="C2220" s="184">
        <v>4</v>
      </c>
      <c r="D2220" s="9" t="s">
        <v>751</v>
      </c>
    </row>
    <row r="2221" spans="1:4" ht="12.5">
      <c r="A2221" s="186">
        <v>46166</v>
      </c>
      <c r="B2221" s="184">
        <v>7002537080</v>
      </c>
      <c r="C2221" s="184">
        <v>5</v>
      </c>
      <c r="D2221" s="9" t="s">
        <v>751</v>
      </c>
    </row>
    <row r="2222" spans="1:4" ht="12.5">
      <c r="A2222" s="186">
        <v>46166</v>
      </c>
      <c r="B2222" s="184">
        <v>7002537669</v>
      </c>
      <c r="C2222" s="184">
        <v>2</v>
      </c>
      <c r="D2222" s="9" t="s">
        <v>751</v>
      </c>
    </row>
    <row r="2223" spans="1:4" ht="12.5">
      <c r="A2223" s="186">
        <v>46166</v>
      </c>
      <c r="B2223" s="184">
        <v>7002537676</v>
      </c>
      <c r="C2223" s="184">
        <v>2</v>
      </c>
      <c r="D2223" s="9" t="s">
        <v>751</v>
      </c>
    </row>
    <row r="2224" spans="1:4" ht="12.5">
      <c r="A2224" s="186">
        <v>46166</v>
      </c>
      <c r="B2224" s="184">
        <v>7002538366</v>
      </c>
      <c r="C2224" s="184">
        <v>3</v>
      </c>
      <c r="D2224" s="9" t="s">
        <v>751</v>
      </c>
    </row>
    <row r="2225" spans="1:4" ht="12.5">
      <c r="A2225" s="186">
        <v>46166</v>
      </c>
      <c r="B2225" s="184">
        <v>7002539243</v>
      </c>
      <c r="C2225" s="184">
        <v>2</v>
      </c>
      <c r="D2225" s="9" t="s">
        <v>751</v>
      </c>
    </row>
    <row r="2226" spans="1:4" ht="12.5">
      <c r="A2226" s="186">
        <v>46166</v>
      </c>
      <c r="B2226" s="184">
        <v>7002539666</v>
      </c>
      <c r="C2226" s="184">
        <v>1</v>
      </c>
      <c r="D2226" s="9" t="s">
        <v>750</v>
      </c>
    </row>
    <row r="2227" spans="1:4" ht="12.5">
      <c r="A2227" s="186">
        <v>46166</v>
      </c>
      <c r="B2227" s="184">
        <v>7002539706</v>
      </c>
      <c r="C2227" s="184">
        <v>1</v>
      </c>
      <c r="D2227" s="9" t="s">
        <v>750</v>
      </c>
    </row>
    <row r="2228" spans="1:4" ht="12.5">
      <c r="A2228" s="186">
        <v>46166</v>
      </c>
      <c r="B2228" s="184">
        <v>7002539723</v>
      </c>
      <c r="C2228" s="184">
        <v>1</v>
      </c>
      <c r="D2228" s="9" t="s">
        <v>750</v>
      </c>
    </row>
    <row r="2229" spans="1:4" ht="12.5">
      <c r="A2229" s="186">
        <v>46166</v>
      </c>
      <c r="B2229" s="184">
        <v>7002543898</v>
      </c>
      <c r="C2229" s="184">
        <v>3</v>
      </c>
      <c r="D2229" s="9" t="s">
        <v>751</v>
      </c>
    </row>
    <row r="2230" spans="1:4" ht="12.5">
      <c r="A2230" s="186">
        <v>46166</v>
      </c>
      <c r="B2230" s="184">
        <v>7002544897</v>
      </c>
      <c r="C2230" s="184">
        <v>3</v>
      </c>
      <c r="D2230" s="9" t="s">
        <v>751</v>
      </c>
    </row>
    <row r="2231" spans="1:4" ht="12.5">
      <c r="A2231" s="186">
        <v>46166</v>
      </c>
      <c r="B2231" s="184">
        <v>7002545901</v>
      </c>
      <c r="C2231" s="184">
        <v>2</v>
      </c>
      <c r="D2231" s="9" t="s">
        <v>751</v>
      </c>
    </row>
    <row r="2232" spans="1:4" ht="12.5">
      <c r="A2232" s="186">
        <v>46166</v>
      </c>
      <c r="B2232" s="184">
        <v>7002546333</v>
      </c>
      <c r="C2232" s="184">
        <v>1</v>
      </c>
      <c r="D2232" s="9" t="s">
        <v>750</v>
      </c>
    </row>
    <row r="2233" spans="1:4" ht="12.5">
      <c r="A2233" s="186">
        <v>46166</v>
      </c>
      <c r="B2233" s="184">
        <v>7002550838</v>
      </c>
      <c r="C2233" s="184">
        <v>4</v>
      </c>
      <c r="D2233" s="9" t="s">
        <v>751</v>
      </c>
    </row>
    <row r="2234" spans="1:4" ht="12.5">
      <c r="A2234" s="186">
        <v>46166</v>
      </c>
      <c r="B2234" s="184">
        <v>7002551647</v>
      </c>
      <c r="C2234" s="184">
        <v>1</v>
      </c>
      <c r="D2234" s="9" t="s">
        <v>750</v>
      </c>
    </row>
    <row r="2235" spans="1:4" ht="12.5">
      <c r="A2235" s="186">
        <v>46166</v>
      </c>
      <c r="B2235" s="184">
        <v>7002552020</v>
      </c>
      <c r="C2235" s="184">
        <v>1</v>
      </c>
      <c r="D2235" s="9" t="s">
        <v>750</v>
      </c>
    </row>
    <row r="2236" spans="1:4" ht="12.5">
      <c r="A2236" s="186">
        <v>46166</v>
      </c>
      <c r="B2236" s="184">
        <v>7002552753</v>
      </c>
      <c r="C2236" s="184">
        <v>4</v>
      </c>
      <c r="D2236" s="9" t="s">
        <v>751</v>
      </c>
    </row>
    <row r="2237" spans="1:4" ht="12.5">
      <c r="A2237" s="186">
        <v>46166</v>
      </c>
      <c r="B2237" s="184">
        <v>7002554986</v>
      </c>
      <c r="C2237" s="184">
        <v>5</v>
      </c>
      <c r="D2237" s="9" t="s">
        <v>751</v>
      </c>
    </row>
    <row r="2238" spans="1:4" ht="12.5">
      <c r="A2238" s="186">
        <v>46166</v>
      </c>
      <c r="B2238" s="184">
        <v>7002556245</v>
      </c>
      <c r="C2238" s="184">
        <v>5</v>
      </c>
      <c r="D2238" s="9" t="s">
        <v>751</v>
      </c>
    </row>
    <row r="2239" spans="1:4" ht="12.5">
      <c r="A2239" s="186">
        <v>46166</v>
      </c>
      <c r="B2239" s="184">
        <v>7002556851</v>
      </c>
      <c r="C2239" s="184">
        <v>68</v>
      </c>
      <c r="D2239" s="9" t="s">
        <v>759</v>
      </c>
    </row>
    <row r="2240" spans="1:4" ht="12.5">
      <c r="A2240" s="186">
        <v>46166</v>
      </c>
      <c r="B2240" s="184">
        <v>7002557834</v>
      </c>
      <c r="C2240" s="184">
        <v>4</v>
      </c>
      <c r="D2240" s="9" t="s">
        <v>751</v>
      </c>
    </row>
    <row r="2241" spans="1:4" ht="12.5">
      <c r="A2241" s="186">
        <v>46166</v>
      </c>
      <c r="B2241" s="184">
        <v>7002558198</v>
      </c>
      <c r="C2241" s="184">
        <v>9</v>
      </c>
      <c r="D2241" s="9" t="s">
        <v>758</v>
      </c>
    </row>
    <row r="2242" spans="1:4" ht="12.5">
      <c r="A2242" s="186">
        <v>46166</v>
      </c>
      <c r="B2242" s="184">
        <v>7002558920</v>
      </c>
      <c r="C2242" s="184">
        <v>20</v>
      </c>
      <c r="D2242" s="9" t="s">
        <v>759</v>
      </c>
    </row>
    <row r="2243" spans="1:4" ht="12.5">
      <c r="A2243" s="186">
        <v>46166</v>
      </c>
      <c r="B2243" s="184">
        <v>7002559248</v>
      </c>
      <c r="C2243" s="184">
        <v>4</v>
      </c>
      <c r="D2243" s="9" t="s">
        <v>751</v>
      </c>
    </row>
    <row r="2244" spans="1:4" ht="12.5">
      <c r="A2244" s="186">
        <v>46166</v>
      </c>
      <c r="B2244" s="184">
        <v>7002559744</v>
      </c>
      <c r="C2244" s="184">
        <v>11</v>
      </c>
      <c r="D2244" s="9" t="s">
        <v>759</v>
      </c>
    </row>
    <row r="2245" spans="1:4" ht="12.5">
      <c r="A2245" s="186">
        <v>46166</v>
      </c>
      <c r="B2245" s="184">
        <v>7002563025</v>
      </c>
      <c r="C2245" s="184">
        <v>1</v>
      </c>
      <c r="D2245" s="9" t="s">
        <v>750</v>
      </c>
    </row>
    <row r="2246" spans="1:4" ht="12.5">
      <c r="A2246" s="186">
        <v>46166</v>
      </c>
      <c r="B2246" s="184">
        <v>7002563555</v>
      </c>
      <c r="C2246" s="184">
        <v>3</v>
      </c>
      <c r="D2246" s="9" t="s">
        <v>751</v>
      </c>
    </row>
    <row r="2247" spans="1:4" ht="12.5">
      <c r="A2247" s="186">
        <v>46166</v>
      </c>
      <c r="B2247" s="184">
        <v>7002564064</v>
      </c>
      <c r="C2247" s="184">
        <v>1</v>
      </c>
      <c r="D2247" s="9" t="s">
        <v>750</v>
      </c>
    </row>
    <row r="2248" spans="1:4" ht="12.5">
      <c r="A2248" s="186">
        <v>46166</v>
      </c>
      <c r="B2248" s="184">
        <v>7002564453</v>
      </c>
      <c r="C2248" s="184">
        <v>1</v>
      </c>
      <c r="D2248" s="9" t="s">
        <v>750</v>
      </c>
    </row>
    <row r="2249" spans="1:4" ht="12.5">
      <c r="A2249" s="186">
        <v>46166</v>
      </c>
      <c r="B2249" s="184">
        <v>7002564528</v>
      </c>
      <c r="C2249" s="184">
        <v>11</v>
      </c>
      <c r="D2249" s="9" t="s">
        <v>759</v>
      </c>
    </row>
    <row r="2250" spans="1:4" ht="12.5">
      <c r="A2250" s="186">
        <v>46166</v>
      </c>
      <c r="B2250" s="184">
        <v>7002566006</v>
      </c>
      <c r="C2250" s="184">
        <v>159</v>
      </c>
      <c r="D2250" s="9" t="s">
        <v>759</v>
      </c>
    </row>
    <row r="2251" spans="1:4" ht="12.5">
      <c r="A2251" s="186">
        <v>46166</v>
      </c>
      <c r="B2251" s="184">
        <v>7002566010</v>
      </c>
      <c r="C2251" s="184">
        <v>1</v>
      </c>
      <c r="D2251" s="9" t="s">
        <v>750</v>
      </c>
    </row>
    <row r="2252" spans="1:4" ht="12.5">
      <c r="A2252" s="186">
        <v>46166</v>
      </c>
      <c r="B2252" s="184">
        <v>7002566023</v>
      </c>
      <c r="C2252" s="184">
        <v>2</v>
      </c>
      <c r="D2252" s="9" t="s">
        <v>751</v>
      </c>
    </row>
    <row r="2253" spans="1:4" ht="12.5">
      <c r="A2253" s="186">
        <v>46166</v>
      </c>
      <c r="B2253" s="184">
        <v>7002569457</v>
      </c>
      <c r="C2253" s="184">
        <v>2</v>
      </c>
      <c r="D2253" s="9" t="s">
        <v>751</v>
      </c>
    </row>
    <row r="2254" spans="1:4" ht="12.5">
      <c r="A2254" s="186">
        <v>46166</v>
      </c>
      <c r="B2254" s="184">
        <v>7002570228</v>
      </c>
      <c r="C2254" s="184">
        <v>1</v>
      </c>
      <c r="D2254" s="9" t="s">
        <v>750</v>
      </c>
    </row>
    <row r="2255" spans="1:4" ht="12.5">
      <c r="A2255" s="186">
        <v>46166</v>
      </c>
      <c r="B2255" s="184">
        <v>7002570310</v>
      </c>
      <c r="C2255" s="184">
        <v>1</v>
      </c>
      <c r="D2255" s="9" t="s">
        <v>750</v>
      </c>
    </row>
    <row r="2256" spans="1:4" ht="12.5">
      <c r="A2256" s="186">
        <v>46166</v>
      </c>
      <c r="B2256" s="184">
        <v>7002570456</v>
      </c>
      <c r="C2256" s="184">
        <v>2</v>
      </c>
      <c r="D2256" s="9" t="s">
        <v>751</v>
      </c>
    </row>
    <row r="2257" spans="1:4" ht="12.5">
      <c r="A2257" s="186">
        <v>46166</v>
      </c>
      <c r="B2257" s="184">
        <v>7002570633</v>
      </c>
      <c r="C2257" s="184">
        <v>35</v>
      </c>
      <c r="D2257" s="9" t="s">
        <v>759</v>
      </c>
    </row>
    <row r="2258" spans="1:4" ht="12.5">
      <c r="A2258" s="186">
        <v>46166</v>
      </c>
      <c r="B2258" s="184">
        <v>7002570753</v>
      </c>
      <c r="C2258" s="184">
        <v>5</v>
      </c>
      <c r="D2258" s="9" t="s">
        <v>751</v>
      </c>
    </row>
    <row r="2259" spans="1:4" ht="12.5">
      <c r="A2259" s="186">
        <v>46166</v>
      </c>
      <c r="B2259" s="184">
        <v>7002571076</v>
      </c>
      <c r="C2259" s="184">
        <v>12</v>
      </c>
      <c r="D2259" s="9" t="s">
        <v>759</v>
      </c>
    </row>
    <row r="2260" spans="1:4" ht="12.5">
      <c r="A2260" s="186">
        <v>46166</v>
      </c>
      <c r="B2260" s="184">
        <v>7002571747</v>
      </c>
      <c r="C2260" s="184">
        <v>10</v>
      </c>
      <c r="D2260" s="9" t="s">
        <v>758</v>
      </c>
    </row>
    <row r="2261" spans="1:4" ht="12.5">
      <c r="A2261" s="186">
        <v>46166</v>
      </c>
      <c r="B2261" s="184">
        <v>7002572075</v>
      </c>
      <c r="C2261" s="184">
        <v>6</v>
      </c>
      <c r="D2261" s="9" t="s">
        <v>758</v>
      </c>
    </row>
    <row r="2262" spans="1:4" ht="12.5">
      <c r="A2262" s="186">
        <v>46166</v>
      </c>
      <c r="B2262" s="184">
        <v>7002572099</v>
      </c>
      <c r="C2262" s="184">
        <v>1</v>
      </c>
      <c r="D2262" s="9" t="s">
        <v>750</v>
      </c>
    </row>
    <row r="2263" spans="1:4" ht="12.5">
      <c r="A2263" s="186">
        <v>46166</v>
      </c>
      <c r="B2263" s="184">
        <v>7002572191</v>
      </c>
      <c r="C2263" s="184">
        <v>1</v>
      </c>
      <c r="D2263" s="9" t="s">
        <v>750</v>
      </c>
    </row>
    <row r="2264" spans="1:4" ht="12.5">
      <c r="A2264" s="186">
        <v>46166</v>
      </c>
      <c r="B2264" s="184">
        <v>7002572986</v>
      </c>
      <c r="C2264" s="184">
        <v>2</v>
      </c>
      <c r="D2264" s="9" t="s">
        <v>751</v>
      </c>
    </row>
    <row r="2265" spans="1:4" ht="12.5">
      <c r="A2265" s="186">
        <v>46166</v>
      </c>
      <c r="B2265" s="184">
        <v>7002573308</v>
      </c>
      <c r="C2265" s="184">
        <v>1</v>
      </c>
      <c r="D2265" s="9" t="s">
        <v>750</v>
      </c>
    </row>
    <row r="2266" spans="1:4" ht="12.5">
      <c r="A2266" s="186">
        <v>46166</v>
      </c>
      <c r="B2266" s="184">
        <v>7002574078</v>
      </c>
      <c r="C2266" s="184">
        <v>4</v>
      </c>
      <c r="D2266" s="9" t="s">
        <v>751</v>
      </c>
    </row>
    <row r="2267" spans="1:4" ht="12.5">
      <c r="A2267" s="186">
        <v>46166</v>
      </c>
      <c r="B2267" s="184">
        <v>7002574238</v>
      </c>
      <c r="C2267" s="184">
        <v>1</v>
      </c>
      <c r="D2267" s="9" t="s">
        <v>750</v>
      </c>
    </row>
    <row r="2268" spans="1:4" ht="12.5">
      <c r="A2268" s="186">
        <v>46166</v>
      </c>
      <c r="B2268" s="184">
        <v>7002574293</v>
      </c>
      <c r="C2268" s="184">
        <v>1</v>
      </c>
      <c r="D2268" s="9" t="s">
        <v>750</v>
      </c>
    </row>
    <row r="2269" spans="1:4" ht="12.5">
      <c r="A2269" s="186">
        <v>46166</v>
      </c>
      <c r="B2269" s="184">
        <v>7002574311</v>
      </c>
      <c r="C2269" s="184">
        <v>8</v>
      </c>
      <c r="D2269" s="9" t="s">
        <v>758</v>
      </c>
    </row>
    <row r="2270" spans="1:4" ht="12.5">
      <c r="A2270" s="186">
        <v>46166</v>
      </c>
      <c r="B2270" s="184">
        <v>7002574353</v>
      </c>
      <c r="C2270" s="184">
        <v>10</v>
      </c>
      <c r="D2270" s="9" t="s">
        <v>758</v>
      </c>
    </row>
    <row r="2271" spans="1:4" ht="12.5">
      <c r="A2271" s="186">
        <v>46166</v>
      </c>
      <c r="B2271" s="184">
        <v>7002574765</v>
      </c>
      <c r="C2271" s="184">
        <v>15</v>
      </c>
      <c r="D2271" s="9" t="s">
        <v>759</v>
      </c>
    </row>
    <row r="2272" spans="1:4" ht="12.5">
      <c r="A2272" s="186">
        <v>46166</v>
      </c>
      <c r="B2272" s="184">
        <v>7002575060</v>
      </c>
      <c r="C2272" s="184">
        <v>3</v>
      </c>
      <c r="D2272" s="9" t="s">
        <v>751</v>
      </c>
    </row>
    <row r="2273" spans="1:4" ht="12.5">
      <c r="A2273" s="186">
        <v>46166</v>
      </c>
      <c r="B2273" s="184">
        <v>7002576061</v>
      </c>
      <c r="C2273" s="184">
        <v>21</v>
      </c>
      <c r="D2273" s="9" t="s">
        <v>759</v>
      </c>
    </row>
    <row r="2274" spans="1:4" ht="12.5">
      <c r="A2274" s="186">
        <v>46166</v>
      </c>
      <c r="B2274" s="184">
        <v>7002576074</v>
      </c>
      <c r="C2274" s="184">
        <v>8</v>
      </c>
      <c r="D2274" s="9" t="s">
        <v>758</v>
      </c>
    </row>
    <row r="2275" spans="1:4" ht="12.5">
      <c r="A2275" s="186">
        <v>46166</v>
      </c>
      <c r="B2275" s="184">
        <v>7002576090</v>
      </c>
      <c r="C2275" s="184">
        <v>20</v>
      </c>
      <c r="D2275" s="9" t="s">
        <v>759</v>
      </c>
    </row>
    <row r="2276" spans="1:4" ht="12.5">
      <c r="A2276" s="186">
        <v>46166</v>
      </c>
      <c r="B2276" s="184">
        <v>7002576122</v>
      </c>
      <c r="C2276" s="184">
        <v>13</v>
      </c>
      <c r="D2276" s="9" t="s">
        <v>759</v>
      </c>
    </row>
    <row r="2277" spans="1:4" ht="12.5">
      <c r="A2277" s="186">
        <v>46166</v>
      </c>
      <c r="B2277" s="184">
        <v>7002577062</v>
      </c>
      <c r="C2277" s="184">
        <v>6</v>
      </c>
      <c r="D2277" s="9" t="s">
        <v>758</v>
      </c>
    </row>
    <row r="2278" spans="1:4" ht="12.5">
      <c r="A2278" s="186">
        <v>46166</v>
      </c>
      <c r="B2278" s="184">
        <v>7002577070</v>
      </c>
      <c r="C2278" s="184">
        <v>2</v>
      </c>
      <c r="D2278" s="9" t="s">
        <v>751</v>
      </c>
    </row>
    <row r="2279" spans="1:4" ht="12.5">
      <c r="A2279" s="186">
        <v>46166</v>
      </c>
      <c r="B2279" s="184">
        <v>7002577451</v>
      </c>
      <c r="C2279" s="184">
        <v>2</v>
      </c>
      <c r="D2279" s="9" t="s">
        <v>751</v>
      </c>
    </row>
    <row r="2280" spans="1:4" ht="12.5">
      <c r="A2280" s="186">
        <v>46166</v>
      </c>
      <c r="B2280" s="184">
        <v>7002577660</v>
      </c>
      <c r="C2280" s="184">
        <v>4</v>
      </c>
      <c r="D2280" s="9" t="s">
        <v>751</v>
      </c>
    </row>
    <row r="2281" spans="1:4" ht="12.5">
      <c r="A2281" s="186">
        <v>46166</v>
      </c>
      <c r="B2281" s="184">
        <v>7002578059</v>
      </c>
      <c r="C2281" s="184">
        <v>6</v>
      </c>
      <c r="D2281" s="9" t="s">
        <v>758</v>
      </c>
    </row>
    <row r="2282" spans="1:4" ht="12.5">
      <c r="A2282" s="186">
        <v>46166</v>
      </c>
      <c r="B2282" s="184">
        <v>7002578063</v>
      </c>
      <c r="C2282" s="184">
        <v>4</v>
      </c>
      <c r="D2282" s="9" t="s">
        <v>751</v>
      </c>
    </row>
    <row r="2283" spans="1:4" ht="12.5">
      <c r="A2283" s="186">
        <v>46166</v>
      </c>
      <c r="B2283" s="184">
        <v>7002578085</v>
      </c>
      <c r="C2283" s="184">
        <v>23</v>
      </c>
      <c r="D2283" s="9" t="s">
        <v>759</v>
      </c>
    </row>
    <row r="2284" spans="1:4" ht="12.5">
      <c r="A2284" s="186">
        <v>46166</v>
      </c>
      <c r="B2284" s="184">
        <v>7002578980</v>
      </c>
      <c r="C2284" s="184">
        <v>2</v>
      </c>
      <c r="D2284" s="9" t="s">
        <v>751</v>
      </c>
    </row>
    <row r="2285" spans="1:4" ht="12.5">
      <c r="A2285" s="186">
        <v>46166</v>
      </c>
      <c r="B2285" s="184">
        <v>7002579981</v>
      </c>
      <c r="C2285" s="184">
        <v>2</v>
      </c>
      <c r="D2285" s="9" t="s">
        <v>751</v>
      </c>
    </row>
    <row r="2286" spans="1:4" ht="12.5">
      <c r="A2286" s="186">
        <v>46166</v>
      </c>
      <c r="B2286" s="184">
        <v>7002580693</v>
      </c>
      <c r="C2286" s="184">
        <v>4</v>
      </c>
      <c r="D2286" s="9" t="s">
        <v>751</v>
      </c>
    </row>
    <row r="2287" spans="1:4" ht="12.5">
      <c r="A2287" s="186">
        <v>46166</v>
      </c>
      <c r="B2287" s="184">
        <v>7002581735</v>
      </c>
      <c r="C2287" s="184">
        <v>1</v>
      </c>
      <c r="D2287" s="9" t="s">
        <v>750</v>
      </c>
    </row>
    <row r="2288" spans="1:4" ht="12.5">
      <c r="A2288" s="186">
        <v>46166</v>
      </c>
      <c r="B2288" s="184">
        <v>7002581757</v>
      </c>
      <c r="C2288" s="184">
        <v>1</v>
      </c>
      <c r="D2288" s="9" t="s">
        <v>750</v>
      </c>
    </row>
    <row r="2289" spans="1:4" ht="12.5">
      <c r="A2289" s="186">
        <v>46166</v>
      </c>
      <c r="B2289" s="184">
        <v>7002582739</v>
      </c>
      <c r="C2289" s="184">
        <v>18</v>
      </c>
      <c r="D2289" s="9" t="s">
        <v>759</v>
      </c>
    </row>
    <row r="2290" spans="1:4" ht="12.5">
      <c r="A2290" s="186">
        <v>46166</v>
      </c>
      <c r="B2290" s="184">
        <v>7002583701</v>
      </c>
      <c r="C2290" s="184">
        <v>7</v>
      </c>
      <c r="D2290" s="9" t="s">
        <v>758</v>
      </c>
    </row>
    <row r="2291" spans="1:4" ht="12.5">
      <c r="A2291" s="186">
        <v>46166</v>
      </c>
      <c r="B2291" s="184">
        <v>7002584248</v>
      </c>
      <c r="C2291" s="184">
        <v>1</v>
      </c>
      <c r="D2291" s="9" t="s">
        <v>750</v>
      </c>
    </row>
    <row r="2292" spans="1:4" ht="12.5">
      <c r="A2292" s="186">
        <v>46166</v>
      </c>
      <c r="B2292" s="184">
        <v>7002584660</v>
      </c>
      <c r="C2292" s="184">
        <v>11</v>
      </c>
      <c r="D2292" s="9" t="s">
        <v>759</v>
      </c>
    </row>
    <row r="2293" spans="1:4" ht="12.5">
      <c r="A2293" s="186">
        <v>46166</v>
      </c>
      <c r="B2293" s="184">
        <v>7002584673</v>
      </c>
      <c r="C2293" s="184">
        <v>15</v>
      </c>
      <c r="D2293" s="9" t="s">
        <v>759</v>
      </c>
    </row>
    <row r="2294" spans="1:4" ht="12.5">
      <c r="A2294" s="186">
        <v>46166</v>
      </c>
      <c r="B2294" s="184">
        <v>7002584694</v>
      </c>
      <c r="C2294" s="184">
        <v>1</v>
      </c>
      <c r="D2294" s="9" t="s">
        <v>750</v>
      </c>
    </row>
    <row r="2295" spans="1:4" ht="12.5">
      <c r="A2295" s="186">
        <v>46166</v>
      </c>
      <c r="B2295" s="184">
        <v>7002584984</v>
      </c>
      <c r="C2295" s="184">
        <v>1</v>
      </c>
      <c r="D2295" s="9" t="s">
        <v>750</v>
      </c>
    </row>
    <row r="2296" spans="1:4" ht="12.5">
      <c r="A2296" s="186">
        <v>46166</v>
      </c>
      <c r="B2296" s="184">
        <v>7002585710</v>
      </c>
      <c r="C2296" s="184">
        <v>11</v>
      </c>
      <c r="D2296" s="9" t="s">
        <v>759</v>
      </c>
    </row>
    <row r="2297" spans="1:4" ht="12.5">
      <c r="A2297" s="186">
        <v>46166</v>
      </c>
      <c r="B2297" s="184">
        <v>7002585861</v>
      </c>
      <c r="C2297" s="184">
        <v>33</v>
      </c>
      <c r="D2297" s="9" t="s">
        <v>759</v>
      </c>
    </row>
    <row r="2298" spans="1:4" ht="12.5">
      <c r="A2298" s="186">
        <v>46166</v>
      </c>
      <c r="B2298" s="184">
        <v>7002586651</v>
      </c>
      <c r="C2298" s="184">
        <v>15</v>
      </c>
      <c r="D2298" s="9" t="s">
        <v>759</v>
      </c>
    </row>
    <row r="2299" spans="1:4" ht="12.5">
      <c r="A2299" s="186">
        <v>46166</v>
      </c>
      <c r="B2299" s="184">
        <v>7002586707</v>
      </c>
      <c r="C2299" s="184">
        <v>2</v>
      </c>
      <c r="D2299" s="9" t="s">
        <v>751</v>
      </c>
    </row>
    <row r="2300" spans="1:4" ht="12.5">
      <c r="A2300" s="186">
        <v>46166</v>
      </c>
      <c r="B2300" s="184">
        <v>7002586753</v>
      </c>
      <c r="C2300" s="184">
        <v>10</v>
      </c>
      <c r="D2300" s="9" t="s">
        <v>758</v>
      </c>
    </row>
    <row r="2301" spans="1:4" ht="12.5">
      <c r="A2301" s="186">
        <v>46166</v>
      </c>
      <c r="B2301" s="184">
        <v>7002586782</v>
      </c>
      <c r="C2301" s="184">
        <v>2</v>
      </c>
      <c r="D2301" s="9" t="s">
        <v>751</v>
      </c>
    </row>
    <row r="2302" spans="1:4" ht="12.5">
      <c r="A2302" s="186">
        <v>46166</v>
      </c>
      <c r="B2302" s="184">
        <v>7002586862</v>
      </c>
      <c r="C2302" s="184">
        <v>3</v>
      </c>
      <c r="D2302" s="9" t="s">
        <v>751</v>
      </c>
    </row>
    <row r="2303" spans="1:4" ht="12.5">
      <c r="A2303" s="186">
        <v>46166</v>
      </c>
      <c r="B2303" s="184">
        <v>7002587652</v>
      </c>
      <c r="C2303" s="184">
        <v>22</v>
      </c>
      <c r="D2303" s="9" t="s">
        <v>759</v>
      </c>
    </row>
    <row r="2304" spans="1:4" ht="12.5">
      <c r="A2304" s="186">
        <v>46166</v>
      </c>
      <c r="B2304" s="184">
        <v>7002587699</v>
      </c>
      <c r="C2304" s="184">
        <v>15</v>
      </c>
      <c r="D2304" s="9" t="s">
        <v>759</v>
      </c>
    </row>
    <row r="2305" spans="1:4" ht="12.5">
      <c r="A2305" s="186">
        <v>46166</v>
      </c>
      <c r="B2305" s="184">
        <v>7002587731</v>
      </c>
      <c r="C2305" s="184">
        <v>12</v>
      </c>
      <c r="D2305" s="9" t="s">
        <v>759</v>
      </c>
    </row>
    <row r="2306" spans="1:4" ht="12.5">
      <c r="A2306" s="186">
        <v>46166</v>
      </c>
      <c r="B2306" s="184">
        <v>7002588653</v>
      </c>
      <c r="C2306" s="184">
        <v>1</v>
      </c>
      <c r="D2306" s="9" t="s">
        <v>750</v>
      </c>
    </row>
    <row r="2307" spans="1:4" ht="12.5">
      <c r="A2307" s="186">
        <v>46166</v>
      </c>
      <c r="B2307" s="184">
        <v>7002588709</v>
      </c>
      <c r="C2307" s="184">
        <v>5</v>
      </c>
      <c r="D2307" s="9" t="s">
        <v>751</v>
      </c>
    </row>
    <row r="2308" spans="1:4" ht="12.5">
      <c r="A2308" s="186">
        <v>46166</v>
      </c>
      <c r="B2308" s="184">
        <v>7002588721</v>
      </c>
      <c r="C2308" s="184">
        <v>2</v>
      </c>
      <c r="D2308" s="9" t="s">
        <v>751</v>
      </c>
    </row>
    <row r="2309" spans="1:4" ht="12.5">
      <c r="A2309" s="186">
        <v>46166</v>
      </c>
      <c r="B2309" s="184">
        <v>7002588745</v>
      </c>
      <c r="C2309" s="184">
        <v>37</v>
      </c>
      <c r="D2309" s="9" t="s">
        <v>759</v>
      </c>
    </row>
    <row r="2310" spans="1:4" ht="12.5">
      <c r="A2310" s="186">
        <v>46166</v>
      </c>
      <c r="B2310" s="184">
        <v>7002588766</v>
      </c>
      <c r="C2310" s="184">
        <v>1</v>
      </c>
      <c r="D2310" s="9" t="s">
        <v>750</v>
      </c>
    </row>
    <row r="2311" spans="1:4" ht="12.5">
      <c r="A2311" s="186">
        <v>46166</v>
      </c>
      <c r="B2311" s="184">
        <v>7002589052</v>
      </c>
      <c r="C2311" s="184">
        <v>1</v>
      </c>
      <c r="D2311" s="9" t="s">
        <v>750</v>
      </c>
    </row>
    <row r="2312" spans="1:4" ht="12.5">
      <c r="A2312" s="186">
        <v>46166</v>
      </c>
      <c r="B2312" s="184">
        <v>7002589714</v>
      </c>
      <c r="C2312" s="184">
        <v>12</v>
      </c>
      <c r="D2312" s="9" t="s">
        <v>759</v>
      </c>
    </row>
    <row r="2313" spans="1:4" ht="12.5">
      <c r="A2313" s="186">
        <v>46166</v>
      </c>
      <c r="B2313" s="184">
        <v>7002589722</v>
      </c>
      <c r="C2313" s="184">
        <v>4</v>
      </c>
      <c r="D2313" s="9" t="s">
        <v>751</v>
      </c>
    </row>
    <row r="2314" spans="1:4" ht="12.5">
      <c r="A2314" s="186">
        <v>46166</v>
      </c>
      <c r="B2314" s="184">
        <v>7002589733</v>
      </c>
      <c r="C2314" s="184">
        <v>3</v>
      </c>
      <c r="D2314" s="9" t="s">
        <v>751</v>
      </c>
    </row>
    <row r="2315" spans="1:4" ht="12.5">
      <c r="A2315" s="186">
        <v>46166</v>
      </c>
      <c r="B2315" s="184">
        <v>7002590171</v>
      </c>
      <c r="C2315" s="184">
        <v>30</v>
      </c>
      <c r="D2315" s="9" t="s">
        <v>759</v>
      </c>
    </row>
    <row r="2316" spans="1:4" ht="12.5">
      <c r="A2316" s="186">
        <v>46166</v>
      </c>
      <c r="B2316" s="184">
        <v>7002590333</v>
      </c>
      <c r="C2316" s="184">
        <v>21</v>
      </c>
      <c r="D2316" s="9" t="s">
        <v>759</v>
      </c>
    </row>
    <row r="2317" spans="1:4" ht="12.5">
      <c r="A2317" s="186">
        <v>46166</v>
      </c>
      <c r="B2317" s="184">
        <v>7002590438</v>
      </c>
      <c r="C2317" s="184">
        <v>36</v>
      </c>
      <c r="D2317" s="9" t="s">
        <v>759</v>
      </c>
    </row>
    <row r="2318" spans="1:4" ht="12.5">
      <c r="A2318" s="186">
        <v>46166</v>
      </c>
      <c r="B2318" s="184">
        <v>7002590464</v>
      </c>
      <c r="C2318" s="184">
        <v>110</v>
      </c>
      <c r="D2318" s="9" t="s">
        <v>759</v>
      </c>
    </row>
    <row r="2319" spans="1:4" ht="12.5">
      <c r="A2319" s="186">
        <v>46166</v>
      </c>
      <c r="B2319" s="184">
        <v>7002590512</v>
      </c>
      <c r="C2319" s="184">
        <v>8</v>
      </c>
      <c r="D2319" s="9" t="s">
        <v>758</v>
      </c>
    </row>
    <row r="2320" spans="1:4" ht="12.5">
      <c r="A2320" s="186">
        <v>46166</v>
      </c>
      <c r="B2320" s="184">
        <v>7002590666</v>
      </c>
      <c r="C2320" s="184">
        <v>37</v>
      </c>
      <c r="D2320" s="9" t="s">
        <v>759</v>
      </c>
    </row>
    <row r="2321" spans="1:4" ht="12.5">
      <c r="A2321" s="186">
        <v>46166</v>
      </c>
      <c r="B2321" s="184">
        <v>7002590684</v>
      </c>
      <c r="C2321" s="184">
        <v>26</v>
      </c>
      <c r="D2321" s="9" t="s">
        <v>759</v>
      </c>
    </row>
    <row r="2322" spans="1:4" ht="12.5">
      <c r="A2322" s="186">
        <v>46166</v>
      </c>
      <c r="B2322" s="184">
        <v>7002590775</v>
      </c>
      <c r="C2322" s="184">
        <v>1</v>
      </c>
      <c r="D2322" s="9" t="s">
        <v>750</v>
      </c>
    </row>
    <row r="2323" spans="1:4" ht="12.5">
      <c r="A2323" s="186">
        <v>46166</v>
      </c>
      <c r="B2323" s="184">
        <v>7002591507</v>
      </c>
      <c r="C2323" s="184">
        <v>4</v>
      </c>
      <c r="D2323" s="9" t="s">
        <v>751</v>
      </c>
    </row>
    <row r="2324" spans="1:4" ht="12.5">
      <c r="A2324" s="186">
        <v>46166</v>
      </c>
      <c r="B2324" s="184">
        <v>7002591553</v>
      </c>
      <c r="C2324" s="184">
        <v>4</v>
      </c>
      <c r="D2324" s="9" t="s">
        <v>751</v>
      </c>
    </row>
    <row r="2325" spans="1:4" ht="12.5">
      <c r="A2325" s="186">
        <v>46166</v>
      </c>
      <c r="B2325" s="184">
        <v>7002591595</v>
      </c>
      <c r="C2325" s="184">
        <v>1</v>
      </c>
      <c r="D2325" s="9" t="s">
        <v>750</v>
      </c>
    </row>
    <row r="2326" spans="1:4" ht="12.5">
      <c r="A2326" s="186">
        <v>46166</v>
      </c>
      <c r="B2326" s="184">
        <v>7002591631</v>
      </c>
      <c r="C2326" s="184">
        <v>3</v>
      </c>
      <c r="D2326" s="9" t="s">
        <v>751</v>
      </c>
    </row>
    <row r="2327" spans="1:4" ht="12.5">
      <c r="A2327" s="186">
        <v>46166</v>
      </c>
      <c r="B2327" s="184">
        <v>7002591677</v>
      </c>
      <c r="C2327" s="184">
        <v>13</v>
      </c>
      <c r="D2327" s="9" t="s">
        <v>759</v>
      </c>
    </row>
    <row r="2328" spans="1:4" ht="12.5">
      <c r="A2328" s="186">
        <v>46166</v>
      </c>
      <c r="B2328" s="184">
        <v>7002592630</v>
      </c>
      <c r="C2328" s="184">
        <v>4</v>
      </c>
      <c r="D2328" s="9" t="s">
        <v>751</v>
      </c>
    </row>
    <row r="2329" spans="1:4" ht="12.5">
      <c r="A2329" s="186">
        <v>46166</v>
      </c>
      <c r="B2329" s="184">
        <v>7002592653</v>
      </c>
      <c r="C2329" s="184">
        <v>31</v>
      </c>
      <c r="D2329" s="9" t="s">
        <v>759</v>
      </c>
    </row>
    <row r="2330" spans="1:4" ht="12.5">
      <c r="A2330" s="186">
        <v>46166</v>
      </c>
      <c r="B2330" s="184">
        <v>7002592669</v>
      </c>
      <c r="C2330" s="184">
        <v>9</v>
      </c>
      <c r="D2330" s="9" t="s">
        <v>758</v>
      </c>
    </row>
    <row r="2331" spans="1:4" ht="12.5">
      <c r="A2331" s="186">
        <v>46166</v>
      </c>
      <c r="B2331" s="184">
        <v>7002592682</v>
      </c>
      <c r="C2331" s="184">
        <v>4</v>
      </c>
      <c r="D2331" s="9" t="s">
        <v>751</v>
      </c>
    </row>
    <row r="2332" spans="1:4" ht="12.5">
      <c r="A2332" s="186">
        <v>46166</v>
      </c>
      <c r="B2332" s="184">
        <v>7002593681</v>
      </c>
      <c r="C2332" s="184">
        <v>8</v>
      </c>
      <c r="D2332" s="9" t="s">
        <v>758</v>
      </c>
    </row>
    <row r="2333" spans="1:4" ht="12.5">
      <c r="A2333" s="186">
        <v>46166</v>
      </c>
      <c r="B2333" s="184">
        <v>7002594228</v>
      </c>
      <c r="C2333" s="184">
        <v>6</v>
      </c>
      <c r="D2333" s="9" t="s">
        <v>758</v>
      </c>
    </row>
    <row r="2334" spans="1:4" ht="12.5">
      <c r="A2334" s="186">
        <v>46166</v>
      </c>
      <c r="B2334" s="184">
        <v>7002594651</v>
      </c>
      <c r="C2334" s="184">
        <v>43</v>
      </c>
      <c r="D2334" s="9" t="s">
        <v>759</v>
      </c>
    </row>
    <row r="2335" spans="1:4" ht="12.5">
      <c r="A2335" s="186">
        <v>46166</v>
      </c>
      <c r="B2335" s="184">
        <v>7002594667</v>
      </c>
      <c r="C2335" s="184">
        <v>1</v>
      </c>
      <c r="D2335" s="9" t="s">
        <v>750</v>
      </c>
    </row>
    <row r="2336" spans="1:4" ht="12.5">
      <c r="A2336" s="186">
        <v>46166</v>
      </c>
      <c r="B2336" s="184">
        <v>7002594679</v>
      </c>
      <c r="C2336" s="184">
        <v>30</v>
      </c>
      <c r="D2336" s="9" t="s">
        <v>759</v>
      </c>
    </row>
    <row r="2337" spans="1:4" ht="12.5">
      <c r="A2337" s="186">
        <v>46166</v>
      </c>
      <c r="B2337" s="184">
        <v>7002594680</v>
      </c>
      <c r="C2337" s="184">
        <v>2</v>
      </c>
      <c r="D2337" s="9" t="s">
        <v>751</v>
      </c>
    </row>
    <row r="2338" spans="1:4" ht="12.5">
      <c r="A2338" s="186">
        <v>46166</v>
      </c>
      <c r="B2338" s="184">
        <v>7002595299</v>
      </c>
      <c r="C2338" s="184">
        <v>57</v>
      </c>
      <c r="D2338" s="9" t="s">
        <v>759</v>
      </c>
    </row>
    <row r="2339" spans="1:4" ht="12.5">
      <c r="A2339" s="186">
        <v>46166</v>
      </c>
      <c r="B2339" s="184">
        <v>7002595497</v>
      </c>
      <c r="C2339" s="184">
        <v>1</v>
      </c>
      <c r="D2339" s="9" t="s">
        <v>750</v>
      </c>
    </row>
    <row r="2340" spans="1:4" ht="12.5">
      <c r="A2340" s="186">
        <v>46166</v>
      </c>
      <c r="B2340" s="184">
        <v>7002595587</v>
      </c>
      <c r="C2340" s="184">
        <v>77</v>
      </c>
      <c r="D2340" s="9" t="s">
        <v>759</v>
      </c>
    </row>
    <row r="2341" spans="1:4" ht="12.5">
      <c r="A2341" s="186">
        <v>46166</v>
      </c>
      <c r="B2341" s="184">
        <v>7002595664</v>
      </c>
      <c r="C2341" s="184">
        <v>24</v>
      </c>
      <c r="D2341" s="9" t="s">
        <v>759</v>
      </c>
    </row>
    <row r="2342" spans="1:4" ht="12.5">
      <c r="A2342" s="186">
        <v>46166</v>
      </c>
      <c r="B2342" s="184">
        <v>7002595686</v>
      </c>
      <c r="C2342" s="184">
        <v>3</v>
      </c>
      <c r="D2342" s="9" t="s">
        <v>751</v>
      </c>
    </row>
    <row r="2343" spans="1:4" ht="12.5">
      <c r="A2343" s="186">
        <v>46166</v>
      </c>
      <c r="B2343" s="184">
        <v>7002595693</v>
      </c>
      <c r="C2343" s="184">
        <v>38</v>
      </c>
      <c r="D2343" s="9" t="s">
        <v>759</v>
      </c>
    </row>
    <row r="2344" spans="1:4" ht="12.5">
      <c r="A2344" s="186">
        <v>46166</v>
      </c>
      <c r="B2344" s="184">
        <v>7002596207</v>
      </c>
      <c r="C2344" s="184">
        <v>1</v>
      </c>
      <c r="D2344" s="9" t="s">
        <v>750</v>
      </c>
    </row>
    <row r="2345" spans="1:4" ht="12.5">
      <c r="A2345" s="186">
        <v>46166</v>
      </c>
      <c r="B2345" s="184">
        <v>7002596625</v>
      </c>
      <c r="C2345" s="184">
        <v>1</v>
      </c>
      <c r="D2345" s="9" t="s">
        <v>750</v>
      </c>
    </row>
    <row r="2346" spans="1:4" ht="12.5">
      <c r="A2346" s="186">
        <v>46166</v>
      </c>
      <c r="B2346" s="184">
        <v>7002596660</v>
      </c>
      <c r="C2346" s="184">
        <v>1</v>
      </c>
      <c r="D2346" s="9" t="s">
        <v>750</v>
      </c>
    </row>
    <row r="2347" spans="1:4" ht="12.5">
      <c r="A2347" s="186">
        <v>46166</v>
      </c>
      <c r="B2347" s="184">
        <v>7002596687</v>
      </c>
      <c r="C2347" s="184">
        <v>7</v>
      </c>
      <c r="D2347" s="9" t="s">
        <v>758</v>
      </c>
    </row>
    <row r="2348" spans="1:4" ht="12.5">
      <c r="A2348" s="186">
        <v>46166</v>
      </c>
      <c r="B2348" s="184">
        <v>7002597504</v>
      </c>
      <c r="C2348" s="184">
        <v>2</v>
      </c>
      <c r="D2348" s="9" t="s">
        <v>751</v>
      </c>
    </row>
    <row r="2349" spans="1:4" ht="12.5">
      <c r="A2349" s="186">
        <v>46166</v>
      </c>
      <c r="B2349" s="184">
        <v>7002597515</v>
      </c>
      <c r="C2349" s="184">
        <v>2</v>
      </c>
      <c r="D2349" s="9" t="s">
        <v>751</v>
      </c>
    </row>
    <row r="2350" spans="1:4" ht="12.5">
      <c r="A2350" s="186">
        <v>46166</v>
      </c>
      <c r="B2350" s="184">
        <v>7002597626</v>
      </c>
      <c r="C2350" s="184">
        <v>47</v>
      </c>
      <c r="D2350" s="9" t="s">
        <v>759</v>
      </c>
    </row>
    <row r="2351" spans="1:4" ht="12.5">
      <c r="A2351" s="186">
        <v>46166</v>
      </c>
      <c r="B2351" s="184">
        <v>7002597642</v>
      </c>
      <c r="C2351" s="184">
        <v>5</v>
      </c>
      <c r="D2351" s="9" t="s">
        <v>751</v>
      </c>
    </row>
    <row r="2352" spans="1:4" ht="12.5">
      <c r="A2352" s="186">
        <v>46166</v>
      </c>
      <c r="B2352" s="184">
        <v>7002597674</v>
      </c>
      <c r="C2352" s="184">
        <v>3</v>
      </c>
      <c r="D2352" s="9" t="s">
        <v>751</v>
      </c>
    </row>
    <row r="2353" spans="1:4" ht="12.5">
      <c r="A2353" s="186">
        <v>46166</v>
      </c>
      <c r="B2353" s="184">
        <v>7002597729</v>
      </c>
      <c r="C2353" s="184">
        <v>6</v>
      </c>
      <c r="D2353" s="9" t="s">
        <v>758</v>
      </c>
    </row>
    <row r="2354" spans="1:4" ht="12.5">
      <c r="A2354" s="186">
        <v>46166</v>
      </c>
      <c r="B2354" s="184">
        <v>7002598453</v>
      </c>
      <c r="C2354" s="184">
        <v>2</v>
      </c>
      <c r="D2354" s="9" t="s">
        <v>751</v>
      </c>
    </row>
    <row r="2355" spans="1:4" ht="12.5">
      <c r="A2355" s="186">
        <v>46166</v>
      </c>
      <c r="B2355" s="184">
        <v>7002598658</v>
      </c>
      <c r="C2355" s="184">
        <v>45</v>
      </c>
      <c r="D2355" s="9" t="s">
        <v>759</v>
      </c>
    </row>
    <row r="2356" spans="1:4" ht="12.5">
      <c r="A2356" s="186">
        <v>46166</v>
      </c>
      <c r="B2356" s="184">
        <v>7002598670</v>
      </c>
      <c r="C2356" s="184">
        <v>2</v>
      </c>
      <c r="D2356" s="9" t="s">
        <v>751</v>
      </c>
    </row>
    <row r="2357" spans="1:4" ht="12.5">
      <c r="A2357" s="186">
        <v>46166</v>
      </c>
      <c r="B2357" s="184">
        <v>7002599600</v>
      </c>
      <c r="C2357" s="184">
        <v>14</v>
      </c>
      <c r="D2357" s="9" t="s">
        <v>759</v>
      </c>
    </row>
    <row r="2358" spans="1:4" ht="12.5">
      <c r="A2358" s="186">
        <v>46166</v>
      </c>
      <c r="B2358" s="184">
        <v>7002599628</v>
      </c>
      <c r="C2358" s="184">
        <v>4</v>
      </c>
      <c r="D2358" s="9" t="s">
        <v>751</v>
      </c>
    </row>
    <row r="2359" spans="1:4" ht="12.5">
      <c r="A2359" s="186">
        <v>46166</v>
      </c>
      <c r="B2359" s="184">
        <v>7002599671</v>
      </c>
      <c r="C2359" s="184">
        <v>52</v>
      </c>
      <c r="D2359" s="9" t="s">
        <v>759</v>
      </c>
    </row>
    <row r="2360" spans="1:4" ht="12.5">
      <c r="A2360" s="186">
        <v>46166</v>
      </c>
      <c r="B2360" s="184">
        <v>7002599735</v>
      </c>
      <c r="C2360" s="184">
        <v>11</v>
      </c>
      <c r="D2360" s="9" t="s">
        <v>759</v>
      </c>
    </row>
    <row r="2361" spans="1:4" ht="12.5">
      <c r="A2361" s="186">
        <v>46166</v>
      </c>
      <c r="B2361" s="184">
        <v>7002600396</v>
      </c>
      <c r="C2361" s="184">
        <v>1</v>
      </c>
      <c r="D2361" s="9" t="s">
        <v>750</v>
      </c>
    </row>
    <row r="2362" spans="1:4" ht="12.5">
      <c r="A2362" s="186">
        <v>46166</v>
      </c>
      <c r="B2362" s="184">
        <v>7002600552</v>
      </c>
      <c r="C2362" s="184">
        <v>4</v>
      </c>
      <c r="D2362" s="9" t="s">
        <v>751</v>
      </c>
    </row>
    <row r="2363" spans="1:4" ht="12.5">
      <c r="A2363" s="186">
        <v>46166</v>
      </c>
      <c r="B2363" s="184">
        <v>7002601160</v>
      </c>
      <c r="C2363" s="184">
        <v>2</v>
      </c>
      <c r="D2363" s="9" t="s">
        <v>751</v>
      </c>
    </row>
    <row r="2364" spans="1:4" ht="12.5">
      <c r="A2364" s="186">
        <v>46166</v>
      </c>
      <c r="B2364" s="184">
        <v>7002602399</v>
      </c>
      <c r="C2364" s="184">
        <v>7</v>
      </c>
      <c r="D2364" s="9" t="s">
        <v>758</v>
      </c>
    </row>
    <row r="2365" spans="1:4" ht="12.5">
      <c r="A2365" s="186">
        <v>46166</v>
      </c>
      <c r="B2365" s="184">
        <v>7002603291</v>
      </c>
      <c r="C2365" s="184">
        <v>4</v>
      </c>
      <c r="D2365" s="9" t="s">
        <v>751</v>
      </c>
    </row>
    <row r="2366" spans="1:4" ht="12.5">
      <c r="A2366" s="186">
        <v>46166</v>
      </c>
      <c r="B2366" s="184">
        <v>7002603493</v>
      </c>
      <c r="C2366" s="184">
        <v>2</v>
      </c>
      <c r="D2366" s="9" t="s">
        <v>751</v>
      </c>
    </row>
    <row r="2367" spans="1:4" ht="12.5">
      <c r="A2367" s="186">
        <v>46166</v>
      </c>
      <c r="B2367" s="184">
        <v>7002606604</v>
      </c>
      <c r="C2367" s="184">
        <v>4</v>
      </c>
      <c r="D2367" s="9" t="s">
        <v>751</v>
      </c>
    </row>
    <row r="2368" spans="1:4" ht="12.5">
      <c r="A2368" s="186">
        <v>46166</v>
      </c>
      <c r="B2368" s="184">
        <v>7002607205</v>
      </c>
      <c r="C2368" s="184">
        <v>7</v>
      </c>
      <c r="D2368" s="9" t="s">
        <v>758</v>
      </c>
    </row>
    <row r="2369" spans="1:4" ht="12.5">
      <c r="A2369" s="186"/>
      <c r="B2369" s="14"/>
      <c r="C2369" s="14"/>
      <c r="D2369" s="9"/>
    </row>
    <row r="2370" spans="1:4" ht="12.5">
      <c r="A2370" s="186">
        <v>46168</v>
      </c>
      <c r="B2370" s="9">
        <v>7001727096</v>
      </c>
      <c r="C2370" s="9">
        <v>2</v>
      </c>
      <c r="D2370" s="9" t="s">
        <v>751</v>
      </c>
    </row>
    <row r="2371" spans="1:4" ht="12.5">
      <c r="A2371" s="186">
        <v>46168</v>
      </c>
      <c r="B2371" s="9">
        <v>7002513445</v>
      </c>
      <c r="C2371" s="9">
        <v>5</v>
      </c>
      <c r="D2371" s="9" t="s">
        <v>751</v>
      </c>
    </row>
    <row r="2372" spans="1:4" ht="12.5">
      <c r="A2372" s="186">
        <v>46168</v>
      </c>
      <c r="B2372" s="9">
        <v>7002532845</v>
      </c>
      <c r="C2372" s="9">
        <v>3</v>
      </c>
      <c r="D2372" s="9" t="s">
        <v>751</v>
      </c>
    </row>
    <row r="2373" spans="1:4" ht="12.5">
      <c r="A2373" s="186">
        <v>46168</v>
      </c>
      <c r="B2373" s="9">
        <v>7002533700</v>
      </c>
      <c r="C2373" s="9">
        <v>1</v>
      </c>
      <c r="D2373" s="9" t="s">
        <v>750</v>
      </c>
    </row>
    <row r="2374" spans="1:4" ht="12.5">
      <c r="A2374" s="186">
        <v>46168</v>
      </c>
      <c r="B2374" s="9">
        <v>7002535753</v>
      </c>
      <c r="C2374" s="9">
        <v>10</v>
      </c>
      <c r="D2374" s="9" t="s">
        <v>758</v>
      </c>
    </row>
    <row r="2375" spans="1:4" ht="12.5">
      <c r="A2375" s="186">
        <v>46168</v>
      </c>
      <c r="B2375" s="9">
        <v>7002536837</v>
      </c>
      <c r="C2375" s="9">
        <v>2</v>
      </c>
      <c r="D2375" s="9" t="s">
        <v>751</v>
      </c>
    </row>
    <row r="2376" spans="1:4" ht="12.5">
      <c r="A2376" s="186">
        <v>46168</v>
      </c>
      <c r="B2376" s="9">
        <v>7002554938</v>
      </c>
      <c r="C2376" s="9">
        <v>4</v>
      </c>
      <c r="D2376" s="9" t="s">
        <v>751</v>
      </c>
    </row>
    <row r="2377" spans="1:4" ht="12.5">
      <c r="A2377" s="186">
        <v>46168</v>
      </c>
      <c r="B2377" s="9">
        <v>7002554972</v>
      </c>
      <c r="C2377" s="9">
        <v>4</v>
      </c>
      <c r="D2377" s="9" t="s">
        <v>751</v>
      </c>
    </row>
    <row r="2378" spans="1:4" ht="12.5">
      <c r="A2378" s="186">
        <v>46168</v>
      </c>
      <c r="B2378" s="9">
        <v>7002559950</v>
      </c>
      <c r="C2378" s="9">
        <v>6</v>
      </c>
      <c r="D2378" s="9" t="s">
        <v>758</v>
      </c>
    </row>
    <row r="2379" spans="1:4" ht="12.5">
      <c r="A2379" s="186">
        <v>46168</v>
      </c>
      <c r="B2379" s="9">
        <v>7002560755</v>
      </c>
      <c r="C2379" s="9">
        <v>2</v>
      </c>
      <c r="D2379" s="9" t="s">
        <v>751</v>
      </c>
    </row>
    <row r="2380" spans="1:4" ht="12.5">
      <c r="A2380" s="186">
        <v>46168</v>
      </c>
      <c r="B2380" s="9">
        <v>7002564718</v>
      </c>
      <c r="C2380" s="9">
        <v>3</v>
      </c>
      <c r="D2380" s="9" t="s">
        <v>751</v>
      </c>
    </row>
    <row r="2381" spans="1:4" ht="12.5">
      <c r="A2381" s="186">
        <v>46168</v>
      </c>
      <c r="B2381" s="9">
        <v>7002568724</v>
      </c>
      <c r="C2381" s="9">
        <v>1</v>
      </c>
      <c r="D2381" s="9" t="s">
        <v>750</v>
      </c>
    </row>
    <row r="2382" spans="1:4" ht="12.5">
      <c r="A2382" s="186">
        <v>46168</v>
      </c>
      <c r="B2382" s="9">
        <v>7002580672</v>
      </c>
      <c r="C2382" s="9">
        <v>168</v>
      </c>
      <c r="D2382" s="9" t="s">
        <v>752</v>
      </c>
    </row>
    <row r="2383" spans="1:4" ht="12.5">
      <c r="A2383" s="186">
        <v>46168</v>
      </c>
      <c r="B2383" s="9">
        <v>7002584175</v>
      </c>
      <c r="C2383" s="9">
        <v>1</v>
      </c>
      <c r="D2383" s="9" t="s">
        <v>750</v>
      </c>
    </row>
    <row r="2384" spans="1:4" ht="12.5">
      <c r="A2384" s="186">
        <v>46168</v>
      </c>
      <c r="B2384" s="9">
        <v>7002586679</v>
      </c>
      <c r="C2384" s="9">
        <v>20</v>
      </c>
      <c r="D2384" s="9" t="s">
        <v>752</v>
      </c>
    </row>
    <row r="2385" spans="1:4" ht="12.5">
      <c r="A2385" s="186">
        <v>46168</v>
      </c>
      <c r="B2385" s="9">
        <v>7002586836</v>
      </c>
      <c r="C2385" s="9">
        <v>1</v>
      </c>
      <c r="D2385" s="9" t="s">
        <v>750</v>
      </c>
    </row>
    <row r="2386" spans="1:4" ht="12.5">
      <c r="A2386" s="186">
        <v>46168</v>
      </c>
      <c r="B2386" s="9">
        <v>7002587712</v>
      </c>
      <c r="C2386" s="9">
        <v>14</v>
      </c>
      <c r="D2386" s="9" t="s">
        <v>752</v>
      </c>
    </row>
    <row r="2387" spans="1:4" ht="12.5">
      <c r="A2387" s="186">
        <v>46168</v>
      </c>
      <c r="B2387" s="9">
        <v>7002589705</v>
      </c>
      <c r="C2387" s="9">
        <v>61</v>
      </c>
      <c r="D2387" s="9" t="s">
        <v>752</v>
      </c>
    </row>
    <row r="2388" spans="1:4" ht="12.5">
      <c r="A2388" s="186">
        <v>46168</v>
      </c>
      <c r="B2388" s="9">
        <v>7002589860</v>
      </c>
      <c r="C2388" s="9">
        <v>1</v>
      </c>
      <c r="D2388" s="9" t="s">
        <v>750</v>
      </c>
    </row>
    <row r="2389" spans="1:4" ht="12.5">
      <c r="A2389" s="186">
        <v>46168</v>
      </c>
      <c r="B2389" s="9">
        <v>7002589873</v>
      </c>
      <c r="C2389" s="9">
        <v>180</v>
      </c>
      <c r="D2389" s="9" t="s">
        <v>752</v>
      </c>
    </row>
    <row r="2390" spans="1:4" ht="12.5">
      <c r="A2390" s="186">
        <v>46168</v>
      </c>
      <c r="B2390" s="9">
        <v>7002591751</v>
      </c>
      <c r="C2390" s="9">
        <v>29</v>
      </c>
      <c r="D2390" s="9" t="s">
        <v>752</v>
      </c>
    </row>
    <row r="2391" spans="1:4" ht="12.5">
      <c r="A2391" s="186">
        <v>46168</v>
      </c>
      <c r="B2391" s="9">
        <v>7002592624</v>
      </c>
      <c r="C2391" s="9">
        <v>1</v>
      </c>
      <c r="D2391" s="9" t="s">
        <v>750</v>
      </c>
    </row>
    <row r="2392" spans="1:4" ht="12.5">
      <c r="A2392" s="186">
        <v>46168</v>
      </c>
      <c r="B2392" s="9">
        <v>7002597603</v>
      </c>
      <c r="C2392" s="9">
        <v>5</v>
      </c>
      <c r="D2392" s="9" t="s">
        <v>751</v>
      </c>
    </row>
    <row r="2393" spans="1:4" ht="12.5">
      <c r="A2393" s="186">
        <v>46168</v>
      </c>
      <c r="B2393" s="9">
        <v>7002599810</v>
      </c>
      <c r="C2393" s="9">
        <v>6</v>
      </c>
      <c r="D2393" s="9" t="s">
        <v>758</v>
      </c>
    </row>
    <row r="2394" spans="1:4" ht="12.5">
      <c r="A2394" s="186">
        <v>46168</v>
      </c>
      <c r="B2394" s="9">
        <v>7002602724</v>
      </c>
      <c r="C2394" s="9">
        <v>1</v>
      </c>
      <c r="D2394" s="9" t="s">
        <v>750</v>
      </c>
    </row>
    <row r="2395" spans="1:4" ht="12.5">
      <c r="A2395" s="186">
        <v>46168</v>
      </c>
      <c r="B2395" s="9">
        <v>7002603768</v>
      </c>
      <c r="C2395" s="9">
        <v>1</v>
      </c>
      <c r="D2395" s="9" t="s">
        <v>750</v>
      </c>
    </row>
    <row r="2396" spans="1:4" ht="12.5">
      <c r="A2396" s="186">
        <v>46168</v>
      </c>
      <c r="B2396" s="9">
        <v>7002604608</v>
      </c>
      <c r="C2396" s="9">
        <v>2</v>
      </c>
      <c r="D2396" s="9" t="s">
        <v>751</v>
      </c>
    </row>
    <row r="2397" spans="1:4" ht="12.5">
      <c r="A2397" s="186">
        <v>46168</v>
      </c>
      <c r="B2397" s="9">
        <v>7002604714</v>
      </c>
      <c r="C2397" s="9">
        <v>8</v>
      </c>
      <c r="D2397" s="9" t="s">
        <v>758</v>
      </c>
    </row>
    <row r="2398" spans="1:4" ht="12.5">
      <c r="A2398" s="186">
        <v>46168</v>
      </c>
      <c r="B2398" s="9">
        <v>7002604751</v>
      </c>
      <c r="C2398" s="9">
        <v>2</v>
      </c>
      <c r="D2398" s="9" t="s">
        <v>751</v>
      </c>
    </row>
    <row r="2399" spans="1:4" ht="12.5">
      <c r="A2399" s="186">
        <v>46168</v>
      </c>
      <c r="B2399" s="9">
        <v>7002605738</v>
      </c>
      <c r="C2399" s="9">
        <v>1</v>
      </c>
      <c r="D2399" s="9" t="s">
        <v>750</v>
      </c>
    </row>
    <row r="2400" spans="1:4" ht="12.5">
      <c r="A2400" s="186">
        <v>46168</v>
      </c>
      <c r="B2400" s="9">
        <v>7002605772</v>
      </c>
      <c r="C2400" s="9">
        <v>1</v>
      </c>
      <c r="D2400" s="9" t="s">
        <v>750</v>
      </c>
    </row>
    <row r="2401" spans="1:4" ht="12.5">
      <c r="A2401" s="186">
        <v>46168</v>
      </c>
      <c r="B2401" s="9">
        <v>7002607742</v>
      </c>
      <c r="C2401" s="9">
        <v>2</v>
      </c>
      <c r="D2401" s="9" t="s">
        <v>751</v>
      </c>
    </row>
    <row r="2402" spans="1:4" ht="12.5">
      <c r="A2402" s="186">
        <v>46168</v>
      </c>
      <c r="B2402" s="9">
        <v>7002610087</v>
      </c>
      <c r="C2402" s="9">
        <v>1</v>
      </c>
      <c r="D2402" s="9" t="s">
        <v>750</v>
      </c>
    </row>
    <row r="2403" spans="1:4" ht="12.5">
      <c r="A2403" s="186">
        <v>46168</v>
      </c>
      <c r="B2403" s="9">
        <v>7002610166</v>
      </c>
      <c r="C2403" s="9">
        <v>23</v>
      </c>
      <c r="D2403" s="9" t="s">
        <v>752</v>
      </c>
    </row>
    <row r="2404" spans="1:4" ht="12.5">
      <c r="A2404" s="186">
        <v>46168</v>
      </c>
      <c r="B2404" s="9">
        <v>7002610214</v>
      </c>
      <c r="C2404" s="9">
        <v>1</v>
      </c>
      <c r="D2404" s="9" t="s">
        <v>750</v>
      </c>
    </row>
    <row r="2405" spans="1:4" ht="12.5">
      <c r="A2405" s="186">
        <v>46168</v>
      </c>
      <c r="B2405" s="9">
        <v>7002610222</v>
      </c>
      <c r="C2405" s="9">
        <v>12</v>
      </c>
      <c r="D2405" s="9" t="s">
        <v>752</v>
      </c>
    </row>
    <row r="2406" spans="1:4" ht="12.5">
      <c r="A2406" s="186">
        <v>46168</v>
      </c>
      <c r="B2406" s="9">
        <v>7002610246</v>
      </c>
      <c r="C2406" s="9">
        <v>2</v>
      </c>
      <c r="D2406" s="9" t="s">
        <v>751</v>
      </c>
    </row>
    <row r="2407" spans="1:4" ht="12.5">
      <c r="A2407" s="186">
        <v>46168</v>
      </c>
      <c r="B2407" s="9">
        <v>7002610251</v>
      </c>
      <c r="C2407" s="9">
        <v>7</v>
      </c>
      <c r="D2407" s="9" t="s">
        <v>758</v>
      </c>
    </row>
    <row r="2408" spans="1:4" ht="12.5">
      <c r="A2408" s="186">
        <v>46168</v>
      </c>
      <c r="B2408" s="9">
        <v>7002610644</v>
      </c>
      <c r="C2408" s="9">
        <v>2</v>
      </c>
      <c r="D2408" s="9" t="s">
        <v>751</v>
      </c>
    </row>
    <row r="2409" spans="1:4" ht="12.5">
      <c r="A2409" s="186">
        <v>46168</v>
      </c>
      <c r="B2409" s="9">
        <v>7002611149</v>
      </c>
      <c r="C2409" s="9">
        <v>3</v>
      </c>
      <c r="D2409" s="9" t="s">
        <v>751</v>
      </c>
    </row>
    <row r="2410" spans="1:4" ht="12.5">
      <c r="A2410" s="186">
        <v>46168</v>
      </c>
      <c r="B2410" s="9">
        <v>7002611209</v>
      </c>
      <c r="C2410" s="9">
        <v>1</v>
      </c>
      <c r="D2410" s="9" t="s">
        <v>750</v>
      </c>
    </row>
    <row r="2411" spans="1:4" ht="12.5">
      <c r="A2411" s="186">
        <v>46168</v>
      </c>
      <c r="B2411" s="9">
        <v>7002611213</v>
      </c>
      <c r="C2411" s="9">
        <v>4</v>
      </c>
      <c r="D2411" s="9" t="s">
        <v>751</v>
      </c>
    </row>
    <row r="2412" spans="1:4" ht="12.5">
      <c r="A2412" s="186">
        <v>46168</v>
      </c>
      <c r="B2412" s="9">
        <v>7002611245</v>
      </c>
      <c r="C2412" s="9">
        <v>1</v>
      </c>
      <c r="D2412" s="9" t="s">
        <v>750</v>
      </c>
    </row>
    <row r="2413" spans="1:4" ht="12.5">
      <c r="A2413" s="186">
        <v>46168</v>
      </c>
      <c r="B2413" s="9">
        <v>7002611266</v>
      </c>
      <c r="C2413" s="9">
        <v>2</v>
      </c>
      <c r="D2413" s="9" t="s">
        <v>751</v>
      </c>
    </row>
    <row r="2414" spans="1:4" ht="12.5">
      <c r="A2414" s="186">
        <v>46168</v>
      </c>
      <c r="B2414" s="9">
        <v>7002611297</v>
      </c>
      <c r="C2414" s="9">
        <v>1</v>
      </c>
      <c r="D2414" s="9" t="s">
        <v>750</v>
      </c>
    </row>
    <row r="2415" spans="1:4" ht="12.5">
      <c r="A2415" s="186">
        <v>46168</v>
      </c>
      <c r="B2415" s="9">
        <v>7002611303</v>
      </c>
      <c r="C2415" s="9">
        <v>1</v>
      </c>
      <c r="D2415" s="9" t="s">
        <v>750</v>
      </c>
    </row>
    <row r="2416" spans="1:4" ht="12.5">
      <c r="A2416" s="186">
        <v>46168</v>
      </c>
      <c r="B2416" s="9">
        <v>7002611846</v>
      </c>
      <c r="C2416" s="9">
        <v>2</v>
      </c>
      <c r="D2416" s="9" t="s">
        <v>751</v>
      </c>
    </row>
    <row r="2417" spans="1:4" ht="12.5">
      <c r="A2417" s="186">
        <v>46168</v>
      </c>
      <c r="B2417" s="9">
        <v>7002611952</v>
      </c>
      <c r="C2417" s="9">
        <v>10</v>
      </c>
      <c r="D2417" s="9" t="s">
        <v>758</v>
      </c>
    </row>
    <row r="2418" spans="1:4" ht="12.5">
      <c r="A2418" s="186">
        <v>46168</v>
      </c>
      <c r="B2418" s="9">
        <v>7002612169</v>
      </c>
      <c r="C2418" s="9">
        <v>1</v>
      </c>
      <c r="D2418" s="9" t="s">
        <v>750</v>
      </c>
    </row>
    <row r="2419" spans="1:4" ht="12.5">
      <c r="A2419" s="186">
        <v>46168</v>
      </c>
      <c r="B2419" s="9">
        <v>7002612208</v>
      </c>
      <c r="C2419" s="9">
        <v>1</v>
      </c>
      <c r="D2419" s="9" t="s">
        <v>750</v>
      </c>
    </row>
    <row r="2420" spans="1:4" ht="12.5">
      <c r="A2420" s="186">
        <v>46168</v>
      </c>
      <c r="B2420" s="9">
        <v>7002612265</v>
      </c>
      <c r="C2420" s="9">
        <v>1</v>
      </c>
      <c r="D2420" s="9" t="s">
        <v>750</v>
      </c>
    </row>
    <row r="2421" spans="1:4" ht="12.5">
      <c r="A2421" s="186">
        <v>46168</v>
      </c>
      <c r="B2421" s="9">
        <v>7002612341</v>
      </c>
      <c r="C2421" s="9">
        <v>1</v>
      </c>
      <c r="D2421" s="9" t="s">
        <v>750</v>
      </c>
    </row>
    <row r="2422" spans="1:4" ht="12.5">
      <c r="A2422" s="186">
        <v>46168</v>
      </c>
      <c r="B2422" s="9">
        <v>7002612878</v>
      </c>
      <c r="C2422" s="9">
        <v>3</v>
      </c>
      <c r="D2422" s="9" t="s">
        <v>751</v>
      </c>
    </row>
    <row r="2423" spans="1:4" ht="12.5">
      <c r="A2423" s="186">
        <v>46168</v>
      </c>
      <c r="B2423" s="9">
        <v>7002613175</v>
      </c>
      <c r="C2423" s="9">
        <v>6</v>
      </c>
      <c r="D2423" s="9" t="s">
        <v>758</v>
      </c>
    </row>
    <row r="2424" spans="1:4" ht="12.5">
      <c r="A2424" s="186">
        <v>46168</v>
      </c>
      <c r="B2424" s="9">
        <v>7002613181</v>
      </c>
      <c r="C2424" s="9">
        <v>50</v>
      </c>
      <c r="D2424" s="9" t="s">
        <v>752</v>
      </c>
    </row>
    <row r="2425" spans="1:4" ht="12.5">
      <c r="A2425" s="186">
        <v>46168</v>
      </c>
      <c r="B2425" s="9">
        <v>7002613211</v>
      </c>
      <c r="C2425" s="9">
        <v>8</v>
      </c>
      <c r="D2425" s="9" t="s">
        <v>758</v>
      </c>
    </row>
    <row r="2426" spans="1:4" ht="12.5">
      <c r="A2426" s="186">
        <v>46168</v>
      </c>
      <c r="B2426" s="9">
        <v>7002613253</v>
      </c>
      <c r="C2426" s="9">
        <v>1</v>
      </c>
      <c r="D2426" s="9" t="s">
        <v>750</v>
      </c>
    </row>
    <row r="2427" spans="1:4" ht="12.5">
      <c r="A2427" s="186">
        <v>46168</v>
      </c>
      <c r="B2427" s="9">
        <v>7002613282</v>
      </c>
      <c r="C2427" s="9">
        <v>1</v>
      </c>
      <c r="D2427" s="9" t="s">
        <v>750</v>
      </c>
    </row>
    <row r="2428" spans="1:4" ht="12.5">
      <c r="A2428" s="186">
        <v>46168</v>
      </c>
      <c r="B2428" s="9">
        <v>7002613295</v>
      </c>
      <c r="C2428" s="9">
        <v>13</v>
      </c>
      <c r="D2428" s="9" t="s">
        <v>752</v>
      </c>
    </row>
    <row r="2429" spans="1:4" ht="12.5">
      <c r="A2429" s="186">
        <v>46168</v>
      </c>
      <c r="B2429" s="9">
        <v>7002613301</v>
      </c>
      <c r="C2429" s="9">
        <v>1</v>
      </c>
      <c r="D2429" s="9" t="s">
        <v>750</v>
      </c>
    </row>
    <row r="2430" spans="1:4" ht="12.5">
      <c r="A2430" s="186">
        <v>46168</v>
      </c>
      <c r="B2430" s="9">
        <v>7002614206</v>
      </c>
      <c r="C2430" s="9">
        <v>3</v>
      </c>
      <c r="D2430" s="9" t="s">
        <v>751</v>
      </c>
    </row>
    <row r="2431" spans="1:4" ht="12.5">
      <c r="A2431" s="186">
        <v>46168</v>
      </c>
      <c r="B2431" s="9">
        <v>7002614223</v>
      </c>
      <c r="C2431" s="9">
        <v>2</v>
      </c>
      <c r="D2431" s="9" t="s">
        <v>751</v>
      </c>
    </row>
    <row r="2432" spans="1:4" ht="12.5">
      <c r="A2432" s="186">
        <v>46168</v>
      </c>
      <c r="B2432" s="9">
        <v>7002614234</v>
      </c>
      <c r="C2432" s="9">
        <v>15</v>
      </c>
      <c r="D2432" s="9" t="s">
        <v>752</v>
      </c>
    </row>
    <row r="2433" spans="1:4" ht="12.5">
      <c r="A2433" s="186">
        <v>46168</v>
      </c>
      <c r="B2433" s="9">
        <v>7002614252</v>
      </c>
      <c r="C2433" s="9">
        <v>2</v>
      </c>
      <c r="D2433" s="9" t="s">
        <v>751</v>
      </c>
    </row>
    <row r="2434" spans="1:4" ht="12.5">
      <c r="A2434" s="186">
        <v>46168</v>
      </c>
      <c r="B2434" s="9">
        <v>7002614268</v>
      </c>
      <c r="C2434" s="9">
        <v>1</v>
      </c>
      <c r="D2434" s="9" t="s">
        <v>750</v>
      </c>
    </row>
    <row r="2435" spans="1:4" ht="12.5">
      <c r="A2435" s="186">
        <v>46168</v>
      </c>
      <c r="B2435" s="9">
        <v>7002614300</v>
      </c>
      <c r="C2435" s="9">
        <v>1</v>
      </c>
      <c r="D2435" s="9" t="s">
        <v>750</v>
      </c>
    </row>
    <row r="2436" spans="1:4" ht="12.5">
      <c r="A2436" s="186">
        <v>46168</v>
      </c>
      <c r="B2436" s="9">
        <v>7002614337</v>
      </c>
      <c r="C2436" s="9">
        <v>16</v>
      </c>
      <c r="D2436" s="9" t="s">
        <v>752</v>
      </c>
    </row>
    <row r="2437" spans="1:4" ht="12.5">
      <c r="A2437" s="186">
        <v>46168</v>
      </c>
      <c r="B2437" s="9">
        <v>7002614363</v>
      </c>
      <c r="C2437" s="9">
        <v>1</v>
      </c>
      <c r="D2437" s="9" t="s">
        <v>750</v>
      </c>
    </row>
    <row r="2438" spans="1:4" ht="12.5">
      <c r="A2438" s="186">
        <v>46168</v>
      </c>
      <c r="B2438" s="9">
        <v>7002614965</v>
      </c>
      <c r="C2438" s="9">
        <v>3</v>
      </c>
      <c r="D2438" s="9" t="s">
        <v>751</v>
      </c>
    </row>
    <row r="2439" spans="1:4" ht="12.5">
      <c r="A2439" s="186">
        <v>46168</v>
      </c>
      <c r="B2439" s="9">
        <v>7002615129</v>
      </c>
      <c r="C2439" s="9">
        <v>1</v>
      </c>
      <c r="D2439" s="9" t="s">
        <v>750</v>
      </c>
    </row>
    <row r="2440" spans="1:4" ht="12.5">
      <c r="A2440" s="186">
        <v>46168</v>
      </c>
      <c r="B2440" s="9">
        <v>7002615138</v>
      </c>
      <c r="C2440" s="9">
        <v>3</v>
      </c>
      <c r="D2440" s="9" t="s">
        <v>751</v>
      </c>
    </row>
    <row r="2441" spans="1:4" ht="12.5">
      <c r="A2441" s="186">
        <v>46168</v>
      </c>
      <c r="B2441" s="9">
        <v>7002615228</v>
      </c>
      <c r="C2441" s="9">
        <v>10</v>
      </c>
      <c r="D2441" s="9" t="s">
        <v>758</v>
      </c>
    </row>
    <row r="2442" spans="1:4" ht="12.5">
      <c r="A2442" s="186">
        <v>46168</v>
      </c>
      <c r="B2442" s="9">
        <v>7002615244</v>
      </c>
      <c r="C2442" s="9">
        <v>4</v>
      </c>
      <c r="D2442" s="9" t="s">
        <v>751</v>
      </c>
    </row>
    <row r="2443" spans="1:4" ht="12.5">
      <c r="A2443" s="186">
        <v>46168</v>
      </c>
      <c r="B2443" s="9">
        <v>7002615292</v>
      </c>
      <c r="C2443" s="9">
        <v>1</v>
      </c>
      <c r="D2443" s="9" t="s">
        <v>750</v>
      </c>
    </row>
    <row r="2444" spans="1:4" ht="12.5">
      <c r="A2444" s="186">
        <v>46168</v>
      </c>
      <c r="B2444" s="9">
        <v>7002615334</v>
      </c>
      <c r="C2444" s="9">
        <v>1</v>
      </c>
      <c r="D2444" s="9" t="s">
        <v>750</v>
      </c>
    </row>
    <row r="2445" spans="1:4" ht="12.5">
      <c r="A2445" s="186">
        <v>46168</v>
      </c>
      <c r="B2445" s="9">
        <v>7002615441</v>
      </c>
      <c r="C2445" s="9">
        <v>11</v>
      </c>
      <c r="D2445" s="9" t="s">
        <v>752</v>
      </c>
    </row>
    <row r="2446" spans="1:4" ht="12.5">
      <c r="A2446" s="186">
        <v>46168</v>
      </c>
      <c r="B2446" s="9">
        <v>7002615926</v>
      </c>
      <c r="C2446" s="9">
        <v>2</v>
      </c>
      <c r="D2446" s="9" t="s">
        <v>751</v>
      </c>
    </row>
    <row r="2447" spans="1:4" ht="12.5">
      <c r="A2447" s="186">
        <v>46168</v>
      </c>
      <c r="B2447" s="9">
        <v>7002616021</v>
      </c>
      <c r="C2447" s="9">
        <v>1</v>
      </c>
      <c r="D2447" s="9" t="s">
        <v>750</v>
      </c>
    </row>
    <row r="2448" spans="1:4" ht="12.5">
      <c r="A2448" s="186">
        <v>46168</v>
      </c>
      <c r="B2448" s="9">
        <v>7002616173</v>
      </c>
      <c r="C2448" s="9">
        <v>3</v>
      </c>
      <c r="D2448" s="9" t="s">
        <v>751</v>
      </c>
    </row>
    <row r="2449" spans="1:4" ht="12.5">
      <c r="A2449" s="186">
        <v>46168</v>
      </c>
      <c r="B2449" s="9">
        <v>7002616229</v>
      </c>
      <c r="C2449" s="9">
        <v>1</v>
      </c>
      <c r="D2449" s="9" t="s">
        <v>750</v>
      </c>
    </row>
    <row r="2450" spans="1:4" ht="12.5">
      <c r="A2450" s="186">
        <v>46168</v>
      </c>
      <c r="B2450" s="9">
        <v>7002616293</v>
      </c>
      <c r="C2450" s="9">
        <v>1</v>
      </c>
      <c r="D2450" s="9" t="s">
        <v>750</v>
      </c>
    </row>
    <row r="2451" spans="1:4" ht="12.5">
      <c r="A2451" s="186">
        <v>46168</v>
      </c>
      <c r="B2451" s="9">
        <v>7002616330</v>
      </c>
      <c r="C2451" s="9">
        <v>1</v>
      </c>
      <c r="D2451" s="9" t="s">
        <v>750</v>
      </c>
    </row>
    <row r="2452" spans="1:4" ht="12.5">
      <c r="A2452" s="186">
        <v>46168</v>
      </c>
      <c r="B2452" s="9">
        <v>7002616376</v>
      </c>
      <c r="C2452" s="9">
        <v>2</v>
      </c>
      <c r="D2452" s="9" t="s">
        <v>751</v>
      </c>
    </row>
    <row r="2453" spans="1:4" ht="12.5">
      <c r="A2453" s="186">
        <v>46168</v>
      </c>
      <c r="B2453" s="9">
        <v>7002616435</v>
      </c>
      <c r="C2453" s="9">
        <v>51</v>
      </c>
      <c r="D2453" s="9" t="s">
        <v>752</v>
      </c>
    </row>
    <row r="2454" spans="1:4" ht="12.5">
      <c r="A2454" s="186">
        <v>46168</v>
      </c>
      <c r="B2454" s="9">
        <v>7002616991</v>
      </c>
      <c r="C2454" s="9">
        <v>10</v>
      </c>
      <c r="D2454" s="9" t="s">
        <v>758</v>
      </c>
    </row>
    <row r="2455" spans="1:4" ht="12.5">
      <c r="A2455" s="186">
        <v>46168</v>
      </c>
      <c r="B2455" s="9">
        <v>7002617157</v>
      </c>
      <c r="C2455" s="9">
        <v>4</v>
      </c>
      <c r="D2455" s="9" t="s">
        <v>751</v>
      </c>
    </row>
    <row r="2456" spans="1:4" ht="12.5">
      <c r="A2456" s="186">
        <v>46168</v>
      </c>
      <c r="B2456" s="9">
        <v>7002617190</v>
      </c>
      <c r="C2456" s="9">
        <v>1</v>
      </c>
      <c r="D2456" s="9" t="s">
        <v>750</v>
      </c>
    </row>
    <row r="2457" spans="1:4" ht="12.5">
      <c r="A2457" s="186">
        <v>46168</v>
      </c>
      <c r="B2457" s="9">
        <v>7002617225</v>
      </c>
      <c r="C2457" s="9">
        <v>2</v>
      </c>
      <c r="D2457" s="9" t="s">
        <v>751</v>
      </c>
    </row>
    <row r="2458" spans="1:4" ht="12.5">
      <c r="A2458" s="186">
        <v>46168</v>
      </c>
      <c r="B2458" s="9">
        <v>7002617241</v>
      </c>
      <c r="C2458" s="9">
        <v>1</v>
      </c>
      <c r="D2458" s="9" t="s">
        <v>750</v>
      </c>
    </row>
    <row r="2459" spans="1:4" ht="12.5">
      <c r="A2459" s="186">
        <v>46168</v>
      </c>
      <c r="B2459" s="9">
        <v>7002617312</v>
      </c>
      <c r="C2459" s="9">
        <v>1</v>
      </c>
      <c r="D2459" s="9" t="s">
        <v>750</v>
      </c>
    </row>
    <row r="2460" spans="1:4" ht="12.5">
      <c r="A2460" s="186">
        <v>46168</v>
      </c>
      <c r="B2460" s="9">
        <v>7002617396</v>
      </c>
      <c r="C2460" s="9">
        <v>2</v>
      </c>
      <c r="D2460" s="9" t="s">
        <v>751</v>
      </c>
    </row>
    <row r="2461" spans="1:4" ht="12.5">
      <c r="A2461" s="186">
        <v>46168</v>
      </c>
      <c r="B2461" s="9">
        <v>7002617575</v>
      </c>
      <c r="C2461" s="9">
        <v>4</v>
      </c>
      <c r="D2461" s="9" t="s">
        <v>751</v>
      </c>
    </row>
    <row r="2462" spans="1:4" ht="12.5">
      <c r="A2462" s="186">
        <v>46168</v>
      </c>
      <c r="B2462" s="9">
        <v>7002617985</v>
      </c>
      <c r="C2462" s="9">
        <v>4</v>
      </c>
      <c r="D2462" s="9" t="s">
        <v>751</v>
      </c>
    </row>
    <row r="2463" spans="1:4" ht="12.5">
      <c r="A2463" s="186">
        <v>46168</v>
      </c>
      <c r="B2463" s="9">
        <v>7002618162</v>
      </c>
      <c r="C2463" s="9">
        <v>2</v>
      </c>
      <c r="D2463" s="9" t="s">
        <v>751</v>
      </c>
    </row>
    <row r="2464" spans="1:4" ht="12.5">
      <c r="A2464" s="186">
        <v>46168</v>
      </c>
      <c r="B2464" s="9">
        <v>7002618170</v>
      </c>
      <c r="C2464" s="9">
        <v>6</v>
      </c>
      <c r="D2464" s="9" t="s">
        <v>758</v>
      </c>
    </row>
    <row r="2465" spans="1:4" ht="12.5">
      <c r="A2465" s="186">
        <v>46168</v>
      </c>
      <c r="B2465" s="9">
        <v>7002618189</v>
      </c>
      <c r="C2465" s="9">
        <v>13</v>
      </c>
      <c r="D2465" s="9" t="s">
        <v>752</v>
      </c>
    </row>
    <row r="2466" spans="1:4" ht="12.5">
      <c r="A2466" s="186">
        <v>46168</v>
      </c>
      <c r="B2466" s="9">
        <v>7002618203</v>
      </c>
      <c r="C2466" s="9">
        <v>2</v>
      </c>
      <c r="D2466" s="9" t="s">
        <v>751</v>
      </c>
    </row>
    <row r="2467" spans="1:4" ht="12.5">
      <c r="A2467" s="186">
        <v>46168</v>
      </c>
      <c r="B2467" s="9">
        <v>7002618219</v>
      </c>
      <c r="C2467" s="9">
        <v>45</v>
      </c>
      <c r="D2467" s="9" t="s">
        <v>752</v>
      </c>
    </row>
    <row r="2468" spans="1:4" ht="12.5">
      <c r="A2468" s="186">
        <v>46168</v>
      </c>
      <c r="B2468" s="9">
        <v>7002619163</v>
      </c>
      <c r="C2468" s="9">
        <v>4</v>
      </c>
      <c r="D2468" s="9" t="s">
        <v>751</v>
      </c>
    </row>
    <row r="2469" spans="1:4" ht="12.5">
      <c r="A2469" s="186">
        <v>46168</v>
      </c>
      <c r="B2469" s="9">
        <v>7002619171</v>
      </c>
      <c r="C2469" s="9">
        <v>3</v>
      </c>
      <c r="D2469" s="9" t="s">
        <v>751</v>
      </c>
    </row>
    <row r="2470" spans="1:4" ht="12.5">
      <c r="A2470" s="186">
        <v>46168</v>
      </c>
      <c r="B2470" s="9">
        <v>7002619215</v>
      </c>
      <c r="C2470" s="9">
        <v>20</v>
      </c>
      <c r="D2470" s="9" t="s">
        <v>752</v>
      </c>
    </row>
    <row r="2471" spans="1:4" ht="12.5">
      <c r="A2471" s="186">
        <v>46168</v>
      </c>
      <c r="B2471" s="9">
        <v>7002619236</v>
      </c>
      <c r="C2471" s="9">
        <v>2</v>
      </c>
      <c r="D2471" s="9" t="s">
        <v>751</v>
      </c>
    </row>
    <row r="2472" spans="1:4" ht="12.5">
      <c r="A2472" s="186">
        <v>46168</v>
      </c>
      <c r="B2472" s="9">
        <v>7002619314</v>
      </c>
      <c r="C2472" s="9">
        <v>1</v>
      </c>
      <c r="D2472" s="9" t="s">
        <v>750</v>
      </c>
    </row>
    <row r="2473" spans="1:4" ht="12.5">
      <c r="A2473" s="186">
        <v>46168</v>
      </c>
      <c r="B2473" s="9">
        <v>7002619939</v>
      </c>
      <c r="C2473" s="9">
        <v>5</v>
      </c>
      <c r="D2473" s="9" t="s">
        <v>751</v>
      </c>
    </row>
    <row r="2474" spans="1:4" ht="12.5">
      <c r="A2474" s="186">
        <v>46168</v>
      </c>
      <c r="B2474" s="9">
        <v>7002620100</v>
      </c>
      <c r="C2474" s="9">
        <v>3</v>
      </c>
      <c r="D2474" s="9" t="s">
        <v>751</v>
      </c>
    </row>
    <row r="2475" spans="1:4" ht="12.5">
      <c r="A2475" s="186">
        <v>46168</v>
      </c>
      <c r="B2475" s="9">
        <v>7002620116</v>
      </c>
      <c r="C2475" s="9">
        <v>5</v>
      </c>
      <c r="D2475" s="9" t="s">
        <v>751</v>
      </c>
    </row>
    <row r="2476" spans="1:4" ht="12.5">
      <c r="A2476" s="186">
        <v>46168</v>
      </c>
      <c r="B2476" s="9">
        <v>7002620137</v>
      </c>
      <c r="C2476" s="9">
        <v>10</v>
      </c>
      <c r="D2476" s="9" t="s">
        <v>758</v>
      </c>
    </row>
    <row r="2477" spans="1:4" ht="12.5">
      <c r="A2477" s="186">
        <v>46168</v>
      </c>
      <c r="B2477" s="9">
        <v>7002620144</v>
      </c>
      <c r="C2477" s="9">
        <v>21</v>
      </c>
      <c r="D2477" s="9" t="s">
        <v>752</v>
      </c>
    </row>
    <row r="2478" spans="1:4" ht="12.5">
      <c r="A2478" s="186">
        <v>46168</v>
      </c>
      <c r="B2478" s="9">
        <v>7002620159</v>
      </c>
      <c r="C2478" s="9">
        <v>3</v>
      </c>
      <c r="D2478" s="9" t="s">
        <v>751</v>
      </c>
    </row>
    <row r="2479" spans="1:4" ht="12.5">
      <c r="A2479" s="186">
        <v>46168</v>
      </c>
      <c r="B2479" s="9">
        <v>7002620171</v>
      </c>
      <c r="C2479" s="9">
        <v>13</v>
      </c>
      <c r="D2479" s="9" t="s">
        <v>752</v>
      </c>
    </row>
    <row r="2480" spans="1:4" ht="12.5">
      <c r="A2480" s="186">
        <v>46168</v>
      </c>
      <c r="B2480" s="9">
        <v>7002620192</v>
      </c>
      <c r="C2480" s="9">
        <v>1</v>
      </c>
      <c r="D2480" s="9" t="s">
        <v>750</v>
      </c>
    </row>
    <row r="2481" spans="1:4" ht="12.5">
      <c r="A2481" s="186">
        <v>46168</v>
      </c>
      <c r="B2481" s="9">
        <v>7002621115</v>
      </c>
      <c r="C2481" s="9">
        <v>1</v>
      </c>
      <c r="D2481" s="9" t="s">
        <v>750</v>
      </c>
    </row>
    <row r="2482" spans="1:4" ht="12.5">
      <c r="A2482" s="186">
        <v>46168</v>
      </c>
      <c r="B2482" s="9">
        <v>7002621274</v>
      </c>
      <c r="C2482" s="9">
        <v>8</v>
      </c>
      <c r="D2482" s="9" t="s">
        <v>758</v>
      </c>
    </row>
    <row r="2483" spans="1:4" ht="12.5">
      <c r="A2483" s="186">
        <v>46168</v>
      </c>
      <c r="B2483" s="9">
        <v>7002621553</v>
      </c>
      <c r="C2483" s="9">
        <v>16</v>
      </c>
      <c r="D2483" s="9" t="s">
        <v>752</v>
      </c>
    </row>
    <row r="2484" spans="1:4" ht="12.5">
      <c r="A2484" s="186">
        <v>46168</v>
      </c>
      <c r="B2484" s="9">
        <v>7002621665</v>
      </c>
      <c r="C2484" s="9">
        <v>9</v>
      </c>
      <c r="D2484" s="9" t="s">
        <v>758</v>
      </c>
    </row>
    <row r="2485" spans="1:4" ht="12.5">
      <c r="A2485" s="186">
        <v>46168</v>
      </c>
      <c r="B2485" s="9">
        <v>7002621940</v>
      </c>
      <c r="C2485" s="9">
        <v>2</v>
      </c>
      <c r="D2485" s="9" t="s">
        <v>751</v>
      </c>
    </row>
    <row r="2486" spans="1:4" ht="12.5">
      <c r="A2486" s="186">
        <v>46168</v>
      </c>
      <c r="B2486" s="9">
        <v>7002622098</v>
      </c>
      <c r="C2486" s="9">
        <v>1</v>
      </c>
      <c r="D2486" s="9" t="s">
        <v>750</v>
      </c>
    </row>
    <row r="2487" spans="1:4" ht="12.5">
      <c r="A2487" s="186">
        <v>46168</v>
      </c>
      <c r="B2487" s="9">
        <v>7002622103</v>
      </c>
      <c r="C2487" s="9">
        <v>5</v>
      </c>
      <c r="D2487" s="9" t="s">
        <v>751</v>
      </c>
    </row>
    <row r="2488" spans="1:4" ht="12.5">
      <c r="A2488" s="186">
        <v>46168</v>
      </c>
      <c r="B2488" s="9">
        <v>7002622142</v>
      </c>
      <c r="C2488" s="9">
        <v>5</v>
      </c>
      <c r="D2488" s="9" t="s">
        <v>751</v>
      </c>
    </row>
    <row r="2489" spans="1:4" ht="12.5">
      <c r="A2489" s="186">
        <v>46168</v>
      </c>
      <c r="B2489" s="9">
        <v>7002622174</v>
      </c>
      <c r="C2489" s="9">
        <v>4</v>
      </c>
      <c r="D2489" s="9" t="s">
        <v>751</v>
      </c>
    </row>
    <row r="2490" spans="1:4" ht="12.5">
      <c r="A2490" s="186">
        <v>46168</v>
      </c>
      <c r="B2490" s="9">
        <v>7002622308</v>
      </c>
      <c r="C2490" s="9">
        <v>5</v>
      </c>
      <c r="D2490" s="9" t="s">
        <v>751</v>
      </c>
    </row>
    <row r="2491" spans="1:4" ht="12.5">
      <c r="A2491" s="186">
        <v>46168</v>
      </c>
      <c r="B2491" s="9">
        <v>7002622383</v>
      </c>
      <c r="C2491" s="9">
        <v>1</v>
      </c>
      <c r="D2491" s="9" t="s">
        <v>750</v>
      </c>
    </row>
    <row r="2492" spans="1:4" ht="12.5">
      <c r="A2492" s="186">
        <v>46168</v>
      </c>
      <c r="B2492" s="9">
        <v>7002622648</v>
      </c>
      <c r="C2492" s="9">
        <v>1</v>
      </c>
      <c r="D2492" s="9" t="s">
        <v>750</v>
      </c>
    </row>
    <row r="2493" spans="1:4" ht="12.5">
      <c r="A2493" s="186">
        <v>46168</v>
      </c>
      <c r="B2493" s="9">
        <v>7002623097</v>
      </c>
      <c r="C2493" s="9">
        <v>1</v>
      </c>
      <c r="D2493" s="9" t="s">
        <v>750</v>
      </c>
    </row>
    <row r="2494" spans="1:4" ht="12.5">
      <c r="A2494" s="186">
        <v>46168</v>
      </c>
      <c r="B2494" s="9">
        <v>7002623118</v>
      </c>
      <c r="C2494" s="9">
        <v>26</v>
      </c>
      <c r="D2494" s="9" t="s">
        <v>752</v>
      </c>
    </row>
    <row r="2495" spans="1:4" ht="12.5">
      <c r="A2495" s="186">
        <v>46168</v>
      </c>
      <c r="B2495" s="9">
        <v>7002623139</v>
      </c>
      <c r="C2495" s="9">
        <v>4</v>
      </c>
      <c r="D2495" s="9" t="s">
        <v>751</v>
      </c>
    </row>
    <row r="2496" spans="1:4" ht="12.5">
      <c r="A2496" s="186">
        <v>46168</v>
      </c>
      <c r="B2496" s="9">
        <v>7002623141</v>
      </c>
      <c r="C2496" s="9">
        <v>9</v>
      </c>
      <c r="D2496" s="9" t="s">
        <v>758</v>
      </c>
    </row>
    <row r="2497" spans="1:4" ht="12.5">
      <c r="A2497" s="186">
        <v>46168</v>
      </c>
      <c r="B2497" s="9">
        <v>7002623160</v>
      </c>
      <c r="C2497" s="9">
        <v>1</v>
      </c>
      <c r="D2497" s="9" t="s">
        <v>750</v>
      </c>
    </row>
    <row r="2498" spans="1:4" ht="12.5">
      <c r="A2498" s="186">
        <v>46168</v>
      </c>
      <c r="B2498" s="9">
        <v>7002623173</v>
      </c>
      <c r="C2498" s="9">
        <v>15</v>
      </c>
      <c r="D2498" s="9" t="s">
        <v>752</v>
      </c>
    </row>
    <row r="2499" spans="1:4" ht="12.5">
      <c r="A2499" s="186">
        <v>46168</v>
      </c>
      <c r="B2499" s="9">
        <v>7002623307</v>
      </c>
      <c r="C2499" s="9">
        <v>9</v>
      </c>
      <c r="D2499" s="9" t="s">
        <v>758</v>
      </c>
    </row>
    <row r="2500" spans="1:4" ht="12.5">
      <c r="A2500" s="186">
        <v>46168</v>
      </c>
      <c r="B2500" s="9">
        <v>7002623783</v>
      </c>
      <c r="C2500" s="9">
        <v>1</v>
      </c>
      <c r="D2500" s="9" t="s">
        <v>750</v>
      </c>
    </row>
    <row r="2501" spans="1:4" ht="12.5">
      <c r="A2501" s="186">
        <v>46168</v>
      </c>
      <c r="B2501" s="9">
        <v>7002624096</v>
      </c>
      <c r="C2501" s="9">
        <v>3</v>
      </c>
      <c r="D2501" s="9" t="s">
        <v>751</v>
      </c>
    </row>
    <row r="2502" spans="1:4" ht="12.5">
      <c r="A2502" s="186">
        <v>46168</v>
      </c>
      <c r="B2502" s="9">
        <v>7002624101</v>
      </c>
      <c r="C2502" s="9">
        <v>2</v>
      </c>
      <c r="D2502" s="9" t="s">
        <v>751</v>
      </c>
    </row>
    <row r="2503" spans="1:4" ht="12.5">
      <c r="A2503" s="186">
        <v>46168</v>
      </c>
      <c r="B2503" s="9">
        <v>7002624117</v>
      </c>
      <c r="C2503" s="9">
        <v>92</v>
      </c>
      <c r="D2503" s="9" t="s">
        <v>752</v>
      </c>
    </row>
    <row r="2504" spans="1:4" ht="12.5">
      <c r="A2504" s="186">
        <v>46168</v>
      </c>
      <c r="B2504" s="9">
        <v>7002624172</v>
      </c>
      <c r="C2504" s="9">
        <v>1</v>
      </c>
      <c r="D2504" s="9" t="s">
        <v>750</v>
      </c>
    </row>
    <row r="2505" spans="1:4" ht="12.5">
      <c r="A2505" s="186">
        <v>46168</v>
      </c>
      <c r="B2505" s="9">
        <v>7002624200</v>
      </c>
      <c r="C2505" s="9">
        <v>1</v>
      </c>
      <c r="D2505" s="9" t="s">
        <v>750</v>
      </c>
    </row>
    <row r="2506" spans="1:4" ht="12.5">
      <c r="A2506" s="186">
        <v>46168</v>
      </c>
      <c r="B2506" s="9">
        <v>7002624651</v>
      </c>
      <c r="C2506" s="9">
        <v>1</v>
      </c>
      <c r="D2506" s="9" t="s">
        <v>750</v>
      </c>
    </row>
    <row r="2507" spans="1:4" ht="12.5">
      <c r="A2507" s="186">
        <v>46168</v>
      </c>
      <c r="B2507" s="9">
        <v>7002624730</v>
      </c>
      <c r="C2507" s="9">
        <v>22</v>
      </c>
      <c r="D2507" s="9" t="s">
        <v>752</v>
      </c>
    </row>
    <row r="2508" spans="1:4" ht="12.5">
      <c r="A2508" s="186">
        <v>46168</v>
      </c>
      <c r="B2508" s="9">
        <v>7002625114</v>
      </c>
      <c r="C2508" s="9">
        <v>5</v>
      </c>
      <c r="D2508" s="9" t="s">
        <v>751</v>
      </c>
    </row>
    <row r="2509" spans="1:4" ht="12.5">
      <c r="A2509" s="186">
        <v>46168</v>
      </c>
      <c r="B2509" s="9">
        <v>7002625151</v>
      </c>
      <c r="C2509" s="9">
        <v>3</v>
      </c>
      <c r="D2509" s="9" t="s">
        <v>751</v>
      </c>
    </row>
    <row r="2510" spans="1:4" ht="12.5">
      <c r="A2510" s="186">
        <v>46168</v>
      </c>
      <c r="B2510" s="9">
        <v>7002625198</v>
      </c>
      <c r="C2510" s="9">
        <v>17</v>
      </c>
      <c r="D2510" s="9" t="s">
        <v>752</v>
      </c>
    </row>
    <row r="2511" spans="1:4" ht="12.5">
      <c r="A2511" s="186">
        <v>46168</v>
      </c>
      <c r="B2511" s="9">
        <v>7002625247</v>
      </c>
      <c r="C2511" s="9">
        <v>4</v>
      </c>
      <c r="D2511" s="9" t="s">
        <v>751</v>
      </c>
    </row>
    <row r="2512" spans="1:4" ht="12.5">
      <c r="A2512" s="186">
        <v>46168</v>
      </c>
      <c r="B2512" s="9">
        <v>7002625758</v>
      </c>
      <c r="C2512" s="9">
        <v>1</v>
      </c>
      <c r="D2512" s="9" t="s">
        <v>750</v>
      </c>
    </row>
    <row r="2513" spans="1:4" ht="12.5">
      <c r="A2513" s="186">
        <v>46168</v>
      </c>
      <c r="B2513" s="9">
        <v>7002625848</v>
      </c>
      <c r="C2513" s="9">
        <v>1</v>
      </c>
      <c r="D2513" s="9" t="s">
        <v>750</v>
      </c>
    </row>
    <row r="2514" spans="1:4" ht="12.5">
      <c r="A2514" s="186">
        <v>46168</v>
      </c>
      <c r="B2514" s="9">
        <v>7002625965</v>
      </c>
      <c r="C2514" s="9">
        <v>7</v>
      </c>
      <c r="D2514" s="9" t="s">
        <v>758</v>
      </c>
    </row>
    <row r="2515" spans="1:4" ht="12.5">
      <c r="A2515" s="186">
        <v>46168</v>
      </c>
      <c r="B2515" s="9">
        <v>7002626152</v>
      </c>
      <c r="C2515" s="9">
        <v>17</v>
      </c>
      <c r="D2515" s="9" t="s">
        <v>752</v>
      </c>
    </row>
    <row r="2516" spans="1:4" ht="12.5">
      <c r="A2516" s="186">
        <v>46168</v>
      </c>
      <c r="B2516" s="9">
        <v>7002626590</v>
      </c>
      <c r="C2516" s="9">
        <v>8</v>
      </c>
      <c r="D2516" s="9" t="s">
        <v>758</v>
      </c>
    </row>
    <row r="2517" spans="1:4" ht="12.5">
      <c r="A2517" s="186">
        <v>46168</v>
      </c>
      <c r="B2517" s="9">
        <v>7002626656</v>
      </c>
      <c r="C2517" s="9">
        <v>1</v>
      </c>
      <c r="D2517" s="9" t="s">
        <v>750</v>
      </c>
    </row>
    <row r="2518" spans="1:4" ht="12.5">
      <c r="A2518" s="186">
        <v>46168</v>
      </c>
      <c r="B2518" s="9">
        <v>7002626883</v>
      </c>
      <c r="C2518" s="9">
        <v>2</v>
      </c>
      <c r="D2518" s="9" t="s">
        <v>751</v>
      </c>
    </row>
    <row r="2519" spans="1:4" ht="12.5">
      <c r="A2519" s="186">
        <v>46168</v>
      </c>
      <c r="B2519" s="9">
        <v>7002627107</v>
      </c>
      <c r="C2519" s="9">
        <v>1</v>
      </c>
      <c r="D2519" s="9" t="s">
        <v>750</v>
      </c>
    </row>
    <row r="2520" spans="1:4" ht="12.5">
      <c r="A2520" s="186">
        <v>46168</v>
      </c>
      <c r="B2520" s="9">
        <v>7002627111</v>
      </c>
      <c r="C2520" s="9">
        <v>6</v>
      </c>
      <c r="D2520" s="9" t="s">
        <v>758</v>
      </c>
    </row>
    <row r="2521" spans="1:4" ht="12.5">
      <c r="A2521" s="186">
        <v>46168</v>
      </c>
      <c r="B2521" s="9">
        <v>7002627148</v>
      </c>
      <c r="C2521" s="9">
        <v>4</v>
      </c>
      <c r="D2521" s="9" t="s">
        <v>751</v>
      </c>
    </row>
    <row r="2522" spans="1:4" ht="12.5">
      <c r="A2522" s="186">
        <v>46168</v>
      </c>
      <c r="B2522" s="9">
        <v>7002627176</v>
      </c>
      <c r="C2522" s="9">
        <v>4</v>
      </c>
      <c r="D2522" s="9" t="s">
        <v>751</v>
      </c>
    </row>
    <row r="2523" spans="1:4" ht="12.5">
      <c r="A2523" s="186">
        <v>46168</v>
      </c>
      <c r="B2523" s="9">
        <v>7002627212</v>
      </c>
      <c r="C2523" s="9">
        <v>1</v>
      </c>
      <c r="D2523" s="9" t="s">
        <v>750</v>
      </c>
    </row>
    <row r="2524" spans="1:4" ht="12.5">
      <c r="A2524" s="186">
        <v>46168</v>
      </c>
      <c r="B2524" s="9">
        <v>7002627603</v>
      </c>
      <c r="C2524" s="9">
        <v>1</v>
      </c>
      <c r="D2524" s="9" t="s">
        <v>750</v>
      </c>
    </row>
    <row r="2525" spans="1:4" ht="12.5">
      <c r="A2525" s="186">
        <v>46168</v>
      </c>
      <c r="B2525" s="9">
        <v>7002627717</v>
      </c>
      <c r="C2525" s="9">
        <v>1</v>
      </c>
      <c r="D2525" s="9" t="s">
        <v>750</v>
      </c>
    </row>
    <row r="2526" spans="1:4" ht="12.5">
      <c r="A2526" s="186">
        <v>46168</v>
      </c>
      <c r="B2526" s="9">
        <v>7002628108</v>
      </c>
      <c r="C2526" s="9">
        <v>1</v>
      </c>
      <c r="D2526" s="9" t="s">
        <v>750</v>
      </c>
    </row>
    <row r="2527" spans="1:4" ht="12.5">
      <c r="A2527" s="186">
        <v>46168</v>
      </c>
      <c r="B2527" s="9">
        <v>7002628213</v>
      </c>
      <c r="C2527" s="9">
        <v>2</v>
      </c>
      <c r="D2527" s="9" t="s">
        <v>751</v>
      </c>
    </row>
    <row r="2528" spans="1:4" ht="12.5">
      <c r="A2528" s="186">
        <v>46168</v>
      </c>
      <c r="B2528" s="9">
        <v>7002628278</v>
      </c>
      <c r="C2528" s="9">
        <v>5</v>
      </c>
      <c r="D2528" s="9" t="s">
        <v>751</v>
      </c>
    </row>
    <row r="2529" spans="1:4" ht="12.5">
      <c r="A2529" s="186">
        <v>46168</v>
      </c>
      <c r="B2529" s="9">
        <v>7002628284</v>
      </c>
      <c r="C2529" s="9">
        <v>17</v>
      </c>
      <c r="D2529" s="9" t="s">
        <v>752</v>
      </c>
    </row>
    <row r="2530" spans="1:4" ht="12.5">
      <c r="A2530" s="186">
        <v>46168</v>
      </c>
      <c r="B2530" s="9">
        <v>7002628592</v>
      </c>
      <c r="C2530" s="9">
        <v>1</v>
      </c>
      <c r="D2530" s="9" t="s">
        <v>750</v>
      </c>
    </row>
    <row r="2531" spans="1:4" ht="12.5">
      <c r="A2531" s="186">
        <v>46168</v>
      </c>
      <c r="B2531" s="9">
        <v>7002628604</v>
      </c>
      <c r="C2531" s="9">
        <v>4</v>
      </c>
      <c r="D2531" s="9" t="s">
        <v>751</v>
      </c>
    </row>
    <row r="2532" spans="1:4" ht="12.5">
      <c r="A2532" s="186">
        <v>46168</v>
      </c>
      <c r="B2532" s="9">
        <v>7002628662</v>
      </c>
      <c r="C2532" s="9">
        <v>5</v>
      </c>
      <c r="D2532" s="9" t="s">
        <v>751</v>
      </c>
    </row>
    <row r="2533" spans="1:4" ht="12.5">
      <c r="A2533" s="186">
        <v>46168</v>
      </c>
      <c r="B2533" s="9">
        <v>7002629018</v>
      </c>
      <c r="C2533" s="9">
        <v>1</v>
      </c>
      <c r="D2533" s="9" t="s">
        <v>750</v>
      </c>
    </row>
    <row r="2534" spans="1:4" ht="12.5">
      <c r="A2534" s="186">
        <v>46168</v>
      </c>
      <c r="B2534" s="9">
        <v>7002629094</v>
      </c>
      <c r="C2534" s="9">
        <v>9</v>
      </c>
      <c r="D2534" s="9" t="s">
        <v>758</v>
      </c>
    </row>
    <row r="2535" spans="1:4" ht="12.5">
      <c r="A2535" s="186">
        <v>46168</v>
      </c>
      <c r="B2535" s="9">
        <v>7002629109</v>
      </c>
      <c r="C2535" s="9">
        <v>1</v>
      </c>
      <c r="D2535" s="9" t="s">
        <v>750</v>
      </c>
    </row>
    <row r="2536" spans="1:4" ht="12.5">
      <c r="A2536" s="186">
        <v>46168</v>
      </c>
      <c r="B2536" s="9">
        <v>7002629113</v>
      </c>
      <c r="C2536" s="9">
        <v>8</v>
      </c>
      <c r="D2536" s="9" t="s">
        <v>758</v>
      </c>
    </row>
    <row r="2537" spans="1:4" ht="12.5">
      <c r="A2537" s="186">
        <v>46168</v>
      </c>
      <c r="B2537" s="9">
        <v>7002629132</v>
      </c>
      <c r="C2537" s="9">
        <v>3</v>
      </c>
      <c r="D2537" s="9" t="s">
        <v>751</v>
      </c>
    </row>
    <row r="2538" spans="1:4" ht="12.5">
      <c r="A2538" s="186">
        <v>46168</v>
      </c>
      <c r="B2538" s="9">
        <v>7002629145</v>
      </c>
      <c r="C2538" s="9">
        <v>1</v>
      </c>
      <c r="D2538" s="9" t="s">
        <v>750</v>
      </c>
    </row>
    <row r="2539" spans="1:4" ht="12.5">
      <c r="A2539" s="186">
        <v>46168</v>
      </c>
      <c r="B2539" s="9">
        <v>7002629150</v>
      </c>
      <c r="C2539" s="9">
        <v>3</v>
      </c>
      <c r="D2539" s="9" t="s">
        <v>751</v>
      </c>
    </row>
    <row r="2540" spans="1:4" ht="12.5">
      <c r="A2540" s="186">
        <v>46168</v>
      </c>
      <c r="B2540" s="9">
        <v>7002630057</v>
      </c>
      <c r="C2540" s="9">
        <v>1</v>
      </c>
      <c r="D2540" s="9" t="s">
        <v>750</v>
      </c>
    </row>
    <row r="2541" spans="1:4" ht="12.5">
      <c r="A2541" s="186">
        <v>46168</v>
      </c>
      <c r="B2541" s="9">
        <v>7002638022</v>
      </c>
      <c r="C2541" s="9">
        <v>2</v>
      </c>
      <c r="D2541" s="9" t="s">
        <v>751</v>
      </c>
    </row>
    <row r="2542" spans="1:4" ht="12.5">
      <c r="A2542" s="191"/>
      <c r="D2542" s="136"/>
    </row>
    <row r="2543" spans="1:4" ht="12.5">
      <c r="A2543" s="186">
        <v>46169</v>
      </c>
      <c r="B2543" s="184">
        <v>7002442069</v>
      </c>
      <c r="C2543" s="184">
        <v>2</v>
      </c>
      <c r="D2543" s="9" t="s">
        <v>751</v>
      </c>
    </row>
    <row r="2544" spans="1:4" ht="12.5">
      <c r="A2544" s="186">
        <v>46169</v>
      </c>
      <c r="B2544" s="184">
        <v>7002445086</v>
      </c>
      <c r="C2544" s="184">
        <v>1</v>
      </c>
      <c r="D2544" s="9" t="s">
        <v>750</v>
      </c>
    </row>
    <row r="2545" spans="1:4" ht="12.5">
      <c r="A2545" s="186">
        <v>46169</v>
      </c>
      <c r="B2545" s="184">
        <v>7002449980</v>
      </c>
      <c r="C2545" s="184">
        <v>210</v>
      </c>
      <c r="D2545" s="9" t="s">
        <v>759</v>
      </c>
    </row>
    <row r="2546" spans="1:4" ht="12.5">
      <c r="A2546" s="186">
        <v>46169</v>
      </c>
      <c r="B2546" s="184">
        <v>7002463916</v>
      </c>
      <c r="C2546" s="184">
        <v>13</v>
      </c>
      <c r="D2546" s="9" t="s">
        <v>759</v>
      </c>
    </row>
    <row r="2547" spans="1:4" ht="12.5">
      <c r="A2547" s="186">
        <v>46169</v>
      </c>
      <c r="B2547" s="184">
        <v>7002467414</v>
      </c>
      <c r="C2547" s="184">
        <v>138</v>
      </c>
      <c r="D2547" s="9" t="s">
        <v>759</v>
      </c>
    </row>
    <row r="2548" spans="1:4" ht="12.5">
      <c r="A2548" s="186">
        <v>46169</v>
      </c>
      <c r="B2548" s="184">
        <v>7002473056</v>
      </c>
      <c r="C2548" s="184">
        <v>2</v>
      </c>
      <c r="D2548" s="9" t="s">
        <v>751</v>
      </c>
    </row>
    <row r="2549" spans="1:4" ht="12.5">
      <c r="A2549" s="186">
        <v>46169</v>
      </c>
      <c r="B2549" s="184">
        <v>7002483531</v>
      </c>
      <c r="C2549" s="184">
        <v>8</v>
      </c>
      <c r="D2549" s="9" t="s">
        <v>758</v>
      </c>
    </row>
    <row r="2550" spans="1:4" ht="12.5">
      <c r="A2550" s="186">
        <v>46169</v>
      </c>
      <c r="B2550" s="184">
        <v>7002487616</v>
      </c>
      <c r="C2550" s="184">
        <v>8</v>
      </c>
      <c r="D2550" s="9" t="s">
        <v>758</v>
      </c>
    </row>
    <row r="2551" spans="1:4" ht="12.5">
      <c r="A2551" s="186">
        <v>46169</v>
      </c>
      <c r="B2551" s="184">
        <v>7002488954</v>
      </c>
      <c r="C2551" s="184">
        <v>3</v>
      </c>
      <c r="D2551" s="9" t="s">
        <v>751</v>
      </c>
    </row>
    <row r="2552" spans="1:4" ht="12.5">
      <c r="A2552" s="186">
        <v>46169</v>
      </c>
      <c r="B2552" s="184">
        <v>7002492932</v>
      </c>
      <c r="C2552" s="184">
        <v>3</v>
      </c>
      <c r="D2552" s="9" t="s">
        <v>751</v>
      </c>
    </row>
    <row r="2553" spans="1:4" ht="12.5">
      <c r="A2553" s="186">
        <v>46169</v>
      </c>
      <c r="B2553" s="184">
        <v>7002497665</v>
      </c>
      <c r="C2553" s="184">
        <v>2</v>
      </c>
      <c r="D2553" s="9" t="s">
        <v>751</v>
      </c>
    </row>
    <row r="2554" spans="1:4" ht="12.5">
      <c r="A2554" s="186">
        <v>46169</v>
      </c>
      <c r="B2554" s="184">
        <v>7002498508</v>
      </c>
      <c r="C2554" s="184">
        <v>6</v>
      </c>
      <c r="D2554" s="9" t="s">
        <v>758</v>
      </c>
    </row>
    <row r="2555" spans="1:4" ht="12.5">
      <c r="A2555" s="186">
        <v>46169</v>
      </c>
      <c r="B2555" s="184">
        <v>7002499054</v>
      </c>
      <c r="C2555" s="184">
        <v>5</v>
      </c>
      <c r="D2555" s="9" t="s">
        <v>751</v>
      </c>
    </row>
    <row r="2556" spans="1:4" ht="12.5">
      <c r="A2556" s="186">
        <v>46169</v>
      </c>
      <c r="B2556" s="184">
        <v>7002499487</v>
      </c>
      <c r="C2556" s="184">
        <v>2</v>
      </c>
      <c r="D2556" s="9" t="s">
        <v>751</v>
      </c>
    </row>
    <row r="2557" spans="1:4" ht="12.5">
      <c r="A2557" s="186">
        <v>46169</v>
      </c>
      <c r="B2557" s="184">
        <v>7002502007</v>
      </c>
      <c r="C2557" s="184">
        <v>37</v>
      </c>
      <c r="D2557" s="9" t="s">
        <v>759</v>
      </c>
    </row>
    <row r="2558" spans="1:4" ht="12.5">
      <c r="A2558" s="186">
        <v>46169</v>
      </c>
      <c r="B2558" s="184">
        <v>7002505947</v>
      </c>
      <c r="C2558" s="184">
        <v>17</v>
      </c>
      <c r="D2558" s="9" t="s">
        <v>759</v>
      </c>
    </row>
    <row r="2559" spans="1:4" ht="12.5">
      <c r="A2559" s="186">
        <v>46169</v>
      </c>
      <c r="B2559" s="184">
        <v>7002506279</v>
      </c>
      <c r="C2559" s="184">
        <v>7</v>
      </c>
      <c r="D2559" s="9" t="s">
        <v>758</v>
      </c>
    </row>
    <row r="2560" spans="1:4" ht="12.5">
      <c r="A2560" s="186">
        <v>46169</v>
      </c>
      <c r="B2560" s="184">
        <v>7002506953</v>
      </c>
      <c r="C2560" s="184">
        <v>2</v>
      </c>
      <c r="D2560" s="9" t="s">
        <v>751</v>
      </c>
    </row>
    <row r="2561" spans="1:4" ht="12.5">
      <c r="A2561" s="186">
        <v>46169</v>
      </c>
      <c r="B2561" s="184">
        <v>7002506969</v>
      </c>
      <c r="C2561" s="184">
        <v>7</v>
      </c>
      <c r="D2561" s="9" t="s">
        <v>758</v>
      </c>
    </row>
    <row r="2562" spans="1:4" ht="12.5">
      <c r="A2562" s="186">
        <v>46169</v>
      </c>
      <c r="B2562" s="184">
        <v>7002507908</v>
      </c>
      <c r="C2562" s="184">
        <v>1</v>
      </c>
      <c r="D2562" s="9" t="s">
        <v>750</v>
      </c>
    </row>
    <row r="2563" spans="1:4" ht="12.5">
      <c r="A2563" s="186">
        <v>46169</v>
      </c>
      <c r="B2563" s="184">
        <v>7002509558</v>
      </c>
      <c r="C2563" s="184">
        <v>23</v>
      </c>
      <c r="D2563" s="9" t="s">
        <v>759</v>
      </c>
    </row>
    <row r="2564" spans="1:4" ht="12.5">
      <c r="A2564" s="186">
        <v>46169</v>
      </c>
      <c r="B2564" s="184">
        <v>7002511410</v>
      </c>
      <c r="C2564" s="184">
        <v>2</v>
      </c>
      <c r="D2564" s="9" t="s">
        <v>751</v>
      </c>
    </row>
    <row r="2565" spans="1:4" ht="12.5">
      <c r="A2565" s="186">
        <v>46169</v>
      </c>
      <c r="B2565" s="184">
        <v>7002512070</v>
      </c>
      <c r="C2565" s="184">
        <v>1</v>
      </c>
      <c r="D2565" s="9" t="s">
        <v>750</v>
      </c>
    </row>
    <row r="2566" spans="1:4" ht="12.5">
      <c r="A2566" s="186">
        <v>46169</v>
      </c>
      <c r="B2566" s="184">
        <v>7002513074</v>
      </c>
      <c r="C2566" s="184">
        <v>4</v>
      </c>
      <c r="D2566" s="9" t="s">
        <v>751</v>
      </c>
    </row>
    <row r="2567" spans="1:4" ht="12.5">
      <c r="A2567" s="186">
        <v>46169</v>
      </c>
      <c r="B2567" s="184">
        <v>7002513133</v>
      </c>
      <c r="C2567" s="184">
        <v>2</v>
      </c>
      <c r="D2567" s="9" t="s">
        <v>751</v>
      </c>
    </row>
    <row r="2568" spans="1:4" ht="12.5">
      <c r="A2568" s="186">
        <v>46169</v>
      </c>
      <c r="B2568" s="184">
        <v>7002513445</v>
      </c>
      <c r="C2568" s="184">
        <v>5</v>
      </c>
      <c r="D2568" s="9" t="s">
        <v>751</v>
      </c>
    </row>
    <row r="2569" spans="1:4" ht="12.5">
      <c r="A2569" s="186">
        <v>46169</v>
      </c>
      <c r="B2569" s="184">
        <v>7002515382</v>
      </c>
      <c r="C2569" s="184">
        <v>65</v>
      </c>
      <c r="D2569" s="9" t="s">
        <v>759</v>
      </c>
    </row>
    <row r="2570" spans="1:4" ht="12.5">
      <c r="A2570" s="186">
        <v>46169</v>
      </c>
      <c r="B2570" s="184">
        <v>7002517332</v>
      </c>
      <c r="C2570" s="184">
        <v>3</v>
      </c>
      <c r="D2570" s="9" t="s">
        <v>751</v>
      </c>
    </row>
    <row r="2571" spans="1:4" ht="12.5">
      <c r="A2571" s="186">
        <v>46169</v>
      </c>
      <c r="B2571" s="184">
        <v>7002519193</v>
      </c>
      <c r="C2571" s="184">
        <v>12</v>
      </c>
      <c r="D2571" s="9" t="s">
        <v>759</v>
      </c>
    </row>
    <row r="2572" spans="1:4" ht="12.5">
      <c r="A2572" s="186">
        <v>46169</v>
      </c>
      <c r="B2572" s="184">
        <v>7002523891</v>
      </c>
      <c r="C2572" s="184">
        <v>4</v>
      </c>
      <c r="D2572" s="9" t="s">
        <v>751</v>
      </c>
    </row>
    <row r="2573" spans="1:4" ht="12.5">
      <c r="A2573" s="186">
        <v>46169</v>
      </c>
      <c r="B2573" s="184">
        <v>7002524159</v>
      </c>
      <c r="C2573" s="184">
        <v>2</v>
      </c>
      <c r="D2573" s="9" t="s">
        <v>751</v>
      </c>
    </row>
    <row r="2574" spans="1:4" ht="12.5">
      <c r="A2574" s="186">
        <v>46169</v>
      </c>
      <c r="B2574" s="184">
        <v>7002525792</v>
      </c>
      <c r="C2574" s="184">
        <v>2</v>
      </c>
      <c r="D2574" s="9" t="s">
        <v>751</v>
      </c>
    </row>
    <row r="2575" spans="1:4" ht="12.5">
      <c r="A2575" s="186">
        <v>46169</v>
      </c>
      <c r="B2575" s="184">
        <v>7002526063</v>
      </c>
      <c r="C2575" s="184">
        <v>5</v>
      </c>
      <c r="D2575" s="9" t="s">
        <v>751</v>
      </c>
    </row>
    <row r="2576" spans="1:4" ht="12.5">
      <c r="A2576" s="186">
        <v>46169</v>
      </c>
      <c r="B2576" s="184">
        <v>7002530761</v>
      </c>
      <c r="C2576" s="184">
        <v>9</v>
      </c>
      <c r="D2576" s="9" t="s">
        <v>758</v>
      </c>
    </row>
    <row r="2577" spans="1:4" ht="12.5">
      <c r="A2577" s="186">
        <v>46169</v>
      </c>
      <c r="B2577" s="184">
        <v>7002531814</v>
      </c>
      <c r="C2577" s="184">
        <v>25</v>
      </c>
      <c r="D2577" s="9" t="s">
        <v>759</v>
      </c>
    </row>
    <row r="2578" spans="1:4" ht="12.5">
      <c r="A2578" s="186">
        <v>46169</v>
      </c>
      <c r="B2578" s="184">
        <v>7002533590</v>
      </c>
      <c r="C2578" s="184">
        <v>2</v>
      </c>
      <c r="D2578" s="9" t="s">
        <v>751</v>
      </c>
    </row>
    <row r="2579" spans="1:4" ht="12.5">
      <c r="A2579" s="186">
        <v>46169</v>
      </c>
      <c r="B2579" s="184">
        <v>7002533849</v>
      </c>
      <c r="C2579" s="184">
        <v>3</v>
      </c>
      <c r="D2579" s="9" t="s">
        <v>751</v>
      </c>
    </row>
    <row r="2580" spans="1:4" ht="12.5">
      <c r="A2580" s="186">
        <v>46169</v>
      </c>
      <c r="B2580" s="184">
        <v>7002533877</v>
      </c>
      <c r="C2580" s="184">
        <v>1</v>
      </c>
      <c r="D2580" s="9" t="s">
        <v>750</v>
      </c>
    </row>
    <row r="2581" spans="1:4" ht="12.5">
      <c r="A2581" s="186">
        <v>46169</v>
      </c>
      <c r="B2581" s="184">
        <v>7002534895</v>
      </c>
      <c r="C2581" s="184">
        <v>34</v>
      </c>
      <c r="D2581" s="9" t="s">
        <v>759</v>
      </c>
    </row>
    <row r="2582" spans="1:4" ht="12.5">
      <c r="A2582" s="186">
        <v>46169</v>
      </c>
      <c r="B2582" s="184">
        <v>7002535049</v>
      </c>
      <c r="C2582" s="184">
        <v>1</v>
      </c>
      <c r="D2582" s="9" t="s">
        <v>750</v>
      </c>
    </row>
    <row r="2583" spans="1:4" ht="12.5">
      <c r="A2583" s="186">
        <v>46169</v>
      </c>
      <c r="B2583" s="184">
        <v>7002535753</v>
      </c>
      <c r="C2583" s="184">
        <v>10</v>
      </c>
      <c r="D2583" s="9" t="s">
        <v>758</v>
      </c>
    </row>
    <row r="2584" spans="1:4" ht="12.5">
      <c r="A2584" s="186">
        <v>46169</v>
      </c>
      <c r="B2584" s="184">
        <v>7002536097</v>
      </c>
      <c r="C2584" s="184">
        <v>4</v>
      </c>
      <c r="D2584" s="9" t="s">
        <v>751</v>
      </c>
    </row>
    <row r="2585" spans="1:4" ht="12.5">
      <c r="A2585" s="186">
        <v>46169</v>
      </c>
      <c r="B2585" s="184">
        <v>7002536490</v>
      </c>
      <c r="C2585" s="184">
        <v>18</v>
      </c>
      <c r="D2585" s="9" t="s">
        <v>759</v>
      </c>
    </row>
    <row r="2586" spans="1:4" ht="12.5">
      <c r="A2586" s="186">
        <v>46169</v>
      </c>
      <c r="B2586" s="184">
        <v>7002537135</v>
      </c>
      <c r="C2586" s="184">
        <v>5</v>
      </c>
      <c r="D2586" s="9" t="s">
        <v>751</v>
      </c>
    </row>
    <row r="2587" spans="1:4" ht="12.5">
      <c r="A2587" s="186">
        <v>46169</v>
      </c>
      <c r="B2587" s="184">
        <v>7002537829</v>
      </c>
      <c r="C2587" s="184">
        <v>12</v>
      </c>
      <c r="D2587" s="9" t="s">
        <v>759</v>
      </c>
    </row>
    <row r="2588" spans="1:4" ht="12.5">
      <c r="A2588" s="186">
        <v>46169</v>
      </c>
      <c r="B2588" s="184">
        <v>7002538569</v>
      </c>
      <c r="C2588" s="184">
        <v>1</v>
      </c>
      <c r="D2588" s="9" t="s">
        <v>750</v>
      </c>
    </row>
    <row r="2589" spans="1:4" ht="12.5">
      <c r="A2589" s="186">
        <v>46169</v>
      </c>
      <c r="B2589" s="184">
        <v>7002538841</v>
      </c>
      <c r="C2589" s="184">
        <v>29</v>
      </c>
      <c r="D2589" s="9" t="s">
        <v>759</v>
      </c>
    </row>
    <row r="2590" spans="1:4" ht="12.5">
      <c r="A2590" s="186">
        <v>46169</v>
      </c>
      <c r="B2590" s="184">
        <v>7002538856</v>
      </c>
      <c r="C2590" s="184">
        <v>1</v>
      </c>
      <c r="D2590" s="9" t="s">
        <v>750</v>
      </c>
    </row>
    <row r="2591" spans="1:4" ht="12.5">
      <c r="A2591" s="186">
        <v>46169</v>
      </c>
      <c r="B2591" s="184">
        <v>7002539333</v>
      </c>
      <c r="C2591" s="184">
        <v>7</v>
      </c>
      <c r="D2591" s="9" t="s">
        <v>758</v>
      </c>
    </row>
    <row r="2592" spans="1:4" ht="12.5">
      <c r="A2592" s="186">
        <v>46169</v>
      </c>
      <c r="B2592" s="184">
        <v>7002539987</v>
      </c>
      <c r="C2592" s="184">
        <v>19</v>
      </c>
      <c r="D2592" s="9" t="s">
        <v>759</v>
      </c>
    </row>
    <row r="2593" spans="1:4" ht="12.5">
      <c r="A2593" s="186">
        <v>46169</v>
      </c>
      <c r="B2593" s="184">
        <v>7002542279</v>
      </c>
      <c r="C2593" s="184">
        <v>1</v>
      </c>
      <c r="D2593" s="9" t="s">
        <v>750</v>
      </c>
    </row>
    <row r="2594" spans="1:4" ht="12.5">
      <c r="A2594" s="186">
        <v>46169</v>
      </c>
      <c r="B2594" s="184">
        <v>7002545191</v>
      </c>
      <c r="C2594" s="184">
        <v>1</v>
      </c>
      <c r="D2594" s="9" t="s">
        <v>750</v>
      </c>
    </row>
    <row r="2595" spans="1:4" ht="12.5">
      <c r="A2595" s="186">
        <v>46169</v>
      </c>
      <c r="B2595" s="184">
        <v>7002546960</v>
      </c>
      <c r="C2595" s="184">
        <v>6</v>
      </c>
      <c r="D2595" s="9" t="s">
        <v>758</v>
      </c>
    </row>
    <row r="2596" spans="1:4" ht="12.5">
      <c r="A2596" s="186">
        <v>46169</v>
      </c>
      <c r="B2596" s="184">
        <v>7002547228</v>
      </c>
      <c r="C2596" s="184">
        <v>1</v>
      </c>
      <c r="D2596" s="9" t="s">
        <v>750</v>
      </c>
    </row>
    <row r="2597" spans="1:4" ht="12.5">
      <c r="A2597" s="186">
        <v>46169</v>
      </c>
      <c r="B2597" s="184">
        <v>7002550354</v>
      </c>
      <c r="C2597" s="184">
        <v>5</v>
      </c>
      <c r="D2597" s="9" t="s">
        <v>751</v>
      </c>
    </row>
    <row r="2598" spans="1:4" ht="12.5">
      <c r="A2598" s="186">
        <v>46169</v>
      </c>
      <c r="B2598" s="184">
        <v>7002551194</v>
      </c>
      <c r="C2598" s="184">
        <v>3</v>
      </c>
      <c r="D2598" s="9" t="s">
        <v>751</v>
      </c>
    </row>
    <row r="2599" spans="1:4" ht="12.5">
      <c r="A2599" s="186">
        <v>46169</v>
      </c>
      <c r="B2599" s="184">
        <v>7002553116</v>
      </c>
      <c r="C2599" s="184">
        <v>3</v>
      </c>
      <c r="D2599" s="9" t="s">
        <v>751</v>
      </c>
    </row>
    <row r="2600" spans="1:4" ht="12.5">
      <c r="A2600" s="186">
        <v>46169</v>
      </c>
      <c r="B2600" s="184">
        <v>7002553314</v>
      </c>
      <c r="C2600" s="184">
        <v>2</v>
      </c>
      <c r="D2600" s="9" t="s">
        <v>751</v>
      </c>
    </row>
    <row r="2601" spans="1:4" ht="12.5">
      <c r="A2601" s="186">
        <v>46169</v>
      </c>
      <c r="B2601" s="184">
        <v>7002554099</v>
      </c>
      <c r="C2601" s="184">
        <v>3</v>
      </c>
      <c r="D2601" s="9" t="s">
        <v>751</v>
      </c>
    </row>
    <row r="2602" spans="1:4" ht="12.5">
      <c r="A2602" s="186">
        <v>46169</v>
      </c>
      <c r="B2602" s="184">
        <v>7002554400</v>
      </c>
      <c r="C2602" s="184">
        <v>150</v>
      </c>
      <c r="D2602" s="9" t="s">
        <v>759</v>
      </c>
    </row>
    <row r="2603" spans="1:4" ht="12.5">
      <c r="A2603" s="186">
        <v>46169</v>
      </c>
      <c r="B2603" s="184">
        <v>7002557094</v>
      </c>
      <c r="C2603" s="184">
        <v>2</v>
      </c>
      <c r="D2603" s="9" t="s">
        <v>751</v>
      </c>
    </row>
    <row r="2604" spans="1:4" ht="12.5">
      <c r="A2604" s="186">
        <v>46169</v>
      </c>
      <c r="B2604" s="184">
        <v>7002558210</v>
      </c>
      <c r="C2604" s="184">
        <v>1</v>
      </c>
      <c r="D2604" s="9" t="s">
        <v>750</v>
      </c>
    </row>
    <row r="2605" spans="1:4" ht="12.5">
      <c r="A2605" s="186">
        <v>46169</v>
      </c>
      <c r="B2605" s="184">
        <v>7002559984</v>
      </c>
      <c r="C2605" s="184">
        <v>23</v>
      </c>
      <c r="D2605" s="9" t="s">
        <v>759</v>
      </c>
    </row>
    <row r="2606" spans="1:4" ht="12.5">
      <c r="A2606" s="186">
        <v>46169</v>
      </c>
      <c r="B2606" s="184">
        <v>7002561168</v>
      </c>
      <c r="C2606" s="184">
        <v>10</v>
      </c>
      <c r="D2606" s="9" t="s">
        <v>758</v>
      </c>
    </row>
    <row r="2607" spans="1:4" ht="12.5">
      <c r="A2607" s="186">
        <v>46169</v>
      </c>
      <c r="B2607" s="184">
        <v>7002564303</v>
      </c>
      <c r="C2607" s="184">
        <v>7</v>
      </c>
      <c r="D2607" s="9" t="s">
        <v>758</v>
      </c>
    </row>
    <row r="2608" spans="1:4" ht="12.5">
      <c r="A2608" s="186">
        <v>46169</v>
      </c>
      <c r="B2608" s="184">
        <v>7002564495</v>
      </c>
      <c r="C2608" s="184">
        <v>3</v>
      </c>
      <c r="D2608" s="9" t="s">
        <v>751</v>
      </c>
    </row>
    <row r="2609" spans="1:4" ht="12.5">
      <c r="A2609" s="186">
        <v>46169</v>
      </c>
      <c r="B2609" s="184">
        <v>7002564537</v>
      </c>
      <c r="C2609" s="184">
        <v>1</v>
      </c>
      <c r="D2609" s="9" t="s">
        <v>750</v>
      </c>
    </row>
    <row r="2610" spans="1:4" ht="12.5">
      <c r="A2610" s="186">
        <v>46169</v>
      </c>
      <c r="B2610" s="184">
        <v>7002565506</v>
      </c>
      <c r="C2610" s="184">
        <v>1</v>
      </c>
      <c r="D2610" s="9" t="s">
        <v>750</v>
      </c>
    </row>
    <row r="2611" spans="1:4" ht="12.5">
      <c r="A2611" s="186">
        <v>46169</v>
      </c>
      <c r="B2611" s="184">
        <v>7002566779</v>
      </c>
      <c r="C2611" s="184">
        <v>1</v>
      </c>
      <c r="D2611" s="9" t="s">
        <v>750</v>
      </c>
    </row>
    <row r="2612" spans="1:4" ht="12.5">
      <c r="A2612" s="186">
        <v>46169</v>
      </c>
      <c r="B2612" s="184">
        <v>7002567048</v>
      </c>
      <c r="C2612" s="184">
        <v>48</v>
      </c>
      <c r="D2612" s="9" t="s">
        <v>759</v>
      </c>
    </row>
    <row r="2613" spans="1:4" ht="12.5">
      <c r="A2613" s="186">
        <v>46169</v>
      </c>
      <c r="B2613" s="184">
        <v>7002567596</v>
      </c>
      <c r="C2613" s="184">
        <v>3</v>
      </c>
      <c r="D2613" s="9" t="s">
        <v>751</v>
      </c>
    </row>
    <row r="2614" spans="1:4" ht="12.5">
      <c r="A2614" s="186">
        <v>46169</v>
      </c>
      <c r="B2614" s="184">
        <v>7002568263</v>
      </c>
      <c r="C2614" s="184">
        <v>10</v>
      </c>
      <c r="D2614" s="9" t="s">
        <v>758</v>
      </c>
    </row>
    <row r="2615" spans="1:4" ht="12.5">
      <c r="A2615" s="186">
        <v>46169</v>
      </c>
      <c r="B2615" s="184">
        <v>7002568584</v>
      </c>
      <c r="C2615" s="184">
        <v>2</v>
      </c>
      <c r="D2615" s="9" t="s">
        <v>751</v>
      </c>
    </row>
    <row r="2616" spans="1:4" ht="12.5">
      <c r="A2616" s="186">
        <v>46169</v>
      </c>
      <c r="B2616" s="184">
        <v>7002569229</v>
      </c>
      <c r="C2616" s="184">
        <v>1</v>
      </c>
      <c r="D2616" s="9" t="s">
        <v>750</v>
      </c>
    </row>
    <row r="2617" spans="1:4" ht="12.5">
      <c r="A2617" s="186">
        <v>46169</v>
      </c>
      <c r="B2617" s="184">
        <v>7002569353</v>
      </c>
      <c r="C2617" s="184">
        <v>2</v>
      </c>
      <c r="D2617" s="9" t="s">
        <v>751</v>
      </c>
    </row>
    <row r="2618" spans="1:4" ht="12.5">
      <c r="A2618" s="186">
        <v>46169</v>
      </c>
      <c r="B2618" s="184">
        <v>7002569712</v>
      </c>
      <c r="C2618" s="184">
        <v>1</v>
      </c>
      <c r="D2618" s="9" t="s">
        <v>750</v>
      </c>
    </row>
    <row r="2619" spans="1:4" ht="12.5">
      <c r="A2619" s="186">
        <v>46169</v>
      </c>
      <c r="B2619" s="184">
        <v>7002570460</v>
      </c>
      <c r="C2619" s="184">
        <v>3</v>
      </c>
      <c r="D2619" s="9" t="s">
        <v>751</v>
      </c>
    </row>
    <row r="2620" spans="1:4" ht="12.5">
      <c r="A2620" s="186">
        <v>46169</v>
      </c>
      <c r="B2620" s="184">
        <v>7002570843</v>
      </c>
      <c r="C2620" s="184">
        <v>2</v>
      </c>
      <c r="D2620" s="9" t="s">
        <v>751</v>
      </c>
    </row>
    <row r="2621" spans="1:4" ht="12.5">
      <c r="A2621" s="186">
        <v>46169</v>
      </c>
      <c r="B2621" s="184">
        <v>7002571305</v>
      </c>
      <c r="C2621" s="184">
        <v>1</v>
      </c>
      <c r="D2621" s="9" t="s">
        <v>750</v>
      </c>
    </row>
    <row r="2622" spans="1:4" ht="12.5">
      <c r="A2622" s="186">
        <v>46169</v>
      </c>
      <c r="B2622" s="184">
        <v>7002571583</v>
      </c>
      <c r="C2622" s="184">
        <v>2</v>
      </c>
      <c r="D2622" s="9" t="s">
        <v>751</v>
      </c>
    </row>
    <row r="2623" spans="1:4" ht="12.5">
      <c r="A2623" s="186">
        <v>46169</v>
      </c>
      <c r="B2623" s="184">
        <v>7002571775</v>
      </c>
      <c r="C2623" s="184">
        <v>1</v>
      </c>
      <c r="D2623" s="9" t="s">
        <v>750</v>
      </c>
    </row>
    <row r="2624" spans="1:4" ht="12.5">
      <c r="A2624" s="186">
        <v>46169</v>
      </c>
      <c r="B2624" s="184">
        <v>7002571861</v>
      </c>
      <c r="C2624" s="184">
        <v>3</v>
      </c>
      <c r="D2624" s="9" t="s">
        <v>751</v>
      </c>
    </row>
    <row r="2625" spans="1:4" ht="12.5">
      <c r="A2625" s="186">
        <v>46169</v>
      </c>
      <c r="B2625" s="184">
        <v>7002573320</v>
      </c>
      <c r="C2625" s="184">
        <v>1</v>
      </c>
      <c r="D2625" s="9" t="s">
        <v>750</v>
      </c>
    </row>
    <row r="2626" spans="1:4" ht="12.5">
      <c r="A2626" s="186">
        <v>46169</v>
      </c>
      <c r="B2626" s="184">
        <v>7002574457</v>
      </c>
      <c r="C2626" s="184">
        <v>3</v>
      </c>
      <c r="D2626" s="9" t="s">
        <v>751</v>
      </c>
    </row>
    <row r="2627" spans="1:4" ht="12.5">
      <c r="A2627" s="186">
        <v>46169</v>
      </c>
      <c r="B2627" s="184">
        <v>7002575757</v>
      </c>
      <c r="C2627" s="184">
        <v>20</v>
      </c>
      <c r="D2627" s="9" t="s">
        <v>759</v>
      </c>
    </row>
    <row r="2628" spans="1:4" ht="12.5">
      <c r="A2628" s="186">
        <v>46169</v>
      </c>
      <c r="B2628" s="184">
        <v>7002576876</v>
      </c>
      <c r="C2628" s="184">
        <v>1</v>
      </c>
      <c r="D2628" s="9" t="s">
        <v>750</v>
      </c>
    </row>
    <row r="2629" spans="1:4" ht="12.5">
      <c r="A2629" s="186">
        <v>46169</v>
      </c>
      <c r="B2629" s="184">
        <v>7002577728</v>
      </c>
      <c r="C2629" s="184">
        <v>2</v>
      </c>
      <c r="D2629" s="9" t="s">
        <v>751</v>
      </c>
    </row>
    <row r="2630" spans="1:4" ht="12.5">
      <c r="A2630" s="186">
        <v>46169</v>
      </c>
      <c r="B2630" s="184">
        <v>7002577785</v>
      </c>
      <c r="C2630" s="184">
        <v>1</v>
      </c>
      <c r="D2630" s="9" t="s">
        <v>750</v>
      </c>
    </row>
    <row r="2631" spans="1:4" ht="12.5">
      <c r="A2631" s="186">
        <v>46169</v>
      </c>
      <c r="B2631" s="184">
        <v>7002578786</v>
      </c>
      <c r="C2631" s="184">
        <v>27</v>
      </c>
      <c r="D2631" s="9" t="s">
        <v>759</v>
      </c>
    </row>
    <row r="2632" spans="1:4" ht="12.5">
      <c r="A2632" s="186">
        <v>46169</v>
      </c>
      <c r="B2632" s="184">
        <v>7002579773</v>
      </c>
      <c r="C2632" s="184">
        <v>1</v>
      </c>
      <c r="D2632" s="9" t="s">
        <v>750</v>
      </c>
    </row>
    <row r="2633" spans="1:4" ht="12.5">
      <c r="A2633" s="186">
        <v>46169</v>
      </c>
      <c r="B2633" s="184">
        <v>7002582822</v>
      </c>
      <c r="C2633" s="184">
        <v>6</v>
      </c>
      <c r="D2633" s="9" t="s">
        <v>758</v>
      </c>
    </row>
    <row r="2634" spans="1:4" ht="12.5">
      <c r="A2634" s="186">
        <v>46169</v>
      </c>
      <c r="B2634" s="184">
        <v>7002594707</v>
      </c>
      <c r="C2634" s="184">
        <v>10</v>
      </c>
      <c r="D2634" s="9" t="s">
        <v>758</v>
      </c>
    </row>
    <row r="2635" spans="1:4" ht="12.5">
      <c r="A2635" s="186">
        <v>46169</v>
      </c>
      <c r="B2635" s="184">
        <v>7002594988</v>
      </c>
      <c r="C2635" s="184">
        <v>34</v>
      </c>
      <c r="D2635" s="9" t="s">
        <v>759</v>
      </c>
    </row>
    <row r="2636" spans="1:4" ht="12.5">
      <c r="A2636" s="186">
        <v>46169</v>
      </c>
      <c r="B2636" s="184">
        <v>7002595727</v>
      </c>
      <c r="C2636" s="184">
        <v>29</v>
      </c>
      <c r="D2636" s="9" t="s">
        <v>759</v>
      </c>
    </row>
    <row r="2637" spans="1:4" ht="12.5">
      <c r="A2637" s="186">
        <v>46169</v>
      </c>
      <c r="B2637" s="184">
        <v>7002601032</v>
      </c>
      <c r="C2637" s="184">
        <v>44</v>
      </c>
      <c r="D2637" s="9" t="s">
        <v>759</v>
      </c>
    </row>
    <row r="2638" spans="1:4" ht="12.5">
      <c r="A2638" s="186">
        <v>46169</v>
      </c>
      <c r="B2638" s="184">
        <v>7002608432</v>
      </c>
      <c r="C2638" s="184">
        <v>17</v>
      </c>
      <c r="D2638" s="9" t="s">
        <v>759</v>
      </c>
    </row>
    <row r="2639" spans="1:4" ht="12.5">
      <c r="A2639" s="186">
        <v>46169</v>
      </c>
      <c r="B2639" s="184">
        <v>7002610343</v>
      </c>
      <c r="C2639" s="184">
        <v>2</v>
      </c>
      <c r="D2639" s="9" t="s">
        <v>751</v>
      </c>
    </row>
    <row r="2640" spans="1:4" ht="12.5">
      <c r="A2640" s="186">
        <v>46169</v>
      </c>
      <c r="B2640" s="184">
        <v>7002610358</v>
      </c>
      <c r="C2640" s="184">
        <v>1</v>
      </c>
      <c r="D2640" s="9" t="s">
        <v>750</v>
      </c>
    </row>
    <row r="2641" spans="1:4" ht="12.5">
      <c r="A2641" s="186">
        <v>46169</v>
      </c>
      <c r="B2641" s="184">
        <v>7002610362</v>
      </c>
      <c r="C2641" s="184">
        <v>1</v>
      </c>
      <c r="D2641" s="9" t="s">
        <v>750</v>
      </c>
    </row>
    <row r="2642" spans="1:4" ht="12.5">
      <c r="A2642" s="186">
        <v>46169</v>
      </c>
      <c r="B2642" s="184">
        <v>7002610586</v>
      </c>
      <c r="C2642" s="184">
        <v>2</v>
      </c>
      <c r="D2642" s="9" t="s">
        <v>751</v>
      </c>
    </row>
    <row r="2643" spans="1:4" ht="12.5">
      <c r="A2643" s="186">
        <v>46169</v>
      </c>
      <c r="B2643" s="184">
        <v>7002611585</v>
      </c>
      <c r="C2643" s="184">
        <v>2</v>
      </c>
      <c r="D2643" s="9" t="s">
        <v>751</v>
      </c>
    </row>
    <row r="2644" spans="1:4" ht="12.5">
      <c r="A2644" s="186">
        <v>46169</v>
      </c>
      <c r="B2644" s="184">
        <v>7002612195</v>
      </c>
      <c r="C2644" s="184">
        <v>1</v>
      </c>
      <c r="D2644" s="9" t="s">
        <v>750</v>
      </c>
    </row>
    <row r="2645" spans="1:4" ht="12.5">
      <c r="A2645" s="186">
        <v>46169</v>
      </c>
      <c r="B2645" s="184">
        <v>7002612360</v>
      </c>
      <c r="C2645" s="184">
        <v>17</v>
      </c>
      <c r="D2645" s="9" t="s">
        <v>759</v>
      </c>
    </row>
    <row r="2646" spans="1:4" ht="12.5">
      <c r="A2646" s="186">
        <v>46169</v>
      </c>
      <c r="B2646" s="184">
        <v>7002614167</v>
      </c>
      <c r="C2646" s="184">
        <v>23</v>
      </c>
      <c r="D2646" s="9" t="s">
        <v>759</v>
      </c>
    </row>
    <row r="2647" spans="1:4" ht="12.5">
      <c r="A2647" s="186">
        <v>46169</v>
      </c>
      <c r="B2647" s="184">
        <v>7002614206</v>
      </c>
      <c r="C2647" s="184">
        <v>3</v>
      </c>
      <c r="D2647" s="9" t="s">
        <v>751</v>
      </c>
    </row>
    <row r="2648" spans="1:4" ht="12.5">
      <c r="A2648" s="186">
        <v>46169</v>
      </c>
      <c r="B2648" s="184">
        <v>7002614573</v>
      </c>
      <c r="C2648" s="184">
        <v>2</v>
      </c>
      <c r="D2648" s="9" t="s">
        <v>751</v>
      </c>
    </row>
    <row r="2649" spans="1:4" ht="12.5">
      <c r="A2649" s="186">
        <v>46169</v>
      </c>
      <c r="B2649" s="184">
        <v>7002614664</v>
      </c>
      <c r="C2649" s="184">
        <v>1</v>
      </c>
      <c r="D2649" s="9" t="s">
        <v>750</v>
      </c>
    </row>
    <row r="2650" spans="1:4" ht="12.5">
      <c r="A2650" s="186">
        <v>46169</v>
      </c>
      <c r="B2650" s="184">
        <v>7002614996</v>
      </c>
      <c r="C2650" s="184">
        <v>1</v>
      </c>
      <c r="D2650" s="9" t="s">
        <v>750</v>
      </c>
    </row>
    <row r="2651" spans="1:4" ht="12.5">
      <c r="A2651" s="186">
        <v>46169</v>
      </c>
      <c r="B2651" s="184">
        <v>7002615200</v>
      </c>
      <c r="C2651" s="184">
        <v>51</v>
      </c>
      <c r="D2651" s="9" t="s">
        <v>759</v>
      </c>
    </row>
    <row r="2652" spans="1:4" ht="12.5">
      <c r="A2652" s="186">
        <v>46169</v>
      </c>
      <c r="B2652" s="184">
        <v>7002615259</v>
      </c>
      <c r="C2652" s="184">
        <v>4</v>
      </c>
      <c r="D2652" s="9" t="s">
        <v>751</v>
      </c>
    </row>
    <row r="2653" spans="1:4" ht="12.5">
      <c r="A2653" s="186">
        <v>46169</v>
      </c>
      <c r="B2653" s="184">
        <v>7002616229</v>
      </c>
      <c r="C2653" s="184">
        <v>1</v>
      </c>
      <c r="D2653" s="9" t="s">
        <v>750</v>
      </c>
    </row>
    <row r="2654" spans="1:4" ht="12.5">
      <c r="A2654" s="186">
        <v>46169</v>
      </c>
      <c r="B2654" s="184">
        <v>7002617287</v>
      </c>
      <c r="C2654" s="184">
        <v>2</v>
      </c>
      <c r="D2654" s="9" t="s">
        <v>751</v>
      </c>
    </row>
    <row r="2655" spans="1:4" ht="12.5">
      <c r="A2655" s="186">
        <v>46169</v>
      </c>
      <c r="B2655" s="184">
        <v>7002617404</v>
      </c>
      <c r="C2655" s="184">
        <v>13</v>
      </c>
      <c r="D2655" s="9" t="s">
        <v>759</v>
      </c>
    </row>
    <row r="2656" spans="1:4" ht="12.5">
      <c r="A2656" s="186">
        <v>46169</v>
      </c>
      <c r="B2656" s="184">
        <v>7002617669</v>
      </c>
      <c r="C2656" s="184">
        <v>1</v>
      </c>
      <c r="D2656" s="9" t="s">
        <v>750</v>
      </c>
    </row>
    <row r="2657" spans="1:4" ht="12.5">
      <c r="A2657" s="186">
        <v>46169</v>
      </c>
      <c r="B2657" s="184">
        <v>7002618257</v>
      </c>
      <c r="C2657" s="184">
        <v>11</v>
      </c>
      <c r="D2657" s="9" t="s">
        <v>759</v>
      </c>
    </row>
    <row r="2658" spans="1:4" ht="12.5">
      <c r="A2658" s="186">
        <v>46169</v>
      </c>
      <c r="B2658" s="184">
        <v>7002618378</v>
      </c>
      <c r="C2658" s="184">
        <v>3</v>
      </c>
      <c r="D2658" s="9" t="s">
        <v>751</v>
      </c>
    </row>
    <row r="2659" spans="1:4" ht="12.5">
      <c r="A2659" s="186">
        <v>46169</v>
      </c>
      <c r="B2659" s="184">
        <v>7002618649</v>
      </c>
      <c r="C2659" s="184">
        <v>1</v>
      </c>
      <c r="D2659" s="9" t="s">
        <v>750</v>
      </c>
    </row>
    <row r="2660" spans="1:4" ht="12.5">
      <c r="A2660" s="186">
        <v>46169</v>
      </c>
      <c r="B2660" s="184">
        <v>7002618654</v>
      </c>
      <c r="C2660" s="184">
        <v>1</v>
      </c>
      <c r="D2660" s="9" t="s">
        <v>750</v>
      </c>
    </row>
    <row r="2661" spans="1:4" ht="12.5">
      <c r="A2661" s="186">
        <v>46169</v>
      </c>
      <c r="B2661" s="184">
        <v>7002619171</v>
      </c>
      <c r="C2661" s="184">
        <v>3</v>
      </c>
      <c r="D2661" s="9" t="s">
        <v>751</v>
      </c>
    </row>
    <row r="2662" spans="1:4" ht="12.5">
      <c r="A2662" s="186">
        <v>46169</v>
      </c>
      <c r="B2662" s="184">
        <v>7002620128</v>
      </c>
      <c r="C2662" s="184">
        <v>5</v>
      </c>
      <c r="D2662" s="9" t="s">
        <v>751</v>
      </c>
    </row>
    <row r="2663" spans="1:4" ht="12.5">
      <c r="A2663" s="186">
        <v>46169</v>
      </c>
      <c r="B2663" s="184">
        <v>7002620185</v>
      </c>
      <c r="C2663" s="184">
        <v>3</v>
      </c>
      <c r="D2663" s="9" t="s">
        <v>751</v>
      </c>
    </row>
    <row r="2664" spans="1:4" ht="12.5">
      <c r="A2664" s="186">
        <v>46169</v>
      </c>
      <c r="B2664" s="184">
        <v>7002620204</v>
      </c>
      <c r="C2664" s="184">
        <v>7</v>
      </c>
      <c r="D2664" s="9" t="s">
        <v>758</v>
      </c>
    </row>
    <row r="2665" spans="1:4" ht="12.5">
      <c r="A2665" s="186">
        <v>46169</v>
      </c>
      <c r="B2665" s="184">
        <v>7002621099</v>
      </c>
      <c r="C2665" s="184">
        <v>4</v>
      </c>
      <c r="D2665" s="9" t="s">
        <v>751</v>
      </c>
    </row>
    <row r="2666" spans="1:4" ht="12.5">
      <c r="A2666" s="186">
        <v>46169</v>
      </c>
      <c r="B2666" s="184">
        <v>7002621127</v>
      </c>
      <c r="C2666" s="184">
        <v>3</v>
      </c>
      <c r="D2666" s="9" t="s">
        <v>751</v>
      </c>
    </row>
    <row r="2667" spans="1:4" ht="12.5">
      <c r="A2667" s="186">
        <v>46169</v>
      </c>
      <c r="B2667" s="184">
        <v>7002621203</v>
      </c>
      <c r="C2667" s="184">
        <v>13</v>
      </c>
      <c r="D2667" s="9" t="s">
        <v>759</v>
      </c>
    </row>
    <row r="2668" spans="1:4" ht="12.5">
      <c r="A2668" s="186">
        <v>46169</v>
      </c>
      <c r="B2668" s="184">
        <v>7002621274</v>
      </c>
      <c r="C2668" s="184">
        <v>8</v>
      </c>
      <c r="D2668" s="9" t="s">
        <v>758</v>
      </c>
    </row>
    <row r="2669" spans="1:4" ht="12.5">
      <c r="A2669" s="186">
        <v>46169</v>
      </c>
      <c r="B2669" s="184">
        <v>7002621608</v>
      </c>
      <c r="C2669" s="184">
        <v>2</v>
      </c>
      <c r="D2669" s="9" t="s">
        <v>751</v>
      </c>
    </row>
    <row r="2670" spans="1:4" ht="12.5">
      <c r="A2670" s="186">
        <v>46169</v>
      </c>
      <c r="B2670" s="184">
        <v>7002622119</v>
      </c>
      <c r="C2670" s="184">
        <v>2</v>
      </c>
      <c r="D2670" s="9" t="s">
        <v>751</v>
      </c>
    </row>
    <row r="2671" spans="1:4" ht="12.5">
      <c r="A2671" s="186">
        <v>46169</v>
      </c>
      <c r="B2671" s="184">
        <v>7002622126</v>
      </c>
      <c r="C2671" s="184">
        <v>27</v>
      </c>
      <c r="D2671" s="9" t="s">
        <v>759</v>
      </c>
    </row>
    <row r="2672" spans="1:4" ht="12.5">
      <c r="A2672" s="186">
        <v>46169</v>
      </c>
      <c r="B2672" s="184">
        <v>7002622188</v>
      </c>
      <c r="C2672" s="184">
        <v>12</v>
      </c>
      <c r="D2672" s="9" t="s">
        <v>759</v>
      </c>
    </row>
    <row r="2673" spans="1:4" ht="12.5">
      <c r="A2673" s="186">
        <v>46169</v>
      </c>
      <c r="B2673" s="184">
        <v>7002622190</v>
      </c>
      <c r="C2673" s="184">
        <v>4</v>
      </c>
      <c r="D2673" s="9" t="s">
        <v>751</v>
      </c>
    </row>
    <row r="2674" spans="1:4" ht="12.5">
      <c r="A2674" s="186">
        <v>46169</v>
      </c>
      <c r="B2674" s="184">
        <v>7002622202</v>
      </c>
      <c r="C2674" s="184">
        <v>9</v>
      </c>
      <c r="D2674" s="9" t="s">
        <v>758</v>
      </c>
    </row>
    <row r="2675" spans="1:4" ht="12.5">
      <c r="A2675" s="186">
        <v>46169</v>
      </c>
      <c r="B2675" s="184">
        <v>7002622239</v>
      </c>
      <c r="C2675" s="184">
        <v>5</v>
      </c>
      <c r="D2675" s="9" t="s">
        <v>751</v>
      </c>
    </row>
    <row r="2676" spans="1:4" ht="12.5">
      <c r="A2676" s="186">
        <v>46169</v>
      </c>
      <c r="B2676" s="184">
        <v>7002623369</v>
      </c>
      <c r="C2676" s="184">
        <v>1</v>
      </c>
      <c r="D2676" s="9" t="s">
        <v>750</v>
      </c>
    </row>
    <row r="2677" spans="1:4" ht="12.5">
      <c r="A2677" s="186">
        <v>46169</v>
      </c>
      <c r="B2677" s="184">
        <v>7002624155</v>
      </c>
      <c r="C2677" s="184">
        <v>2</v>
      </c>
      <c r="D2677" s="9" t="s">
        <v>751</v>
      </c>
    </row>
    <row r="2678" spans="1:4" ht="12.5">
      <c r="A2678" s="186">
        <v>46169</v>
      </c>
      <c r="B2678" s="184">
        <v>7002624186</v>
      </c>
      <c r="C2678" s="184">
        <v>2</v>
      </c>
      <c r="D2678" s="9" t="s">
        <v>751</v>
      </c>
    </row>
    <row r="2679" spans="1:4" ht="12.5">
      <c r="A2679" s="186">
        <v>46169</v>
      </c>
      <c r="B2679" s="184">
        <v>7002625122</v>
      </c>
      <c r="C2679" s="184">
        <v>7</v>
      </c>
      <c r="D2679" s="9" t="s">
        <v>758</v>
      </c>
    </row>
    <row r="2680" spans="1:4" ht="12.5">
      <c r="A2680" s="186">
        <v>46169</v>
      </c>
      <c r="B2680" s="184">
        <v>7002625133</v>
      </c>
      <c r="C2680" s="184">
        <v>2</v>
      </c>
      <c r="D2680" s="9" t="s">
        <v>751</v>
      </c>
    </row>
    <row r="2681" spans="1:4" ht="12.5">
      <c r="A2681" s="186">
        <v>46169</v>
      </c>
      <c r="B2681" s="184">
        <v>7002625179</v>
      </c>
      <c r="C2681" s="184">
        <v>12</v>
      </c>
      <c r="D2681" s="9" t="s">
        <v>759</v>
      </c>
    </row>
    <row r="2682" spans="1:4" ht="12.5">
      <c r="A2682" s="186">
        <v>46169</v>
      </c>
      <c r="B2682" s="184">
        <v>7002625206</v>
      </c>
      <c r="C2682" s="184">
        <v>4</v>
      </c>
      <c r="D2682" s="9" t="s">
        <v>751</v>
      </c>
    </row>
    <row r="2683" spans="1:4" ht="12.5">
      <c r="A2683" s="186">
        <v>46169</v>
      </c>
      <c r="B2683" s="184">
        <v>7002625210</v>
      </c>
      <c r="C2683" s="184">
        <v>8</v>
      </c>
      <c r="D2683" s="9" t="s">
        <v>758</v>
      </c>
    </row>
    <row r="2684" spans="1:4" ht="12.5">
      <c r="A2684" s="186">
        <v>46169</v>
      </c>
      <c r="B2684" s="184">
        <v>7002626123</v>
      </c>
      <c r="C2684" s="184">
        <v>6</v>
      </c>
      <c r="D2684" s="9" t="s">
        <v>758</v>
      </c>
    </row>
    <row r="2685" spans="1:4" ht="12.5">
      <c r="A2685" s="186">
        <v>46169</v>
      </c>
      <c r="B2685" s="184">
        <v>7002626147</v>
      </c>
      <c r="C2685" s="184">
        <v>3</v>
      </c>
      <c r="D2685" s="9" t="s">
        <v>751</v>
      </c>
    </row>
    <row r="2686" spans="1:4" ht="12.5">
      <c r="A2686" s="186">
        <v>46169</v>
      </c>
      <c r="B2686" s="184">
        <v>7002626207</v>
      </c>
      <c r="C2686" s="184">
        <v>5</v>
      </c>
      <c r="D2686" s="9" t="s">
        <v>751</v>
      </c>
    </row>
    <row r="2687" spans="1:4" ht="12.5">
      <c r="A2687" s="186">
        <v>46169</v>
      </c>
      <c r="B2687" s="184">
        <v>7002626656</v>
      </c>
      <c r="C2687" s="184">
        <v>1</v>
      </c>
      <c r="D2687" s="9" t="s">
        <v>750</v>
      </c>
    </row>
    <row r="2688" spans="1:4" ht="12.5">
      <c r="A2688" s="186">
        <v>46169</v>
      </c>
      <c r="B2688" s="184">
        <v>7002627130</v>
      </c>
      <c r="C2688" s="184">
        <v>4</v>
      </c>
      <c r="D2688" s="9" t="s">
        <v>751</v>
      </c>
    </row>
    <row r="2689" spans="1:4" ht="12.5">
      <c r="A2689" s="186">
        <v>46169</v>
      </c>
      <c r="B2689" s="184">
        <v>7002627208</v>
      </c>
      <c r="C2689" s="184">
        <v>72</v>
      </c>
      <c r="D2689" s="9" t="s">
        <v>759</v>
      </c>
    </row>
    <row r="2690" spans="1:4" ht="12.5">
      <c r="A2690" s="186">
        <v>46169</v>
      </c>
      <c r="B2690" s="184">
        <v>7002627543</v>
      </c>
      <c r="C2690" s="184">
        <v>1</v>
      </c>
      <c r="D2690" s="9" t="s">
        <v>750</v>
      </c>
    </row>
    <row r="2691" spans="1:4" ht="12.5">
      <c r="A2691" s="186">
        <v>46169</v>
      </c>
      <c r="B2691" s="184">
        <v>7002627589</v>
      </c>
      <c r="C2691" s="184">
        <v>4</v>
      </c>
      <c r="D2691" s="9" t="s">
        <v>751</v>
      </c>
    </row>
    <row r="2692" spans="1:4" ht="12.5">
      <c r="A2692" s="186">
        <v>46169</v>
      </c>
      <c r="B2692" s="184">
        <v>7002628209</v>
      </c>
      <c r="C2692" s="184">
        <v>4</v>
      </c>
      <c r="D2692" s="9" t="s">
        <v>751</v>
      </c>
    </row>
    <row r="2693" spans="1:4" ht="12.5">
      <c r="A2693" s="186">
        <v>46169</v>
      </c>
      <c r="B2693" s="184">
        <v>7002629205</v>
      </c>
      <c r="C2693" s="184">
        <v>4</v>
      </c>
      <c r="D2693" s="9" t="s">
        <v>751</v>
      </c>
    </row>
    <row r="2694" spans="1:4" ht="12.5">
      <c r="A2694" s="186">
        <v>46169</v>
      </c>
      <c r="B2694" s="184">
        <v>7002630432</v>
      </c>
      <c r="C2694" s="184">
        <v>1</v>
      </c>
      <c r="D2694" s="9" t="s">
        <v>750</v>
      </c>
    </row>
    <row r="2695" spans="1:4" ht="12.5">
      <c r="A2695" s="186">
        <v>46169</v>
      </c>
      <c r="B2695" s="184">
        <v>7002630484</v>
      </c>
      <c r="C2695" s="184">
        <v>1</v>
      </c>
      <c r="D2695" s="9" t="s">
        <v>750</v>
      </c>
    </row>
    <row r="2696" spans="1:4" ht="12.5">
      <c r="A2696" s="186">
        <v>46169</v>
      </c>
      <c r="B2696" s="184">
        <v>7002630556</v>
      </c>
      <c r="C2696" s="184">
        <v>4</v>
      </c>
      <c r="D2696" s="9" t="s">
        <v>751</v>
      </c>
    </row>
    <row r="2697" spans="1:4" ht="12.5">
      <c r="A2697" s="186">
        <v>46169</v>
      </c>
      <c r="B2697" s="184">
        <v>7002630693</v>
      </c>
      <c r="C2697" s="184">
        <v>3</v>
      </c>
      <c r="D2697" s="9" t="s">
        <v>751</v>
      </c>
    </row>
    <row r="2698" spans="1:4" ht="12.5">
      <c r="A2698" s="186">
        <v>46169</v>
      </c>
      <c r="B2698" s="184">
        <v>7002630912</v>
      </c>
      <c r="C2698" s="184">
        <v>1</v>
      </c>
      <c r="D2698" s="9" t="s">
        <v>750</v>
      </c>
    </row>
    <row r="2699" spans="1:4" ht="12.5">
      <c r="A2699" s="186">
        <v>46169</v>
      </c>
      <c r="B2699" s="184">
        <v>7002631113</v>
      </c>
      <c r="C2699" s="184">
        <v>90</v>
      </c>
      <c r="D2699" s="9" t="s">
        <v>759</v>
      </c>
    </row>
    <row r="2700" spans="1:4" ht="12.5">
      <c r="A2700" s="186">
        <v>46169</v>
      </c>
      <c r="B2700" s="184">
        <v>7002631222</v>
      </c>
      <c r="C2700" s="184">
        <v>1</v>
      </c>
      <c r="D2700" s="9" t="s">
        <v>750</v>
      </c>
    </row>
    <row r="2701" spans="1:4" ht="12.5">
      <c r="A2701" s="186">
        <v>46169</v>
      </c>
      <c r="B2701" s="184">
        <v>7002631408</v>
      </c>
      <c r="C2701" s="184">
        <v>30</v>
      </c>
      <c r="D2701" s="9" t="s">
        <v>759</v>
      </c>
    </row>
    <row r="2702" spans="1:4" ht="12.5">
      <c r="A2702" s="186">
        <v>46169</v>
      </c>
      <c r="B2702" s="184">
        <v>7002631449</v>
      </c>
      <c r="C2702" s="184">
        <v>1</v>
      </c>
      <c r="D2702" s="9" t="s">
        <v>750</v>
      </c>
    </row>
    <row r="2703" spans="1:4" ht="12.5">
      <c r="A2703" s="186">
        <v>46169</v>
      </c>
      <c r="B2703" s="184">
        <v>7002631538</v>
      </c>
      <c r="C2703" s="184">
        <v>5</v>
      </c>
      <c r="D2703" s="9" t="s">
        <v>751</v>
      </c>
    </row>
    <row r="2704" spans="1:4" ht="12.5">
      <c r="A2704" s="186">
        <v>46169</v>
      </c>
      <c r="B2704" s="184">
        <v>7002631685</v>
      </c>
      <c r="C2704" s="184">
        <v>3</v>
      </c>
      <c r="D2704" s="9" t="s">
        <v>751</v>
      </c>
    </row>
    <row r="2705" spans="1:4" ht="12.5">
      <c r="A2705" s="186">
        <v>46169</v>
      </c>
      <c r="B2705" s="184">
        <v>7002631907</v>
      </c>
      <c r="C2705" s="184">
        <v>1</v>
      </c>
      <c r="D2705" s="9" t="s">
        <v>750</v>
      </c>
    </row>
    <row r="2706" spans="1:4" ht="12.5">
      <c r="A2706" s="186">
        <v>46169</v>
      </c>
      <c r="B2706" s="184">
        <v>7002632154</v>
      </c>
      <c r="C2706" s="184">
        <v>3</v>
      </c>
      <c r="D2706" s="9" t="s">
        <v>751</v>
      </c>
    </row>
    <row r="2707" spans="1:4" ht="12.5">
      <c r="A2707" s="186">
        <v>46169</v>
      </c>
      <c r="B2707" s="184">
        <v>7002632476</v>
      </c>
      <c r="C2707" s="184">
        <v>1</v>
      </c>
      <c r="D2707" s="9" t="s">
        <v>750</v>
      </c>
    </row>
    <row r="2708" spans="1:4" ht="12.5">
      <c r="A2708" s="186">
        <v>46169</v>
      </c>
      <c r="B2708" s="184">
        <v>7002632756</v>
      </c>
      <c r="C2708" s="184">
        <v>6</v>
      </c>
      <c r="D2708" s="9" t="s">
        <v>758</v>
      </c>
    </row>
    <row r="2709" spans="1:4" ht="12.5">
      <c r="A2709" s="186">
        <v>46169</v>
      </c>
      <c r="B2709" s="184">
        <v>7002632906</v>
      </c>
      <c r="C2709" s="184">
        <v>1</v>
      </c>
      <c r="D2709" s="9" t="s">
        <v>750</v>
      </c>
    </row>
    <row r="2710" spans="1:4" ht="12.5">
      <c r="A2710" s="186">
        <v>46169</v>
      </c>
      <c r="B2710" s="184">
        <v>7002632910</v>
      </c>
      <c r="C2710" s="184">
        <v>1</v>
      </c>
      <c r="D2710" s="9" t="s">
        <v>750</v>
      </c>
    </row>
    <row r="2711" spans="1:4" ht="12.5">
      <c r="A2711" s="186">
        <v>46169</v>
      </c>
      <c r="B2711" s="184">
        <v>7002632923</v>
      </c>
      <c r="C2711" s="184">
        <v>1</v>
      </c>
      <c r="D2711" s="9" t="s">
        <v>750</v>
      </c>
    </row>
    <row r="2712" spans="1:4" ht="12.5">
      <c r="A2712" s="186">
        <v>46169</v>
      </c>
      <c r="B2712" s="184">
        <v>7002633092</v>
      </c>
      <c r="C2712" s="184">
        <v>1</v>
      </c>
      <c r="D2712" s="9" t="s">
        <v>750</v>
      </c>
    </row>
    <row r="2713" spans="1:4" ht="12.5">
      <c r="A2713" s="186">
        <v>46169</v>
      </c>
      <c r="B2713" s="184">
        <v>7002633195</v>
      </c>
      <c r="C2713" s="184">
        <v>2</v>
      </c>
      <c r="D2713" s="9" t="s">
        <v>751</v>
      </c>
    </row>
    <row r="2714" spans="1:4" ht="12.5">
      <c r="A2714" s="186">
        <v>46169</v>
      </c>
      <c r="B2714" s="184">
        <v>7002633296</v>
      </c>
      <c r="C2714" s="184">
        <v>25</v>
      </c>
      <c r="D2714" s="9" t="s">
        <v>759</v>
      </c>
    </row>
    <row r="2715" spans="1:4" ht="12.5">
      <c r="A2715" s="186">
        <v>46169</v>
      </c>
      <c r="B2715" s="184">
        <v>7002633570</v>
      </c>
      <c r="C2715" s="184">
        <v>1</v>
      </c>
      <c r="D2715" s="9" t="s">
        <v>750</v>
      </c>
    </row>
    <row r="2716" spans="1:4" ht="12.5">
      <c r="A2716" s="186">
        <v>46169</v>
      </c>
      <c r="B2716" s="184">
        <v>7002633884</v>
      </c>
      <c r="C2716" s="184">
        <v>3</v>
      </c>
      <c r="D2716" s="9" t="s">
        <v>751</v>
      </c>
    </row>
    <row r="2717" spans="1:4" ht="12.5">
      <c r="A2717" s="186">
        <v>46169</v>
      </c>
      <c r="B2717" s="184">
        <v>7002633905</v>
      </c>
      <c r="C2717" s="184">
        <v>1</v>
      </c>
      <c r="D2717" s="9" t="s">
        <v>750</v>
      </c>
    </row>
    <row r="2718" spans="1:4" ht="12.5">
      <c r="A2718" s="186">
        <v>46169</v>
      </c>
      <c r="B2718" s="184">
        <v>7002633914</v>
      </c>
      <c r="C2718" s="184">
        <v>10</v>
      </c>
      <c r="D2718" s="9" t="s">
        <v>758</v>
      </c>
    </row>
    <row r="2719" spans="1:4" ht="12.5">
      <c r="A2719" s="186">
        <v>46169</v>
      </c>
      <c r="B2719" s="184">
        <v>7002633922</v>
      </c>
      <c r="C2719" s="184">
        <v>3</v>
      </c>
      <c r="D2719" s="9" t="s">
        <v>751</v>
      </c>
    </row>
    <row r="2720" spans="1:4" ht="12.5">
      <c r="A2720" s="186">
        <v>46169</v>
      </c>
      <c r="B2720" s="184">
        <v>7002634134</v>
      </c>
      <c r="C2720" s="184">
        <v>81</v>
      </c>
      <c r="D2720" s="9" t="s">
        <v>759</v>
      </c>
    </row>
    <row r="2721" spans="1:4" ht="12.5">
      <c r="A2721" s="186">
        <v>46169</v>
      </c>
      <c r="B2721" s="184">
        <v>7002634152</v>
      </c>
      <c r="C2721" s="184">
        <v>85</v>
      </c>
      <c r="D2721" s="9" t="s">
        <v>759</v>
      </c>
    </row>
    <row r="2722" spans="1:4" ht="12.5">
      <c r="A2722" s="186">
        <v>46169</v>
      </c>
      <c r="B2722" s="184">
        <v>7002634248</v>
      </c>
      <c r="C2722" s="184">
        <v>4</v>
      </c>
      <c r="D2722" s="9" t="s">
        <v>751</v>
      </c>
    </row>
    <row r="2723" spans="1:4" ht="12.5">
      <c r="A2723" s="186">
        <v>46169</v>
      </c>
      <c r="B2723" s="184">
        <v>7002634498</v>
      </c>
      <c r="C2723" s="184">
        <v>1</v>
      </c>
      <c r="D2723" s="9" t="s">
        <v>750</v>
      </c>
    </row>
    <row r="2724" spans="1:4" ht="12.5">
      <c r="A2724" s="186">
        <v>46169</v>
      </c>
      <c r="B2724" s="184">
        <v>7002634700</v>
      </c>
      <c r="C2724" s="184">
        <v>3</v>
      </c>
      <c r="D2724" s="9" t="s">
        <v>751</v>
      </c>
    </row>
    <row r="2725" spans="1:4" ht="12.5">
      <c r="A2725" s="186">
        <v>46169</v>
      </c>
      <c r="B2725" s="184">
        <v>7002634865</v>
      </c>
      <c r="C2725" s="184">
        <v>1</v>
      </c>
      <c r="D2725" s="9" t="s">
        <v>750</v>
      </c>
    </row>
    <row r="2726" spans="1:4" ht="12.5">
      <c r="A2726" s="186">
        <v>46169</v>
      </c>
      <c r="B2726" s="184">
        <v>7002634883</v>
      </c>
      <c r="C2726" s="184">
        <v>5</v>
      </c>
      <c r="D2726" s="9" t="s">
        <v>751</v>
      </c>
    </row>
    <row r="2727" spans="1:4" ht="12.5">
      <c r="A2727" s="186">
        <v>46169</v>
      </c>
      <c r="B2727" s="184">
        <v>7002634921</v>
      </c>
      <c r="C2727" s="184">
        <v>2</v>
      </c>
      <c r="D2727" s="9" t="s">
        <v>751</v>
      </c>
    </row>
    <row r="2728" spans="1:4" ht="12.5">
      <c r="A2728" s="186">
        <v>46169</v>
      </c>
      <c r="B2728" s="184">
        <v>7002634932</v>
      </c>
      <c r="C2728" s="184">
        <v>10</v>
      </c>
      <c r="D2728" s="9" t="s">
        <v>758</v>
      </c>
    </row>
    <row r="2729" spans="1:4" ht="12.5">
      <c r="A2729" s="186">
        <v>46169</v>
      </c>
      <c r="B2729" s="184">
        <v>7002635137</v>
      </c>
      <c r="C2729" s="184">
        <v>2</v>
      </c>
      <c r="D2729" s="9" t="s">
        <v>751</v>
      </c>
    </row>
    <row r="2730" spans="1:4" ht="12.5">
      <c r="A2730" s="186">
        <v>46169</v>
      </c>
      <c r="B2730" s="184">
        <v>7002635305</v>
      </c>
      <c r="C2730" s="184">
        <v>1</v>
      </c>
      <c r="D2730" s="9" t="s">
        <v>750</v>
      </c>
    </row>
    <row r="2731" spans="1:4" ht="12.5">
      <c r="A2731" s="186">
        <v>46169</v>
      </c>
      <c r="B2731" s="184">
        <v>7002635706</v>
      </c>
      <c r="C2731" s="184">
        <v>4</v>
      </c>
      <c r="D2731" s="9" t="s">
        <v>751</v>
      </c>
    </row>
    <row r="2732" spans="1:4" ht="12.5">
      <c r="A2732" s="186">
        <v>46169</v>
      </c>
      <c r="B2732" s="184">
        <v>7002635902</v>
      </c>
      <c r="C2732" s="184">
        <v>11</v>
      </c>
      <c r="D2732" s="9" t="s">
        <v>759</v>
      </c>
    </row>
    <row r="2733" spans="1:4" ht="12.5">
      <c r="A2733" s="186">
        <v>46169</v>
      </c>
      <c r="B2733" s="184">
        <v>7002636129</v>
      </c>
      <c r="C2733" s="184">
        <v>15</v>
      </c>
      <c r="D2733" s="9" t="s">
        <v>759</v>
      </c>
    </row>
    <row r="2734" spans="1:4" ht="12.5">
      <c r="A2734" s="186">
        <v>46169</v>
      </c>
      <c r="B2734" s="184">
        <v>7002636140</v>
      </c>
      <c r="C2734" s="184">
        <v>3</v>
      </c>
      <c r="D2734" s="9" t="s">
        <v>751</v>
      </c>
    </row>
    <row r="2735" spans="1:4" ht="12.5">
      <c r="A2735" s="186">
        <v>46169</v>
      </c>
      <c r="B2735" s="184">
        <v>7002636155</v>
      </c>
      <c r="C2735" s="184">
        <v>25</v>
      </c>
      <c r="D2735" s="9" t="s">
        <v>759</v>
      </c>
    </row>
    <row r="2736" spans="1:4" ht="12.5">
      <c r="A2736" s="186">
        <v>46169</v>
      </c>
      <c r="B2736" s="184">
        <v>7002636776</v>
      </c>
      <c r="C2736" s="184">
        <v>4</v>
      </c>
      <c r="D2736" s="9" t="s">
        <v>751</v>
      </c>
    </row>
    <row r="2737" spans="1:4" ht="12.5">
      <c r="A2737" s="186">
        <v>46169</v>
      </c>
      <c r="B2737" s="184">
        <v>7002636862</v>
      </c>
      <c r="C2737" s="184">
        <v>2</v>
      </c>
      <c r="D2737" s="9" t="s">
        <v>751</v>
      </c>
    </row>
    <row r="2738" spans="1:4" ht="12.5">
      <c r="A2738" s="186">
        <v>46169</v>
      </c>
      <c r="B2738" s="184">
        <v>7002636891</v>
      </c>
      <c r="C2738" s="184">
        <v>12</v>
      </c>
      <c r="D2738" s="9" t="s">
        <v>759</v>
      </c>
    </row>
    <row r="2739" spans="1:4" ht="12.5">
      <c r="A2739" s="186">
        <v>46169</v>
      </c>
      <c r="B2739" s="184">
        <v>7002636903</v>
      </c>
      <c r="C2739" s="184">
        <v>2</v>
      </c>
      <c r="D2739" s="9" t="s">
        <v>751</v>
      </c>
    </row>
    <row r="2740" spans="1:4" ht="12.5">
      <c r="A2740" s="186">
        <v>46169</v>
      </c>
      <c r="B2740" s="184">
        <v>7002636926</v>
      </c>
      <c r="C2740" s="184">
        <v>8</v>
      </c>
      <c r="D2740" s="9" t="s">
        <v>758</v>
      </c>
    </row>
    <row r="2741" spans="1:4" ht="12.5">
      <c r="A2741" s="186">
        <v>46169</v>
      </c>
      <c r="B2741" s="184">
        <v>7002637156</v>
      </c>
      <c r="C2741" s="184">
        <v>11</v>
      </c>
      <c r="D2741" s="9" t="s">
        <v>759</v>
      </c>
    </row>
    <row r="2742" spans="1:4" ht="12.5">
      <c r="A2742" s="186">
        <v>46169</v>
      </c>
      <c r="B2742" s="184">
        <v>7002637311</v>
      </c>
      <c r="C2742" s="184">
        <v>1</v>
      </c>
      <c r="D2742" s="9" t="s">
        <v>750</v>
      </c>
    </row>
    <row r="2743" spans="1:4" ht="12.5">
      <c r="A2743" s="186">
        <v>46169</v>
      </c>
      <c r="B2743" s="184">
        <v>7002637474</v>
      </c>
      <c r="C2743" s="184">
        <v>1</v>
      </c>
      <c r="D2743" s="9" t="s">
        <v>750</v>
      </c>
    </row>
    <row r="2744" spans="1:4" ht="12.5">
      <c r="A2744" s="186">
        <v>46169</v>
      </c>
      <c r="B2744" s="184">
        <v>7002637606</v>
      </c>
      <c r="C2744" s="184">
        <v>1</v>
      </c>
      <c r="D2744" s="9" t="s">
        <v>750</v>
      </c>
    </row>
    <row r="2745" spans="1:4" ht="12.5">
      <c r="A2745" s="186">
        <v>46169</v>
      </c>
      <c r="B2745" s="184">
        <v>7002637904</v>
      </c>
      <c r="C2745" s="184">
        <v>1</v>
      </c>
      <c r="D2745" s="9" t="s">
        <v>750</v>
      </c>
    </row>
    <row r="2746" spans="1:4" ht="12.5">
      <c r="A2746" s="186">
        <v>46169</v>
      </c>
      <c r="B2746" s="184">
        <v>7002638126</v>
      </c>
      <c r="C2746" s="184">
        <v>31</v>
      </c>
      <c r="D2746" s="9" t="s">
        <v>759</v>
      </c>
    </row>
    <row r="2747" spans="1:4" ht="12.5">
      <c r="A2747" s="186">
        <v>46169</v>
      </c>
      <c r="B2747" s="184">
        <v>7002638135</v>
      </c>
      <c r="C2747" s="184">
        <v>17</v>
      </c>
      <c r="D2747" s="9" t="s">
        <v>759</v>
      </c>
    </row>
    <row r="2748" spans="1:4" ht="12.5">
      <c r="A2748" s="186">
        <v>46169</v>
      </c>
      <c r="B2748" s="184">
        <v>7002638174</v>
      </c>
      <c r="C2748" s="184">
        <v>3</v>
      </c>
      <c r="D2748" s="9" t="s">
        <v>751</v>
      </c>
    </row>
    <row r="2749" spans="1:4" ht="12.5">
      <c r="A2749" s="186">
        <v>46169</v>
      </c>
      <c r="B2749" s="184">
        <v>7002638676</v>
      </c>
      <c r="C2749" s="184">
        <v>1</v>
      </c>
      <c r="D2749" s="9" t="s">
        <v>750</v>
      </c>
    </row>
    <row r="2750" spans="1:4" ht="12.5">
      <c r="A2750" s="186">
        <v>46169</v>
      </c>
      <c r="B2750" s="184">
        <v>7002638713</v>
      </c>
      <c r="C2750" s="184">
        <v>1</v>
      </c>
      <c r="D2750" s="9" t="s">
        <v>750</v>
      </c>
    </row>
    <row r="2751" spans="1:4" ht="12.5">
      <c r="A2751" s="186">
        <v>46169</v>
      </c>
      <c r="B2751" s="184">
        <v>7002638766</v>
      </c>
      <c r="C2751" s="184">
        <v>3</v>
      </c>
      <c r="D2751" s="9" t="s">
        <v>751</v>
      </c>
    </row>
    <row r="2752" spans="1:4" ht="12.5">
      <c r="A2752" s="186">
        <v>46169</v>
      </c>
      <c r="B2752" s="184">
        <v>7002638872</v>
      </c>
      <c r="C2752" s="184">
        <v>7</v>
      </c>
      <c r="D2752" s="9" t="s">
        <v>758</v>
      </c>
    </row>
    <row r="2753" spans="1:4" ht="12.5">
      <c r="A2753" s="186">
        <v>46169</v>
      </c>
      <c r="B2753" s="184">
        <v>7002638900</v>
      </c>
      <c r="C2753" s="184">
        <v>1</v>
      </c>
      <c r="D2753" s="9" t="s">
        <v>750</v>
      </c>
    </row>
    <row r="2754" spans="1:4" ht="12.5">
      <c r="A2754" s="186">
        <v>46169</v>
      </c>
      <c r="B2754" s="184">
        <v>7002639143</v>
      </c>
      <c r="C2754" s="184">
        <v>5</v>
      </c>
      <c r="D2754" s="9" t="s">
        <v>751</v>
      </c>
    </row>
    <row r="2755" spans="1:4" ht="12.5">
      <c r="A2755" s="186">
        <v>46169</v>
      </c>
      <c r="B2755" s="184">
        <v>7002639158</v>
      </c>
      <c r="C2755" s="184">
        <v>5</v>
      </c>
      <c r="D2755" s="9" t="s">
        <v>751</v>
      </c>
    </row>
    <row r="2756" spans="1:4" ht="12.5">
      <c r="A2756" s="186">
        <v>46169</v>
      </c>
      <c r="B2756" s="184">
        <v>7002639767</v>
      </c>
      <c r="C2756" s="184">
        <v>14</v>
      </c>
      <c r="D2756" s="9" t="s">
        <v>759</v>
      </c>
    </row>
    <row r="2757" spans="1:4" ht="12.5">
      <c r="A2757" s="186">
        <v>46169</v>
      </c>
      <c r="B2757" s="184">
        <v>7002639860</v>
      </c>
      <c r="C2757" s="184">
        <v>3</v>
      </c>
      <c r="D2757" s="9" t="s">
        <v>751</v>
      </c>
    </row>
    <row r="2758" spans="1:4" ht="12.5">
      <c r="A2758" s="186">
        <v>46169</v>
      </c>
      <c r="B2758" s="184">
        <v>7002639901</v>
      </c>
      <c r="C2758" s="184">
        <v>1</v>
      </c>
      <c r="D2758" s="9" t="s">
        <v>750</v>
      </c>
    </row>
    <row r="2759" spans="1:4" ht="12.5">
      <c r="A2759" s="186">
        <v>46169</v>
      </c>
      <c r="B2759" s="184">
        <v>7002640277</v>
      </c>
      <c r="C2759" s="184">
        <v>5</v>
      </c>
      <c r="D2759" s="9" t="s">
        <v>751</v>
      </c>
    </row>
    <row r="2760" spans="1:4" ht="12.5">
      <c r="A2760" s="186">
        <v>46169</v>
      </c>
      <c r="B2760" s="184">
        <v>7002640302</v>
      </c>
      <c r="C2760" s="184">
        <v>6</v>
      </c>
      <c r="D2760" s="9" t="s">
        <v>758</v>
      </c>
    </row>
    <row r="2761" spans="1:4" ht="12.5">
      <c r="A2761" s="186">
        <v>46169</v>
      </c>
      <c r="B2761" s="184">
        <v>7002640339</v>
      </c>
      <c r="C2761" s="184">
        <v>1</v>
      </c>
      <c r="D2761" s="9" t="s">
        <v>750</v>
      </c>
    </row>
    <row r="2762" spans="1:4" ht="12.5">
      <c r="A2762" s="186">
        <v>46169</v>
      </c>
      <c r="B2762" s="184">
        <v>7002640373</v>
      </c>
      <c r="C2762" s="184">
        <v>2</v>
      </c>
      <c r="D2762" s="9" t="s">
        <v>751</v>
      </c>
    </row>
    <row r="2763" spans="1:4" ht="12.5">
      <c r="A2763" s="186">
        <v>46169</v>
      </c>
      <c r="B2763" s="184">
        <v>7002640515</v>
      </c>
      <c r="C2763" s="184">
        <v>6</v>
      </c>
      <c r="D2763" s="9" t="s">
        <v>758</v>
      </c>
    </row>
    <row r="2764" spans="1:4" ht="12.5">
      <c r="A2764" s="186">
        <v>46169</v>
      </c>
      <c r="B2764" s="184">
        <v>7002640688</v>
      </c>
      <c r="C2764" s="184">
        <v>1</v>
      </c>
      <c r="D2764" s="9" t="s">
        <v>750</v>
      </c>
    </row>
    <row r="2765" spans="1:4" ht="12.5">
      <c r="A2765" s="186">
        <v>46169</v>
      </c>
      <c r="B2765" s="184">
        <v>7002640701</v>
      </c>
      <c r="C2765" s="184">
        <v>47</v>
      </c>
      <c r="D2765" s="9" t="s">
        <v>759</v>
      </c>
    </row>
    <row r="2766" spans="1:4" ht="12.5">
      <c r="A2766" s="186">
        <v>46169</v>
      </c>
      <c r="B2766" s="184">
        <v>7002641091</v>
      </c>
      <c r="C2766" s="184">
        <v>4</v>
      </c>
      <c r="D2766" s="9" t="s">
        <v>751</v>
      </c>
    </row>
    <row r="2767" spans="1:4" ht="12.5">
      <c r="A2767" s="186">
        <v>46169</v>
      </c>
      <c r="B2767" s="184">
        <v>7002641106</v>
      </c>
      <c r="C2767" s="184">
        <v>2</v>
      </c>
      <c r="D2767" s="9" t="s">
        <v>751</v>
      </c>
    </row>
    <row r="2768" spans="1:4" ht="12.5">
      <c r="A2768" s="186">
        <v>46169</v>
      </c>
      <c r="B2768" s="184">
        <v>7002641694</v>
      </c>
      <c r="C2768" s="184">
        <v>2</v>
      </c>
      <c r="D2768" s="9" t="s">
        <v>751</v>
      </c>
    </row>
    <row r="2769" spans="1:4" ht="12.5">
      <c r="A2769" s="186">
        <v>46169</v>
      </c>
      <c r="B2769" s="184">
        <v>7002641812</v>
      </c>
      <c r="C2769" s="184">
        <v>3</v>
      </c>
      <c r="D2769" s="9" t="s">
        <v>751</v>
      </c>
    </row>
    <row r="2770" spans="1:4" ht="12.5">
      <c r="A2770" s="186">
        <v>46169</v>
      </c>
      <c r="B2770" s="184">
        <v>7002642328</v>
      </c>
      <c r="C2770" s="184">
        <v>9</v>
      </c>
      <c r="D2770" s="9" t="s">
        <v>758</v>
      </c>
    </row>
    <row r="2771" spans="1:4" ht="12.5">
      <c r="A2771" s="186">
        <v>46169</v>
      </c>
      <c r="B2771" s="184">
        <v>7002642413</v>
      </c>
      <c r="C2771" s="184">
        <v>2</v>
      </c>
      <c r="D2771" s="9" t="s">
        <v>751</v>
      </c>
    </row>
    <row r="2772" spans="1:4" ht="12.5">
      <c r="A2772" s="186">
        <v>46169</v>
      </c>
      <c r="B2772" s="184">
        <v>7002642518</v>
      </c>
      <c r="C2772" s="184">
        <v>50</v>
      </c>
      <c r="D2772" s="9" t="s">
        <v>759</v>
      </c>
    </row>
    <row r="2773" spans="1:4" ht="12.5">
      <c r="A2773" s="186">
        <v>46169</v>
      </c>
      <c r="B2773" s="184">
        <v>7002642556</v>
      </c>
      <c r="C2773" s="184">
        <v>3</v>
      </c>
      <c r="D2773" s="9" t="s">
        <v>751</v>
      </c>
    </row>
    <row r="2774" spans="1:4" ht="12.5">
      <c r="A2774" s="186">
        <v>46169</v>
      </c>
      <c r="B2774" s="184">
        <v>7002642762</v>
      </c>
      <c r="C2774" s="184">
        <v>13</v>
      </c>
      <c r="D2774" s="9" t="s">
        <v>759</v>
      </c>
    </row>
    <row r="2775" spans="1:4" ht="12.5">
      <c r="A2775" s="186">
        <v>46169</v>
      </c>
      <c r="B2775" s="184">
        <v>7002642770</v>
      </c>
      <c r="C2775" s="184">
        <v>5</v>
      </c>
      <c r="D2775" s="9" t="s">
        <v>751</v>
      </c>
    </row>
    <row r="2776" spans="1:4" ht="12.5">
      <c r="A2776" s="186">
        <v>46169</v>
      </c>
      <c r="B2776" s="184">
        <v>7002642791</v>
      </c>
      <c r="C2776" s="184">
        <v>3</v>
      </c>
      <c r="D2776" s="9" t="s">
        <v>751</v>
      </c>
    </row>
    <row r="2777" spans="1:4" ht="12.5">
      <c r="A2777" s="186">
        <v>46169</v>
      </c>
      <c r="B2777" s="184">
        <v>7002642811</v>
      </c>
      <c r="C2777" s="184">
        <v>10</v>
      </c>
      <c r="D2777" s="9" t="s">
        <v>758</v>
      </c>
    </row>
    <row r="2778" spans="1:4" ht="12.5">
      <c r="A2778" s="186">
        <v>46169</v>
      </c>
      <c r="B2778" s="184">
        <v>7002642830</v>
      </c>
      <c r="C2778" s="184">
        <v>3</v>
      </c>
      <c r="D2778" s="9" t="s">
        <v>751</v>
      </c>
    </row>
    <row r="2779" spans="1:4" ht="12.5">
      <c r="A2779" s="186">
        <v>46169</v>
      </c>
      <c r="B2779" s="184">
        <v>7002643087</v>
      </c>
      <c r="C2779" s="184">
        <v>1</v>
      </c>
      <c r="D2779" s="9" t="s">
        <v>750</v>
      </c>
    </row>
    <row r="2780" spans="1:4" ht="12.5">
      <c r="A2780" s="186">
        <v>46169</v>
      </c>
      <c r="B2780" s="184">
        <v>7002643370</v>
      </c>
      <c r="C2780" s="184">
        <v>3</v>
      </c>
      <c r="D2780" s="9" t="s">
        <v>751</v>
      </c>
    </row>
    <row r="2781" spans="1:4" ht="12.5">
      <c r="A2781" s="186">
        <v>46169</v>
      </c>
      <c r="B2781" s="184">
        <v>7002643389</v>
      </c>
      <c r="C2781" s="184">
        <v>146</v>
      </c>
      <c r="D2781" s="9" t="s">
        <v>759</v>
      </c>
    </row>
    <row r="2782" spans="1:4" ht="12.5">
      <c r="A2782" s="186">
        <v>46169</v>
      </c>
      <c r="B2782" s="184">
        <v>7002643586</v>
      </c>
      <c r="C2782" s="184">
        <v>5</v>
      </c>
      <c r="D2782" s="9" t="s">
        <v>751</v>
      </c>
    </row>
    <row r="2783" spans="1:4" ht="12.5">
      <c r="A2783" s="186">
        <v>46169</v>
      </c>
      <c r="B2783" s="184">
        <v>7002643644</v>
      </c>
      <c r="C2783" s="184">
        <v>2</v>
      </c>
      <c r="D2783" s="9" t="s">
        <v>751</v>
      </c>
    </row>
    <row r="2784" spans="1:4" ht="12.5">
      <c r="A2784" s="186">
        <v>46169</v>
      </c>
      <c r="B2784" s="184">
        <v>7002643774</v>
      </c>
      <c r="C2784" s="184">
        <v>12</v>
      </c>
      <c r="D2784" s="9" t="s">
        <v>759</v>
      </c>
    </row>
    <row r="2785" spans="1:4" ht="12.5">
      <c r="A2785" s="186">
        <v>46169</v>
      </c>
      <c r="B2785" s="184">
        <v>7002644108</v>
      </c>
      <c r="C2785" s="184">
        <v>20</v>
      </c>
      <c r="D2785" s="9" t="s">
        <v>759</v>
      </c>
    </row>
    <row r="2786" spans="1:4" ht="12.5">
      <c r="A2786" s="186">
        <v>46169</v>
      </c>
      <c r="B2786" s="184">
        <v>7002644448</v>
      </c>
      <c r="C2786" s="184">
        <v>37</v>
      </c>
      <c r="D2786" s="9" t="s">
        <v>759</v>
      </c>
    </row>
    <row r="2787" spans="1:4" ht="12.5">
      <c r="A2787" s="186">
        <v>46169</v>
      </c>
      <c r="B2787" s="184">
        <v>7002644495</v>
      </c>
      <c r="C2787" s="184">
        <v>5</v>
      </c>
      <c r="D2787" s="9" t="s">
        <v>751</v>
      </c>
    </row>
    <row r="2788" spans="1:4" ht="12.5">
      <c r="A2788" s="186">
        <v>46169</v>
      </c>
      <c r="B2788" s="184">
        <v>7002644516</v>
      </c>
      <c r="C2788" s="184">
        <v>8</v>
      </c>
      <c r="D2788" s="9" t="s">
        <v>758</v>
      </c>
    </row>
    <row r="2789" spans="1:4" ht="12.5">
      <c r="A2789" s="186">
        <v>46169</v>
      </c>
      <c r="B2789" s="184">
        <v>7002645547</v>
      </c>
      <c r="C2789" s="184">
        <v>2</v>
      </c>
      <c r="D2789" s="9" t="s">
        <v>751</v>
      </c>
    </row>
    <row r="2790" spans="1:4" ht="12.5">
      <c r="A2790" s="186">
        <v>46169</v>
      </c>
      <c r="B2790" s="184">
        <v>7002645624</v>
      </c>
      <c r="C2790" s="184">
        <v>1</v>
      </c>
      <c r="D2790" s="9" t="s">
        <v>750</v>
      </c>
    </row>
    <row r="2791" spans="1:4" ht="12.5">
      <c r="A2791" s="186">
        <v>46169</v>
      </c>
      <c r="B2791" s="184">
        <v>7002645630</v>
      </c>
      <c r="C2791" s="184">
        <v>1</v>
      </c>
      <c r="D2791" s="9" t="s">
        <v>750</v>
      </c>
    </row>
    <row r="2792" spans="1:4" ht="12.5">
      <c r="A2792" s="186">
        <v>46169</v>
      </c>
      <c r="B2792" s="184">
        <v>7002646099</v>
      </c>
      <c r="C2792" s="184">
        <v>1</v>
      </c>
      <c r="D2792" s="9" t="s">
        <v>750</v>
      </c>
    </row>
    <row r="2793" spans="1:4" ht="12.5">
      <c r="A2793" s="186">
        <v>46169</v>
      </c>
      <c r="B2793" s="184">
        <v>7002646428</v>
      </c>
      <c r="C2793" s="184">
        <v>1</v>
      </c>
      <c r="D2793" s="9" t="s">
        <v>750</v>
      </c>
    </row>
    <row r="2794" spans="1:4" ht="12.5">
      <c r="A2794" s="186">
        <v>46169</v>
      </c>
      <c r="B2794" s="184">
        <v>7002646437</v>
      </c>
      <c r="C2794" s="184">
        <v>1</v>
      </c>
      <c r="D2794" s="9" t="s">
        <v>750</v>
      </c>
    </row>
    <row r="2795" spans="1:4" ht="12.5">
      <c r="A2795" s="186">
        <v>46169</v>
      </c>
      <c r="B2795" s="184">
        <v>7002646463</v>
      </c>
      <c r="C2795" s="184">
        <v>3</v>
      </c>
      <c r="D2795" s="9" t="s">
        <v>751</v>
      </c>
    </row>
    <row r="2796" spans="1:4" ht="12.5">
      <c r="A2796" s="186">
        <v>46169</v>
      </c>
      <c r="B2796" s="184">
        <v>7002647438</v>
      </c>
      <c r="C2796" s="184">
        <v>20</v>
      </c>
      <c r="D2796" s="9" t="s">
        <v>759</v>
      </c>
    </row>
    <row r="2797" spans="1:4" ht="12.5">
      <c r="A2797" s="186">
        <v>46169</v>
      </c>
      <c r="B2797" s="184">
        <v>7002647678</v>
      </c>
      <c r="C2797" s="184">
        <v>5</v>
      </c>
      <c r="D2797" s="9" t="s">
        <v>751</v>
      </c>
    </row>
    <row r="2798" spans="1:4" ht="12.5">
      <c r="A2798" s="186">
        <v>46169</v>
      </c>
      <c r="B2798" s="184">
        <v>7002647803</v>
      </c>
      <c r="C2798" s="184">
        <v>1</v>
      </c>
      <c r="D2798" s="9" t="s">
        <v>750</v>
      </c>
    </row>
    <row r="2799" spans="1:4" ht="12.5">
      <c r="A2799" s="186">
        <v>46169</v>
      </c>
      <c r="B2799" s="184">
        <v>7002648101</v>
      </c>
      <c r="C2799" s="184">
        <v>1</v>
      </c>
      <c r="D2799" s="9" t="s">
        <v>750</v>
      </c>
    </row>
    <row r="2800" spans="1:4" ht="12.5">
      <c r="A2800" s="186">
        <v>46169</v>
      </c>
      <c r="B2800" s="184">
        <v>7002648494</v>
      </c>
      <c r="C2800" s="184">
        <v>1</v>
      </c>
      <c r="D2800" s="9" t="s">
        <v>750</v>
      </c>
    </row>
    <row r="2801" spans="1:4" ht="12.5">
      <c r="A2801" s="186">
        <v>46169</v>
      </c>
      <c r="B2801" s="184">
        <v>7002648513</v>
      </c>
      <c r="C2801" s="184">
        <v>1</v>
      </c>
      <c r="D2801" s="9" t="s">
        <v>750</v>
      </c>
    </row>
    <row r="2802" spans="1:4" ht="12.5">
      <c r="A2802" s="186">
        <v>46169</v>
      </c>
      <c r="B2802" s="184">
        <v>7002648633</v>
      </c>
      <c r="C2802" s="184">
        <v>2</v>
      </c>
      <c r="D2802" s="9" t="s">
        <v>751</v>
      </c>
    </row>
    <row r="2803" spans="1:4" ht="12.5">
      <c r="A2803" s="186">
        <v>46169</v>
      </c>
      <c r="B2803" s="184">
        <v>7002648815</v>
      </c>
      <c r="C2803" s="184">
        <v>1</v>
      </c>
      <c r="D2803" s="9" t="s">
        <v>750</v>
      </c>
    </row>
    <row r="2804" spans="1:4" ht="12.5">
      <c r="A2804" s="186">
        <v>46169</v>
      </c>
      <c r="B2804" s="184">
        <v>7002649442</v>
      </c>
      <c r="C2804" s="184">
        <v>3</v>
      </c>
      <c r="D2804" s="9" t="s">
        <v>751</v>
      </c>
    </row>
    <row r="2805" spans="1:4" ht="12.5">
      <c r="A2805" s="186">
        <v>46169</v>
      </c>
      <c r="B2805" s="184">
        <v>7002649580</v>
      </c>
      <c r="C2805" s="184">
        <v>1</v>
      </c>
      <c r="D2805" s="9" t="s">
        <v>750</v>
      </c>
    </row>
    <row r="2806" spans="1:4" ht="12.5">
      <c r="A2806" s="186">
        <v>46169</v>
      </c>
      <c r="B2806" s="184">
        <v>7002649610</v>
      </c>
      <c r="C2806" s="184">
        <v>3</v>
      </c>
      <c r="D2806" s="9" t="s">
        <v>751</v>
      </c>
    </row>
    <row r="2807" spans="1:4" ht="12.5">
      <c r="A2807" s="186">
        <v>46169</v>
      </c>
      <c r="B2807" s="184">
        <v>7002649652</v>
      </c>
      <c r="C2807" s="184">
        <v>3</v>
      </c>
      <c r="D2807" s="9" t="s">
        <v>751</v>
      </c>
    </row>
    <row r="2808" spans="1:4" ht="12.5">
      <c r="A2808" s="186">
        <v>46169</v>
      </c>
      <c r="B2808" s="184">
        <v>7002649828</v>
      </c>
      <c r="C2808" s="184">
        <v>7</v>
      </c>
      <c r="D2808" s="9" t="s">
        <v>758</v>
      </c>
    </row>
    <row r="2809" spans="1:4" ht="12.5">
      <c r="A2809" s="191"/>
      <c r="B2809" s="194"/>
      <c r="C2809" s="194"/>
      <c r="D2809" s="136"/>
    </row>
    <row r="2810" spans="1:4" ht="12.5">
      <c r="A2810" s="186">
        <v>46170</v>
      </c>
      <c r="B2810" s="184">
        <v>7002499054</v>
      </c>
      <c r="C2810" s="184">
        <v>5</v>
      </c>
      <c r="D2810" s="9" t="s">
        <v>751</v>
      </c>
    </row>
    <row r="2811" spans="1:4" ht="12.5">
      <c r="A2811" s="186">
        <v>46170</v>
      </c>
      <c r="B2811" s="184">
        <v>7002511410</v>
      </c>
      <c r="C2811" s="184">
        <v>2</v>
      </c>
      <c r="D2811" s="9" t="s">
        <v>751</v>
      </c>
    </row>
    <row r="2812" spans="1:4" ht="12.5">
      <c r="A2812" s="186">
        <v>46170</v>
      </c>
      <c r="B2812" s="184">
        <v>7002523891</v>
      </c>
      <c r="C2812" s="184">
        <v>4</v>
      </c>
      <c r="D2812" s="9" t="s">
        <v>751</v>
      </c>
    </row>
    <row r="2813" spans="1:4" ht="12.5">
      <c r="A2813" s="186">
        <v>46170</v>
      </c>
      <c r="B2813" s="184">
        <v>7002530788</v>
      </c>
      <c r="C2813" s="184">
        <v>4</v>
      </c>
      <c r="D2813" s="9" t="s">
        <v>751</v>
      </c>
    </row>
    <row r="2814" spans="1:4" ht="12.5">
      <c r="A2814" s="186">
        <v>46170</v>
      </c>
      <c r="B2814" s="184">
        <v>7002530930</v>
      </c>
      <c r="C2814" s="184">
        <v>17</v>
      </c>
      <c r="D2814" s="9" t="s">
        <v>759</v>
      </c>
    </row>
    <row r="2815" spans="1:4" ht="12.5">
      <c r="A2815" s="186">
        <v>46170</v>
      </c>
      <c r="B2815" s="184">
        <v>7002533865</v>
      </c>
      <c r="C2815" s="184">
        <v>2</v>
      </c>
      <c r="D2815" s="9" t="s">
        <v>751</v>
      </c>
    </row>
    <row r="2816" spans="1:4" ht="12.5">
      <c r="A2816" s="186">
        <v>46170</v>
      </c>
      <c r="B2816" s="184">
        <v>7002535827</v>
      </c>
      <c r="C2816" s="184">
        <v>12</v>
      </c>
      <c r="D2816" s="9" t="s">
        <v>759</v>
      </c>
    </row>
    <row r="2817" spans="1:4" ht="12.5">
      <c r="A2817" s="186">
        <v>46170</v>
      </c>
      <c r="B2817" s="184">
        <v>7002536097</v>
      </c>
      <c r="C2817" s="184">
        <v>4</v>
      </c>
      <c r="D2817" s="9" t="s">
        <v>751</v>
      </c>
    </row>
    <row r="2818" spans="1:4" ht="12.5">
      <c r="A2818" s="186">
        <v>46170</v>
      </c>
      <c r="B2818" s="184">
        <v>7002539888</v>
      </c>
      <c r="C2818" s="184">
        <v>5</v>
      </c>
      <c r="D2818" s="9" t="s">
        <v>751</v>
      </c>
    </row>
    <row r="2819" spans="1:4" ht="12.5">
      <c r="A2819" s="186">
        <v>46170</v>
      </c>
      <c r="B2819" s="184">
        <v>7002539987</v>
      </c>
      <c r="C2819" s="184">
        <v>19</v>
      </c>
      <c r="D2819" s="9" t="s">
        <v>759</v>
      </c>
    </row>
    <row r="2820" spans="1:4" ht="12.5">
      <c r="A2820" s="186">
        <v>46170</v>
      </c>
      <c r="B2820" s="184">
        <v>7002540364</v>
      </c>
      <c r="C2820" s="184">
        <v>5</v>
      </c>
      <c r="D2820" s="9" t="s">
        <v>751</v>
      </c>
    </row>
    <row r="2821" spans="1:4" ht="12.5">
      <c r="A2821" s="186">
        <v>46170</v>
      </c>
      <c r="B2821" s="184">
        <v>7002543297</v>
      </c>
      <c r="C2821" s="184">
        <v>1</v>
      </c>
      <c r="D2821" s="9" t="s">
        <v>750</v>
      </c>
    </row>
    <row r="2822" spans="1:4" ht="12.5">
      <c r="A2822" s="186">
        <v>46170</v>
      </c>
      <c r="B2822" s="184">
        <v>7002544182</v>
      </c>
      <c r="C2822" s="184">
        <v>3</v>
      </c>
      <c r="D2822" s="9" t="s">
        <v>751</v>
      </c>
    </row>
    <row r="2823" spans="1:4" ht="12.5">
      <c r="A2823" s="186">
        <v>46170</v>
      </c>
      <c r="B2823" s="184">
        <v>7002546236</v>
      </c>
      <c r="C2823" s="184">
        <v>1</v>
      </c>
      <c r="D2823" s="9" t="s">
        <v>750</v>
      </c>
    </row>
    <row r="2824" spans="1:4" ht="12.5">
      <c r="A2824" s="186">
        <v>46170</v>
      </c>
      <c r="B2824" s="184">
        <v>7002547368</v>
      </c>
      <c r="C2824" s="184">
        <v>1</v>
      </c>
      <c r="D2824" s="9" t="s">
        <v>750</v>
      </c>
    </row>
    <row r="2825" spans="1:4" ht="12.5">
      <c r="A2825" s="186">
        <v>46170</v>
      </c>
      <c r="B2825" s="184">
        <v>7002551141</v>
      </c>
      <c r="C2825" s="184">
        <v>4</v>
      </c>
      <c r="D2825" s="9" t="s">
        <v>751</v>
      </c>
    </row>
    <row r="2826" spans="1:4" ht="12.5">
      <c r="A2826" s="186">
        <v>46170</v>
      </c>
      <c r="B2826" s="184">
        <v>7002552566</v>
      </c>
      <c r="C2826" s="184">
        <v>4</v>
      </c>
      <c r="D2826" s="9" t="s">
        <v>751</v>
      </c>
    </row>
    <row r="2827" spans="1:4" ht="12.5">
      <c r="A2827" s="186">
        <v>46170</v>
      </c>
      <c r="B2827" s="184">
        <v>7002553346</v>
      </c>
      <c r="C2827" s="184">
        <v>8</v>
      </c>
      <c r="D2827" s="9" t="s">
        <v>758</v>
      </c>
    </row>
    <row r="2828" spans="1:4" ht="12.5">
      <c r="A2828" s="186">
        <v>46170</v>
      </c>
      <c r="B2828" s="184">
        <v>7002554010</v>
      </c>
      <c r="C2828" s="184">
        <v>5</v>
      </c>
      <c r="D2828" s="9" t="s">
        <v>751</v>
      </c>
    </row>
    <row r="2829" spans="1:4" ht="12.5">
      <c r="A2829" s="186">
        <v>46170</v>
      </c>
      <c r="B2829" s="184">
        <v>7002554099</v>
      </c>
      <c r="C2829" s="184">
        <v>3</v>
      </c>
      <c r="D2829" s="9" t="s">
        <v>751</v>
      </c>
    </row>
    <row r="2830" spans="1:4" ht="12.5">
      <c r="A2830" s="186">
        <v>46170</v>
      </c>
      <c r="B2830" s="184">
        <v>7002554115</v>
      </c>
      <c r="C2830" s="184">
        <v>2</v>
      </c>
      <c r="D2830" s="9" t="s">
        <v>751</v>
      </c>
    </row>
    <row r="2831" spans="1:4" ht="12.5">
      <c r="A2831" s="186">
        <v>46170</v>
      </c>
      <c r="B2831" s="184">
        <v>7002554524</v>
      </c>
      <c r="C2831" s="184">
        <v>6</v>
      </c>
      <c r="D2831" s="9" t="s">
        <v>758</v>
      </c>
    </row>
    <row r="2832" spans="1:4" ht="12.5">
      <c r="A2832" s="186">
        <v>46170</v>
      </c>
      <c r="B2832" s="184">
        <v>7002554620</v>
      </c>
      <c r="C2832" s="184">
        <v>5</v>
      </c>
      <c r="D2832" s="9" t="s">
        <v>751</v>
      </c>
    </row>
    <row r="2833" spans="1:4" ht="12.5">
      <c r="A2833" s="186">
        <v>46170</v>
      </c>
      <c r="B2833" s="184">
        <v>7002555016</v>
      </c>
      <c r="C2833" s="184">
        <v>1</v>
      </c>
      <c r="D2833" s="9" t="s">
        <v>750</v>
      </c>
    </row>
    <row r="2834" spans="1:4" ht="12.5">
      <c r="A2834" s="186">
        <v>46170</v>
      </c>
      <c r="B2834" s="184">
        <v>7002555111</v>
      </c>
      <c r="C2834" s="184">
        <v>2</v>
      </c>
      <c r="D2834" s="9" t="s">
        <v>751</v>
      </c>
    </row>
    <row r="2835" spans="1:4" ht="12.5">
      <c r="A2835" s="186">
        <v>46170</v>
      </c>
      <c r="B2835" s="184">
        <v>7002555283</v>
      </c>
      <c r="C2835" s="184">
        <v>11</v>
      </c>
      <c r="D2835" s="9" t="s">
        <v>759</v>
      </c>
    </row>
    <row r="2836" spans="1:4" ht="12.5">
      <c r="A2836" s="186">
        <v>46170</v>
      </c>
      <c r="B2836" s="184">
        <v>7002555356</v>
      </c>
      <c r="C2836" s="184">
        <v>6</v>
      </c>
      <c r="D2836" s="9" t="s">
        <v>758</v>
      </c>
    </row>
    <row r="2837" spans="1:4" ht="12.5">
      <c r="A2837" s="186">
        <v>46170</v>
      </c>
      <c r="B2837" s="184">
        <v>7002555562</v>
      </c>
      <c r="C2837" s="184">
        <v>1</v>
      </c>
      <c r="D2837" s="9" t="s">
        <v>750</v>
      </c>
    </row>
    <row r="2838" spans="1:4" ht="12.5">
      <c r="A2838" s="186">
        <v>46170</v>
      </c>
      <c r="B2838" s="184">
        <v>7002556563</v>
      </c>
      <c r="C2838" s="184">
        <v>1</v>
      </c>
      <c r="D2838" s="9" t="s">
        <v>750</v>
      </c>
    </row>
    <row r="2839" spans="1:4" ht="12.5">
      <c r="A2839" s="186">
        <v>46170</v>
      </c>
      <c r="B2839" s="184">
        <v>7002557593</v>
      </c>
      <c r="C2839" s="184">
        <v>4</v>
      </c>
      <c r="D2839" s="9" t="s">
        <v>751</v>
      </c>
    </row>
    <row r="2840" spans="1:4" ht="12.5">
      <c r="A2840" s="186">
        <v>46170</v>
      </c>
      <c r="B2840" s="184">
        <v>7002557628</v>
      </c>
      <c r="C2840" s="184">
        <v>2</v>
      </c>
      <c r="D2840" s="9" t="s">
        <v>751</v>
      </c>
    </row>
    <row r="2841" spans="1:4" ht="12.5">
      <c r="A2841" s="186">
        <v>46170</v>
      </c>
      <c r="B2841" s="184">
        <v>7002557644</v>
      </c>
      <c r="C2841" s="184">
        <v>1</v>
      </c>
      <c r="D2841" s="9" t="s">
        <v>750</v>
      </c>
    </row>
    <row r="2842" spans="1:4" ht="12.5">
      <c r="A2842" s="186">
        <v>46170</v>
      </c>
      <c r="B2842" s="184">
        <v>7002558019</v>
      </c>
      <c r="C2842" s="184">
        <v>5</v>
      </c>
      <c r="D2842" s="9" t="s">
        <v>751</v>
      </c>
    </row>
    <row r="2843" spans="1:4" ht="12.5">
      <c r="A2843" s="186">
        <v>46170</v>
      </c>
      <c r="B2843" s="184">
        <v>7002559015</v>
      </c>
      <c r="C2843" s="184">
        <v>1</v>
      </c>
      <c r="D2843" s="9" t="s">
        <v>750</v>
      </c>
    </row>
    <row r="2844" spans="1:4" ht="12.5">
      <c r="A2844" s="186">
        <v>46170</v>
      </c>
      <c r="B2844" s="184">
        <v>7002559503</v>
      </c>
      <c r="C2844" s="184">
        <v>4</v>
      </c>
      <c r="D2844" s="9" t="s">
        <v>751</v>
      </c>
    </row>
    <row r="2845" spans="1:4" ht="12.5">
      <c r="A2845" s="186">
        <v>46170</v>
      </c>
      <c r="B2845" s="184">
        <v>7002559535</v>
      </c>
      <c r="C2845" s="184">
        <v>5</v>
      </c>
      <c r="D2845" s="9" t="s">
        <v>751</v>
      </c>
    </row>
    <row r="2846" spans="1:4" ht="12.5">
      <c r="A2846" s="186">
        <v>46170</v>
      </c>
      <c r="B2846" s="184">
        <v>7002559728</v>
      </c>
      <c r="C2846" s="184">
        <v>1</v>
      </c>
      <c r="D2846" s="9" t="s">
        <v>750</v>
      </c>
    </row>
    <row r="2847" spans="1:4" ht="12.5">
      <c r="A2847" s="186">
        <v>46170</v>
      </c>
      <c r="B2847" s="184">
        <v>7002560657</v>
      </c>
      <c r="C2847" s="184">
        <v>4</v>
      </c>
      <c r="D2847" s="9" t="s">
        <v>751</v>
      </c>
    </row>
    <row r="2848" spans="1:4" ht="12.5">
      <c r="A2848" s="186">
        <v>46170</v>
      </c>
      <c r="B2848" s="184">
        <v>7002564469</v>
      </c>
      <c r="C2848" s="184">
        <v>1</v>
      </c>
      <c r="D2848" s="9" t="s">
        <v>750</v>
      </c>
    </row>
    <row r="2849" spans="1:4" ht="12.5">
      <c r="A2849" s="186">
        <v>46170</v>
      </c>
      <c r="B2849" s="184">
        <v>7002566309</v>
      </c>
      <c r="C2849" s="184">
        <v>2</v>
      </c>
      <c r="D2849" s="9" t="s">
        <v>751</v>
      </c>
    </row>
    <row r="2850" spans="1:4" ht="12.5">
      <c r="A2850" s="186">
        <v>46170</v>
      </c>
      <c r="B2850" s="184">
        <v>7002566485</v>
      </c>
      <c r="C2850" s="184">
        <v>1</v>
      </c>
      <c r="D2850" s="9" t="s">
        <v>750</v>
      </c>
    </row>
    <row r="2851" spans="1:4" ht="12.5">
      <c r="A2851" s="186">
        <v>46170</v>
      </c>
      <c r="B2851" s="184">
        <v>7002567464</v>
      </c>
      <c r="C2851" s="184">
        <v>1</v>
      </c>
      <c r="D2851" s="9" t="s">
        <v>750</v>
      </c>
    </row>
    <row r="2852" spans="1:4" ht="12.5">
      <c r="A2852" s="186">
        <v>46170</v>
      </c>
      <c r="B2852" s="184">
        <v>7002568509</v>
      </c>
      <c r="C2852" s="184">
        <v>1</v>
      </c>
      <c r="D2852" s="9" t="s">
        <v>750</v>
      </c>
    </row>
    <row r="2853" spans="1:4" ht="12.5">
      <c r="A2853" s="186">
        <v>46170</v>
      </c>
      <c r="B2853" s="184">
        <v>7002569353</v>
      </c>
      <c r="C2853" s="184">
        <v>2</v>
      </c>
      <c r="D2853" s="9" t="s">
        <v>751</v>
      </c>
    </row>
    <row r="2854" spans="1:4" ht="12.5">
      <c r="A2854" s="186">
        <v>46170</v>
      </c>
      <c r="B2854" s="184">
        <v>7002570843</v>
      </c>
      <c r="C2854" s="184">
        <v>2</v>
      </c>
      <c r="D2854" s="9" t="s">
        <v>751</v>
      </c>
    </row>
    <row r="2855" spans="1:4" ht="12.5">
      <c r="A2855" s="186">
        <v>46170</v>
      </c>
      <c r="B2855" s="184">
        <v>7002571531</v>
      </c>
      <c r="C2855" s="184">
        <v>5</v>
      </c>
      <c r="D2855" s="9" t="s">
        <v>751</v>
      </c>
    </row>
    <row r="2856" spans="1:4" ht="12.5">
      <c r="A2856" s="186">
        <v>46170</v>
      </c>
      <c r="B2856" s="184">
        <v>7002571554</v>
      </c>
      <c r="C2856" s="184">
        <v>2</v>
      </c>
      <c r="D2856" s="9" t="s">
        <v>751</v>
      </c>
    </row>
    <row r="2857" spans="1:4" ht="12.5">
      <c r="A2857" s="186">
        <v>46170</v>
      </c>
      <c r="B2857" s="184">
        <v>7002574488</v>
      </c>
      <c r="C2857" s="184">
        <v>7</v>
      </c>
      <c r="D2857" s="9" t="s">
        <v>758</v>
      </c>
    </row>
    <row r="2858" spans="1:4" ht="12.5">
      <c r="A2858" s="186">
        <v>46170</v>
      </c>
      <c r="B2858" s="184">
        <v>7002576715</v>
      </c>
      <c r="C2858" s="184">
        <v>1</v>
      </c>
      <c r="D2858" s="9" t="s">
        <v>750</v>
      </c>
    </row>
    <row r="2859" spans="1:4" ht="12.5">
      <c r="A2859" s="186">
        <v>46170</v>
      </c>
      <c r="B2859" s="184">
        <v>7002576762</v>
      </c>
      <c r="C2859" s="184">
        <v>1</v>
      </c>
      <c r="D2859" s="9" t="s">
        <v>750</v>
      </c>
    </row>
    <row r="2860" spans="1:4" ht="12.5">
      <c r="A2860" s="186">
        <v>46170</v>
      </c>
      <c r="B2860" s="184">
        <v>7002576807</v>
      </c>
      <c r="C2860" s="184">
        <v>4</v>
      </c>
      <c r="D2860" s="9" t="s">
        <v>751</v>
      </c>
    </row>
    <row r="2861" spans="1:4" ht="12.5">
      <c r="A2861" s="186">
        <v>46170</v>
      </c>
      <c r="B2861" s="184">
        <v>7002577355</v>
      </c>
      <c r="C2861" s="184">
        <v>8</v>
      </c>
      <c r="D2861" s="9" t="s">
        <v>758</v>
      </c>
    </row>
    <row r="2862" spans="1:4" ht="12.5">
      <c r="A2862" s="186">
        <v>46170</v>
      </c>
      <c r="B2862" s="184">
        <v>7002577364</v>
      </c>
      <c r="C2862" s="184">
        <v>4</v>
      </c>
      <c r="D2862" s="9" t="s">
        <v>751</v>
      </c>
    </row>
    <row r="2863" spans="1:4" ht="12.5">
      <c r="A2863" s="186">
        <v>46170</v>
      </c>
      <c r="B2863" s="184">
        <v>7002577763</v>
      </c>
      <c r="C2863" s="184">
        <v>1</v>
      </c>
      <c r="D2863" s="9" t="s">
        <v>750</v>
      </c>
    </row>
    <row r="2864" spans="1:4" ht="12.5">
      <c r="A2864" s="186">
        <v>46170</v>
      </c>
      <c r="B2864" s="184">
        <v>7002578231</v>
      </c>
      <c r="C2864" s="184">
        <v>2</v>
      </c>
      <c r="D2864" s="9" t="s">
        <v>751</v>
      </c>
    </row>
    <row r="2865" spans="1:4" ht="12.5">
      <c r="A2865" s="186">
        <v>46170</v>
      </c>
      <c r="B2865" s="184">
        <v>7002578394</v>
      </c>
      <c r="C2865" s="184">
        <v>2</v>
      </c>
      <c r="D2865" s="9" t="s">
        <v>751</v>
      </c>
    </row>
    <row r="2866" spans="1:4" ht="12.5">
      <c r="A2866" s="186">
        <v>46170</v>
      </c>
      <c r="B2866" s="184">
        <v>7002578717</v>
      </c>
      <c r="C2866" s="184">
        <v>1</v>
      </c>
      <c r="D2866" s="9" t="s">
        <v>750</v>
      </c>
    </row>
    <row r="2867" spans="1:4" ht="12.5">
      <c r="A2867" s="186">
        <v>46170</v>
      </c>
      <c r="B2867" s="184">
        <v>7002578786</v>
      </c>
      <c r="C2867" s="184">
        <v>27</v>
      </c>
      <c r="D2867" s="9" t="s">
        <v>759</v>
      </c>
    </row>
    <row r="2868" spans="1:4" ht="12.5">
      <c r="A2868" s="186">
        <v>46170</v>
      </c>
      <c r="B2868" s="184">
        <v>7002579319</v>
      </c>
      <c r="C2868" s="184">
        <v>10</v>
      </c>
      <c r="D2868" s="9" t="s">
        <v>758</v>
      </c>
    </row>
    <row r="2869" spans="1:4" ht="12.5">
      <c r="A2869" s="186">
        <v>46170</v>
      </c>
      <c r="B2869" s="184">
        <v>7002579760</v>
      </c>
      <c r="C2869" s="184">
        <v>1</v>
      </c>
      <c r="D2869" s="9" t="s">
        <v>750</v>
      </c>
    </row>
    <row r="2870" spans="1:4" ht="12.5">
      <c r="A2870" s="186">
        <v>46170</v>
      </c>
      <c r="B2870" s="184">
        <v>7002583740</v>
      </c>
      <c r="C2870" s="184">
        <v>23</v>
      </c>
      <c r="D2870" s="9" t="s">
        <v>759</v>
      </c>
    </row>
    <row r="2871" spans="1:4" ht="12.5">
      <c r="A2871" s="186">
        <v>46170</v>
      </c>
      <c r="B2871" s="184">
        <v>7002584921</v>
      </c>
      <c r="C2871" s="184">
        <v>2</v>
      </c>
      <c r="D2871" s="9" t="s">
        <v>751</v>
      </c>
    </row>
    <row r="2872" spans="1:4" ht="12.5">
      <c r="A2872" s="186">
        <v>46170</v>
      </c>
      <c r="B2872" s="184">
        <v>7002585734</v>
      </c>
      <c r="C2872" s="184">
        <v>9</v>
      </c>
      <c r="D2872" s="9" t="s">
        <v>758</v>
      </c>
    </row>
    <row r="2873" spans="1:4" ht="12.5">
      <c r="A2873" s="186">
        <v>46170</v>
      </c>
      <c r="B2873" s="184">
        <v>7002586096</v>
      </c>
      <c r="C2873" s="184">
        <v>6</v>
      </c>
      <c r="D2873" s="9" t="s">
        <v>758</v>
      </c>
    </row>
    <row r="2874" spans="1:4" ht="12.5">
      <c r="A2874" s="186">
        <v>46170</v>
      </c>
      <c r="B2874" s="184">
        <v>7002590472</v>
      </c>
      <c r="C2874" s="184">
        <v>1</v>
      </c>
      <c r="D2874" s="9" t="s">
        <v>750</v>
      </c>
    </row>
    <row r="2875" spans="1:4" ht="12.5">
      <c r="A2875" s="186">
        <v>46170</v>
      </c>
      <c r="B2875" s="184">
        <v>7002590493</v>
      </c>
      <c r="C2875" s="184">
        <v>1</v>
      </c>
      <c r="D2875" s="9" t="s">
        <v>750</v>
      </c>
    </row>
    <row r="2876" spans="1:4" ht="12.5">
      <c r="A2876" s="186">
        <v>46170</v>
      </c>
      <c r="B2876" s="184">
        <v>7002594605</v>
      </c>
      <c r="C2876" s="184">
        <v>5</v>
      </c>
      <c r="D2876" s="9" t="s">
        <v>751</v>
      </c>
    </row>
    <row r="2877" spans="1:4" ht="12.5">
      <c r="A2877" s="186">
        <v>46170</v>
      </c>
      <c r="B2877" s="184">
        <v>7002596590</v>
      </c>
      <c r="C2877" s="184">
        <v>1</v>
      </c>
      <c r="D2877" s="9" t="s">
        <v>750</v>
      </c>
    </row>
    <row r="2878" spans="1:4" ht="12.5">
      <c r="A2878" s="186">
        <v>46170</v>
      </c>
      <c r="B2878" s="184">
        <v>7002598528</v>
      </c>
      <c r="C2878" s="184">
        <v>2</v>
      </c>
      <c r="D2878" s="9" t="s">
        <v>751</v>
      </c>
    </row>
    <row r="2879" spans="1:4" ht="12.5">
      <c r="A2879" s="186">
        <v>46170</v>
      </c>
      <c r="B2879" s="184">
        <v>7002599907</v>
      </c>
      <c r="C2879" s="184">
        <v>27</v>
      </c>
      <c r="D2879" s="9" t="s">
        <v>759</v>
      </c>
    </row>
    <row r="2880" spans="1:4" ht="12.5">
      <c r="A2880" s="186">
        <v>46170</v>
      </c>
      <c r="B2880" s="184">
        <v>7002610205</v>
      </c>
      <c r="C2880" s="184">
        <v>2</v>
      </c>
      <c r="D2880" s="9" t="s">
        <v>751</v>
      </c>
    </row>
    <row r="2881" spans="1:4" ht="12.5">
      <c r="A2881" s="186">
        <v>46170</v>
      </c>
      <c r="B2881" s="184">
        <v>7002611196</v>
      </c>
      <c r="C2881" s="184">
        <v>1</v>
      </c>
      <c r="D2881" s="9" t="s">
        <v>750</v>
      </c>
    </row>
    <row r="2882" spans="1:4" ht="12.5">
      <c r="A2882" s="186">
        <v>46170</v>
      </c>
      <c r="B2882" s="184">
        <v>7002611221</v>
      </c>
      <c r="C2882" s="184">
        <v>5</v>
      </c>
      <c r="D2882" s="9" t="s">
        <v>751</v>
      </c>
    </row>
    <row r="2883" spans="1:4" ht="12.5">
      <c r="A2883" s="186">
        <v>46170</v>
      </c>
      <c r="B2883" s="184">
        <v>7002612212</v>
      </c>
      <c r="C2883" s="184">
        <v>2</v>
      </c>
      <c r="D2883" s="9" t="s">
        <v>751</v>
      </c>
    </row>
    <row r="2884" spans="1:4" ht="12.5">
      <c r="A2884" s="186">
        <v>46170</v>
      </c>
      <c r="B2884" s="184">
        <v>7002612231</v>
      </c>
      <c r="C2884" s="184">
        <v>3</v>
      </c>
      <c r="D2884" s="9" t="s">
        <v>751</v>
      </c>
    </row>
    <row r="2885" spans="1:4" ht="12.5">
      <c r="A2885" s="186">
        <v>46170</v>
      </c>
      <c r="B2885" s="184">
        <v>7002614210</v>
      </c>
      <c r="C2885" s="184">
        <v>1</v>
      </c>
      <c r="D2885" s="9" t="s">
        <v>750</v>
      </c>
    </row>
    <row r="2886" spans="1:4" ht="12.5">
      <c r="A2886" s="186">
        <v>46170</v>
      </c>
      <c r="B2886" s="184">
        <v>7002616194</v>
      </c>
      <c r="C2886" s="184">
        <v>3</v>
      </c>
      <c r="D2886" s="9" t="s">
        <v>751</v>
      </c>
    </row>
    <row r="2887" spans="1:4" ht="12.5">
      <c r="A2887" s="186">
        <v>46170</v>
      </c>
      <c r="B2887" s="184">
        <v>7002617202</v>
      </c>
      <c r="C2887" s="184">
        <v>1</v>
      </c>
      <c r="D2887" s="9" t="s">
        <v>750</v>
      </c>
    </row>
    <row r="2888" spans="1:4" ht="12.5">
      <c r="A2888" s="186">
        <v>46170</v>
      </c>
      <c r="B2888" s="184">
        <v>7002618873</v>
      </c>
      <c r="C2888" s="184">
        <v>1</v>
      </c>
      <c r="D2888" s="9" t="s">
        <v>750</v>
      </c>
    </row>
    <row r="2889" spans="1:4" ht="12.5">
      <c r="A2889" s="186">
        <v>46170</v>
      </c>
      <c r="B2889" s="184">
        <v>7002623021</v>
      </c>
      <c r="C2889" s="184">
        <v>1</v>
      </c>
      <c r="D2889" s="9" t="s">
        <v>750</v>
      </c>
    </row>
    <row r="2890" spans="1:4" ht="12.5">
      <c r="A2890" s="186">
        <v>46170</v>
      </c>
      <c r="B2890" s="184">
        <v>7002623102</v>
      </c>
      <c r="C2890" s="184">
        <v>1</v>
      </c>
      <c r="D2890" s="9" t="s">
        <v>750</v>
      </c>
    </row>
    <row r="2891" spans="1:4" ht="12.5">
      <c r="A2891" s="186">
        <v>46170</v>
      </c>
      <c r="B2891" s="184">
        <v>7002625686</v>
      </c>
      <c r="C2891" s="184">
        <v>2</v>
      </c>
      <c r="D2891" s="9" t="s">
        <v>751</v>
      </c>
    </row>
    <row r="2892" spans="1:4" ht="12.5">
      <c r="A2892" s="186">
        <v>46170</v>
      </c>
      <c r="B2892" s="184">
        <v>7002627182</v>
      </c>
      <c r="C2892" s="184">
        <v>6</v>
      </c>
      <c r="D2892" s="9" t="s">
        <v>758</v>
      </c>
    </row>
    <row r="2893" spans="1:4" ht="12.5">
      <c r="A2893" s="186">
        <v>46170</v>
      </c>
      <c r="B2893" s="184">
        <v>7002629121</v>
      </c>
      <c r="C2893" s="184">
        <v>10</v>
      </c>
      <c r="D2893" s="9" t="s">
        <v>758</v>
      </c>
    </row>
    <row r="2894" spans="1:4" ht="12.5">
      <c r="A2894" s="186">
        <v>46170</v>
      </c>
      <c r="B2894" s="184">
        <v>7002630432</v>
      </c>
      <c r="C2894" s="184">
        <v>1</v>
      </c>
      <c r="D2894" s="9" t="s">
        <v>750</v>
      </c>
    </row>
    <row r="2895" spans="1:4" ht="12.5">
      <c r="A2895" s="186">
        <v>46170</v>
      </c>
      <c r="B2895" s="184">
        <v>7002630617</v>
      </c>
      <c r="C2895" s="184">
        <v>1</v>
      </c>
      <c r="D2895" s="9" t="s">
        <v>750</v>
      </c>
    </row>
    <row r="2896" spans="1:4" ht="12.5">
      <c r="A2896" s="186">
        <v>46170</v>
      </c>
      <c r="B2896" s="184">
        <v>7002630770</v>
      </c>
      <c r="C2896" s="184">
        <v>15</v>
      </c>
      <c r="D2896" s="9" t="s">
        <v>759</v>
      </c>
    </row>
    <row r="2897" spans="1:4" ht="12.5">
      <c r="A2897" s="186">
        <v>46170</v>
      </c>
      <c r="B2897" s="184">
        <v>7002631911</v>
      </c>
      <c r="C2897" s="184">
        <v>14</v>
      </c>
      <c r="D2897" s="9" t="s">
        <v>759</v>
      </c>
    </row>
    <row r="2898" spans="1:4" ht="12.5">
      <c r="A2898" s="186">
        <v>46170</v>
      </c>
      <c r="B2898" s="184">
        <v>7002633536</v>
      </c>
      <c r="C2898" s="184">
        <v>2</v>
      </c>
      <c r="D2898" s="9" t="s">
        <v>751</v>
      </c>
    </row>
    <row r="2899" spans="1:4" ht="12.5">
      <c r="A2899" s="186">
        <v>46170</v>
      </c>
      <c r="B2899" s="184">
        <v>7002633933</v>
      </c>
      <c r="C2899" s="184">
        <v>100</v>
      </c>
      <c r="D2899" s="9" t="s">
        <v>759</v>
      </c>
    </row>
    <row r="2900" spans="1:4" ht="12.5">
      <c r="A2900" s="186">
        <v>46170</v>
      </c>
      <c r="B2900" s="184">
        <v>7002634909</v>
      </c>
      <c r="C2900" s="184">
        <v>2</v>
      </c>
      <c r="D2900" s="9" t="s">
        <v>751</v>
      </c>
    </row>
    <row r="2901" spans="1:4" ht="12.5">
      <c r="A2901" s="186">
        <v>46170</v>
      </c>
      <c r="B2901" s="184">
        <v>7002637892</v>
      </c>
      <c r="C2901" s="184">
        <v>3</v>
      </c>
      <c r="D2901" s="9" t="s">
        <v>751</v>
      </c>
    </row>
    <row r="2902" spans="1:4" ht="12.5">
      <c r="A2902" s="186">
        <v>46170</v>
      </c>
      <c r="B2902" s="184">
        <v>7002638174</v>
      </c>
      <c r="C2902" s="184">
        <v>3</v>
      </c>
      <c r="D2902" s="9" t="s">
        <v>751</v>
      </c>
    </row>
    <row r="2903" spans="1:4" ht="12.5">
      <c r="A2903" s="186">
        <v>46170</v>
      </c>
      <c r="B2903" s="184">
        <v>7002638937</v>
      </c>
      <c r="C2903" s="184">
        <v>3</v>
      </c>
      <c r="D2903" s="9" t="s">
        <v>751</v>
      </c>
    </row>
    <row r="2904" spans="1:4" ht="12.5">
      <c r="A2904" s="186">
        <v>46170</v>
      </c>
      <c r="B2904" s="184">
        <v>7002640406</v>
      </c>
      <c r="C2904" s="184">
        <v>3</v>
      </c>
      <c r="D2904" s="9" t="s">
        <v>751</v>
      </c>
    </row>
    <row r="2905" spans="1:4" ht="12.5">
      <c r="A2905" s="186">
        <v>46170</v>
      </c>
      <c r="B2905" s="184">
        <v>7002640570</v>
      </c>
      <c r="C2905" s="184">
        <v>3</v>
      </c>
      <c r="D2905" s="9" t="s">
        <v>751</v>
      </c>
    </row>
    <row r="2906" spans="1:4" ht="12.5">
      <c r="A2906" s="186">
        <v>46170</v>
      </c>
      <c r="B2906" s="184">
        <v>7002642146</v>
      </c>
      <c r="C2906" s="184">
        <v>1</v>
      </c>
      <c r="D2906" s="9" t="s">
        <v>750</v>
      </c>
    </row>
    <row r="2907" spans="1:4" ht="12.5">
      <c r="A2907" s="186">
        <v>46170</v>
      </c>
      <c r="B2907" s="184">
        <v>7002642478</v>
      </c>
      <c r="C2907" s="184">
        <v>6</v>
      </c>
      <c r="D2907" s="9" t="s">
        <v>758</v>
      </c>
    </row>
    <row r="2908" spans="1:4" ht="12.5">
      <c r="A2908" s="186">
        <v>46170</v>
      </c>
      <c r="B2908" s="184">
        <v>7002642912</v>
      </c>
      <c r="C2908" s="184">
        <v>52</v>
      </c>
      <c r="D2908" s="9" t="s">
        <v>759</v>
      </c>
    </row>
    <row r="2909" spans="1:4" ht="12.5">
      <c r="A2909" s="186">
        <v>46170</v>
      </c>
      <c r="B2909" s="184">
        <v>7002642954</v>
      </c>
      <c r="C2909" s="184">
        <v>3</v>
      </c>
      <c r="D2909" s="9" t="s">
        <v>751</v>
      </c>
    </row>
    <row r="2910" spans="1:4" ht="12.5">
      <c r="A2910" s="186">
        <v>46170</v>
      </c>
      <c r="B2910" s="184">
        <v>7002643593</v>
      </c>
      <c r="C2910" s="184">
        <v>12</v>
      </c>
      <c r="D2910" s="9" t="s">
        <v>759</v>
      </c>
    </row>
    <row r="2911" spans="1:4" ht="12.5">
      <c r="A2911" s="186">
        <v>46170</v>
      </c>
      <c r="B2911" s="184">
        <v>7002643953</v>
      </c>
      <c r="C2911" s="184">
        <v>26</v>
      </c>
      <c r="D2911" s="9" t="s">
        <v>759</v>
      </c>
    </row>
    <row r="2912" spans="1:4" ht="12.5">
      <c r="A2912" s="186">
        <v>46170</v>
      </c>
      <c r="B2912" s="184">
        <v>7002643982</v>
      </c>
      <c r="C2912" s="184">
        <v>3</v>
      </c>
      <c r="D2912" s="9" t="s">
        <v>751</v>
      </c>
    </row>
    <row r="2913" spans="1:4" ht="12.5">
      <c r="A2913" s="186">
        <v>46170</v>
      </c>
      <c r="B2913" s="184">
        <v>7002644805</v>
      </c>
      <c r="C2913" s="184">
        <v>8</v>
      </c>
      <c r="D2913" s="9" t="s">
        <v>758</v>
      </c>
    </row>
    <row r="2914" spans="1:4" ht="12.5">
      <c r="A2914" s="186">
        <v>46170</v>
      </c>
      <c r="B2914" s="184">
        <v>7002644999</v>
      </c>
      <c r="C2914" s="184">
        <v>128</v>
      </c>
      <c r="D2914" s="9" t="s">
        <v>759</v>
      </c>
    </row>
    <row r="2915" spans="1:4" ht="12.5">
      <c r="A2915" s="186">
        <v>46170</v>
      </c>
      <c r="B2915" s="184">
        <v>7002645188</v>
      </c>
      <c r="C2915" s="184">
        <v>7</v>
      </c>
      <c r="D2915" s="9" t="s">
        <v>758</v>
      </c>
    </row>
    <row r="2916" spans="1:4" ht="12.5">
      <c r="A2916" s="186">
        <v>46170</v>
      </c>
      <c r="B2916" s="184">
        <v>7002645721</v>
      </c>
      <c r="C2916" s="184">
        <v>1</v>
      </c>
      <c r="D2916" s="9" t="s">
        <v>750</v>
      </c>
    </row>
    <row r="2917" spans="1:4" ht="12.5">
      <c r="A2917" s="186">
        <v>46170</v>
      </c>
      <c r="B2917" s="184">
        <v>7002645985</v>
      </c>
      <c r="C2917" s="184">
        <v>2</v>
      </c>
      <c r="D2917" s="9" t="s">
        <v>751</v>
      </c>
    </row>
    <row r="2918" spans="1:4" ht="12.5">
      <c r="A2918" s="186">
        <v>46170</v>
      </c>
      <c r="B2918" s="184">
        <v>7002646993</v>
      </c>
      <c r="C2918" s="184">
        <v>10</v>
      </c>
      <c r="D2918" s="9" t="s">
        <v>758</v>
      </c>
    </row>
    <row r="2919" spans="1:4" ht="12.5">
      <c r="A2919" s="186">
        <v>46170</v>
      </c>
      <c r="B2919" s="184">
        <v>7002647565</v>
      </c>
      <c r="C2919" s="184">
        <v>37</v>
      </c>
      <c r="D2919" s="9" t="s">
        <v>759</v>
      </c>
    </row>
    <row r="2920" spans="1:4" ht="12.5">
      <c r="A2920" s="186">
        <v>46170</v>
      </c>
      <c r="B2920" s="184">
        <v>7002647973</v>
      </c>
      <c r="C2920" s="184">
        <v>189</v>
      </c>
      <c r="D2920" s="9" t="s">
        <v>759</v>
      </c>
    </row>
    <row r="2921" spans="1:4" ht="12.5">
      <c r="A2921" s="186">
        <v>46170</v>
      </c>
      <c r="B2921" s="184">
        <v>7002648310</v>
      </c>
      <c r="C2921" s="184">
        <v>6</v>
      </c>
      <c r="D2921" s="9" t="s">
        <v>758</v>
      </c>
    </row>
    <row r="2922" spans="1:4" ht="12.5">
      <c r="A2922" s="186">
        <v>46170</v>
      </c>
      <c r="B2922" s="184">
        <v>7002649102</v>
      </c>
      <c r="C2922" s="184">
        <v>7</v>
      </c>
      <c r="D2922" s="9" t="s">
        <v>758</v>
      </c>
    </row>
    <row r="2923" spans="1:4" ht="12.5">
      <c r="A2923" s="186">
        <v>46170</v>
      </c>
      <c r="B2923" s="184">
        <v>7002649293</v>
      </c>
      <c r="C2923" s="184">
        <v>2</v>
      </c>
      <c r="D2923" s="9" t="s">
        <v>751</v>
      </c>
    </row>
    <row r="2924" spans="1:4" ht="12.5">
      <c r="A2924" s="186">
        <v>46170</v>
      </c>
      <c r="B2924" s="184">
        <v>7002649579</v>
      </c>
      <c r="C2924" s="184">
        <v>2</v>
      </c>
      <c r="D2924" s="9" t="s">
        <v>751</v>
      </c>
    </row>
    <row r="2925" spans="1:4" ht="12.5">
      <c r="A2925" s="186">
        <v>46170</v>
      </c>
      <c r="B2925" s="184">
        <v>7002649668</v>
      </c>
      <c r="C2925" s="184">
        <v>1</v>
      </c>
      <c r="D2925" s="9" t="s">
        <v>750</v>
      </c>
    </row>
    <row r="2926" spans="1:4" ht="12.5">
      <c r="A2926" s="186">
        <v>46170</v>
      </c>
      <c r="B2926" s="184">
        <v>7002649731</v>
      </c>
      <c r="C2926" s="184">
        <v>1</v>
      </c>
      <c r="D2926" s="9" t="s">
        <v>750</v>
      </c>
    </row>
    <row r="2927" spans="1:4" ht="12.5">
      <c r="A2927" s="186">
        <v>46170</v>
      </c>
      <c r="B2927" s="184">
        <v>7002650288</v>
      </c>
      <c r="C2927" s="184">
        <v>1</v>
      </c>
      <c r="D2927" s="9" t="s">
        <v>750</v>
      </c>
    </row>
    <row r="2928" spans="1:4" ht="12.5">
      <c r="A2928" s="186">
        <v>46170</v>
      </c>
      <c r="B2928" s="184">
        <v>7002650290</v>
      </c>
      <c r="C2928" s="184">
        <v>1</v>
      </c>
      <c r="D2928" s="9" t="s">
        <v>750</v>
      </c>
    </row>
    <row r="2929" spans="1:4" ht="12.5">
      <c r="A2929" s="186">
        <v>46170</v>
      </c>
      <c r="B2929" s="184">
        <v>7002651396</v>
      </c>
      <c r="C2929" s="184">
        <v>1</v>
      </c>
      <c r="D2929" s="9" t="s">
        <v>750</v>
      </c>
    </row>
    <row r="2930" spans="1:4" ht="12.5">
      <c r="A2930" s="186">
        <v>46170</v>
      </c>
      <c r="B2930" s="184">
        <v>7002651864</v>
      </c>
      <c r="C2930" s="184">
        <v>1</v>
      </c>
      <c r="D2930" s="9" t="s">
        <v>750</v>
      </c>
    </row>
    <row r="2931" spans="1:4" ht="12.5">
      <c r="A2931" s="186">
        <v>46170</v>
      </c>
      <c r="B2931" s="184">
        <v>7002652084</v>
      </c>
      <c r="C2931" s="184">
        <v>124</v>
      </c>
      <c r="D2931" s="9" t="s">
        <v>759</v>
      </c>
    </row>
    <row r="2932" spans="1:4" ht="12.5">
      <c r="A2932" s="186">
        <v>46170</v>
      </c>
      <c r="B2932" s="184">
        <v>7002652859</v>
      </c>
      <c r="C2932" s="184">
        <v>2</v>
      </c>
      <c r="D2932" s="9" t="s">
        <v>751</v>
      </c>
    </row>
    <row r="2933" spans="1:4" ht="12.5">
      <c r="A2933" s="186">
        <v>46170</v>
      </c>
      <c r="B2933" s="184">
        <v>7002653083</v>
      </c>
      <c r="C2933" s="184">
        <v>50</v>
      </c>
      <c r="D2933" s="9" t="s">
        <v>759</v>
      </c>
    </row>
    <row r="2934" spans="1:4" ht="12.5">
      <c r="A2934" s="186">
        <v>46170</v>
      </c>
      <c r="B2934" s="184">
        <v>7002653402</v>
      </c>
      <c r="C2934" s="184">
        <v>170</v>
      </c>
      <c r="D2934" s="9" t="s">
        <v>759</v>
      </c>
    </row>
    <row r="2935" spans="1:4" ht="12.5">
      <c r="A2935" s="186">
        <v>46170</v>
      </c>
      <c r="B2935" s="184">
        <v>7002653858</v>
      </c>
      <c r="C2935" s="184">
        <v>1</v>
      </c>
      <c r="D2935" s="9" t="s">
        <v>750</v>
      </c>
    </row>
    <row r="2936" spans="1:4" ht="12.5">
      <c r="A2936" s="186">
        <v>46170</v>
      </c>
      <c r="B2936" s="184">
        <v>7002654048</v>
      </c>
      <c r="C2936" s="184">
        <v>20</v>
      </c>
      <c r="D2936" s="9" t="s">
        <v>759</v>
      </c>
    </row>
    <row r="2937" spans="1:4" ht="12.5">
      <c r="A2937" s="186">
        <v>46170</v>
      </c>
      <c r="B2937" s="184">
        <v>7002654262</v>
      </c>
      <c r="C2937" s="184">
        <v>1</v>
      </c>
      <c r="D2937" s="9" t="s">
        <v>750</v>
      </c>
    </row>
    <row r="2938" spans="1:4" ht="12.5">
      <c r="A2938" s="186">
        <v>46170</v>
      </c>
      <c r="B2938" s="184">
        <v>7002655253</v>
      </c>
      <c r="C2938" s="184">
        <v>1</v>
      </c>
      <c r="D2938" s="9" t="s">
        <v>750</v>
      </c>
    </row>
    <row r="2939" spans="1:4" ht="12.5">
      <c r="A2939" s="186">
        <v>46170</v>
      </c>
      <c r="B2939" s="184">
        <v>7002655301</v>
      </c>
      <c r="C2939" s="184">
        <v>1</v>
      </c>
      <c r="D2939" s="9" t="s">
        <v>750</v>
      </c>
    </row>
    <row r="2940" spans="1:4" ht="12.5">
      <c r="A2940" s="186">
        <v>46170</v>
      </c>
      <c r="B2940" s="184">
        <v>7002656059</v>
      </c>
      <c r="C2940" s="184">
        <v>2</v>
      </c>
      <c r="D2940" s="9" t="s">
        <v>751</v>
      </c>
    </row>
    <row r="2941" spans="1:4" ht="12.5">
      <c r="A2941" s="186">
        <v>46170</v>
      </c>
      <c r="B2941" s="184">
        <v>7002656130</v>
      </c>
      <c r="C2941" s="184">
        <v>7</v>
      </c>
      <c r="D2941" s="9" t="s">
        <v>758</v>
      </c>
    </row>
    <row r="2942" spans="1:4" ht="12.5">
      <c r="A2942" s="186">
        <v>46170</v>
      </c>
      <c r="B2942" s="184">
        <v>7002657108</v>
      </c>
      <c r="C2942" s="184">
        <v>1</v>
      </c>
      <c r="D2942" s="9" t="s">
        <v>750</v>
      </c>
    </row>
    <row r="2943" spans="1:4" ht="12.5">
      <c r="A2943" s="186">
        <v>46170</v>
      </c>
      <c r="B2943" s="184">
        <v>7002657357</v>
      </c>
      <c r="C2943" s="184">
        <v>1</v>
      </c>
      <c r="D2943" s="9" t="s">
        <v>750</v>
      </c>
    </row>
    <row r="2944" spans="1:4" ht="12.5">
      <c r="A2944" s="186">
        <v>46170</v>
      </c>
      <c r="B2944" s="184">
        <v>7002658087</v>
      </c>
      <c r="C2944" s="184">
        <v>2</v>
      </c>
      <c r="D2944" s="9" t="s">
        <v>751</v>
      </c>
    </row>
    <row r="2945" spans="1:4" ht="12.5">
      <c r="A2945" s="186">
        <v>46170</v>
      </c>
      <c r="B2945" s="184">
        <v>7002658304</v>
      </c>
      <c r="C2945" s="184">
        <v>1</v>
      </c>
      <c r="D2945" s="9" t="s">
        <v>750</v>
      </c>
    </row>
    <row r="2946" spans="1:4" ht="12.5">
      <c r="A2946" s="186">
        <v>46170</v>
      </c>
      <c r="B2946" s="184">
        <v>7002658834</v>
      </c>
      <c r="C2946" s="184">
        <v>1</v>
      </c>
      <c r="D2946" s="9" t="s">
        <v>750</v>
      </c>
    </row>
    <row r="2947" spans="1:4" ht="12.5">
      <c r="A2947" s="186">
        <v>46170</v>
      </c>
      <c r="B2947" s="184">
        <v>7002658899</v>
      </c>
      <c r="C2947" s="184">
        <v>1</v>
      </c>
      <c r="D2947" s="9" t="s">
        <v>750</v>
      </c>
    </row>
    <row r="2948" spans="1:4" ht="12.5">
      <c r="A2948" s="186">
        <v>46170</v>
      </c>
      <c r="B2948" s="184">
        <v>7002659848</v>
      </c>
      <c r="C2948" s="184">
        <v>1</v>
      </c>
      <c r="D2948" s="9" t="s">
        <v>750</v>
      </c>
    </row>
    <row r="2949" spans="1:4" ht="12.5">
      <c r="A2949" s="186">
        <v>46170</v>
      </c>
      <c r="B2949" s="184">
        <v>7002661591</v>
      </c>
      <c r="C2949" s="184">
        <v>3</v>
      </c>
      <c r="D2949" s="9" t="s">
        <v>751</v>
      </c>
    </row>
    <row r="2950" spans="1:4" ht="12.5">
      <c r="A2950" s="186">
        <v>46170</v>
      </c>
      <c r="B2950" s="184">
        <v>7002662405</v>
      </c>
      <c r="C2950" s="184">
        <v>4</v>
      </c>
      <c r="D2950" s="9" t="s">
        <v>751</v>
      </c>
    </row>
    <row r="2951" spans="1:4" ht="12.5">
      <c r="A2951" s="186">
        <v>46170</v>
      </c>
      <c r="B2951" s="184">
        <v>7002664483</v>
      </c>
      <c r="C2951" s="184">
        <v>1</v>
      </c>
      <c r="D2951" s="9" t="s">
        <v>750</v>
      </c>
    </row>
    <row r="2952" spans="1:4" ht="12.5">
      <c r="A2952" s="186">
        <v>46170</v>
      </c>
      <c r="B2952" s="184">
        <v>7002665045</v>
      </c>
      <c r="C2952" s="184">
        <v>2</v>
      </c>
      <c r="D2952" s="9" t="s">
        <v>751</v>
      </c>
    </row>
    <row r="2953" spans="1:4" ht="12.5">
      <c r="A2953" s="186">
        <v>46170</v>
      </c>
      <c r="B2953" s="184">
        <v>7002665125</v>
      </c>
      <c r="C2953" s="184">
        <v>1</v>
      </c>
      <c r="D2953" s="9" t="s">
        <v>750</v>
      </c>
    </row>
    <row r="2954" spans="1:4" ht="12.5">
      <c r="A2954" s="186">
        <v>46170</v>
      </c>
      <c r="B2954" s="184">
        <v>7002666436</v>
      </c>
      <c r="C2954" s="184">
        <v>5</v>
      </c>
      <c r="D2954" s="9" t="s">
        <v>751</v>
      </c>
    </row>
    <row r="2955" spans="1:4" ht="12.5">
      <c r="A2955" s="186">
        <v>46170</v>
      </c>
      <c r="B2955" s="184">
        <v>7002666491</v>
      </c>
      <c r="C2955" s="184">
        <v>1</v>
      </c>
      <c r="D2955" s="9" t="s">
        <v>750</v>
      </c>
    </row>
    <row r="2956" spans="1:4" ht="12.5">
      <c r="A2956" s="186">
        <v>46170</v>
      </c>
      <c r="B2956" s="184">
        <v>7002667553</v>
      </c>
      <c r="C2956" s="184">
        <v>1</v>
      </c>
      <c r="D2956" s="9" t="s">
        <v>750</v>
      </c>
    </row>
    <row r="2957" spans="1:4" ht="12.5">
      <c r="A2957" s="186">
        <v>46170</v>
      </c>
      <c r="B2957" s="184">
        <v>7002668082</v>
      </c>
      <c r="C2957" s="184">
        <v>3</v>
      </c>
      <c r="D2957" s="9" t="s">
        <v>751</v>
      </c>
    </row>
    <row r="2958" spans="1:4" ht="12.5">
      <c r="A2958" s="186">
        <v>46170</v>
      </c>
      <c r="B2958" s="184">
        <v>7002668379</v>
      </c>
      <c r="C2958" s="184">
        <v>1</v>
      </c>
      <c r="D2958" s="9" t="s">
        <v>750</v>
      </c>
    </row>
    <row r="2959" spans="1:4" ht="12.5">
      <c r="A2959" s="186">
        <v>46170</v>
      </c>
      <c r="B2959" s="184">
        <v>7002669441</v>
      </c>
      <c r="C2959" s="184">
        <v>1</v>
      </c>
      <c r="D2959" s="9" t="s">
        <v>750</v>
      </c>
    </row>
    <row r="2960" spans="1:4" ht="12.5">
      <c r="A2960" s="186">
        <v>46170</v>
      </c>
      <c r="B2960" s="184">
        <v>7002669584</v>
      </c>
      <c r="C2960" s="184">
        <v>4</v>
      </c>
      <c r="D2960" s="9" t="s">
        <v>751</v>
      </c>
    </row>
    <row r="2961" spans="1:4" ht="12.5">
      <c r="A2961" s="191"/>
      <c r="B2961" s="194"/>
      <c r="C2961" s="194"/>
      <c r="D2961" s="136"/>
    </row>
    <row r="2962" spans="1:4" ht="12.5">
      <c r="A2962" s="186">
        <v>46171</v>
      </c>
      <c r="B2962" s="9">
        <v>7002533865</v>
      </c>
      <c r="C2962" s="9">
        <v>2</v>
      </c>
      <c r="D2962" s="9" t="s">
        <v>751</v>
      </c>
    </row>
    <row r="2963" spans="1:4" ht="12.5">
      <c r="A2963" s="186">
        <v>46171</v>
      </c>
      <c r="B2963" s="9">
        <v>7002536097</v>
      </c>
      <c r="C2963" s="9">
        <v>4</v>
      </c>
      <c r="D2963" s="9" t="s">
        <v>751</v>
      </c>
    </row>
    <row r="2964" spans="1:4" ht="12.5">
      <c r="A2964" s="186">
        <v>46171</v>
      </c>
      <c r="B2964" s="9">
        <v>7002540364</v>
      </c>
      <c r="C2964" s="9">
        <v>5</v>
      </c>
      <c r="D2964" s="9" t="s">
        <v>751</v>
      </c>
    </row>
    <row r="2965" spans="1:4" ht="12.5">
      <c r="A2965" s="186">
        <v>46171</v>
      </c>
      <c r="B2965" s="9">
        <v>7002551141</v>
      </c>
      <c r="C2965" s="9">
        <v>4</v>
      </c>
      <c r="D2965" s="9" t="s">
        <v>751</v>
      </c>
    </row>
    <row r="2966" spans="1:4" ht="12.5">
      <c r="A2966" s="186">
        <v>46171</v>
      </c>
      <c r="B2966" s="9">
        <v>7002552566</v>
      </c>
      <c r="C2966" s="9">
        <v>4</v>
      </c>
      <c r="D2966" s="9" t="s">
        <v>751</v>
      </c>
    </row>
    <row r="2967" spans="1:4" ht="12.5">
      <c r="A2967" s="186">
        <v>46171</v>
      </c>
      <c r="B2967" s="9">
        <v>7002553346</v>
      </c>
      <c r="C2967" s="9">
        <v>8</v>
      </c>
      <c r="D2967" s="9" t="s">
        <v>758</v>
      </c>
    </row>
    <row r="2968" spans="1:4" ht="12.5">
      <c r="A2968" s="186">
        <v>46171</v>
      </c>
      <c r="B2968" s="9">
        <v>7002554524</v>
      </c>
      <c r="C2968" s="9">
        <v>6</v>
      </c>
      <c r="D2968" s="9" t="s">
        <v>758</v>
      </c>
    </row>
    <row r="2969" spans="1:4" ht="12.5">
      <c r="A2969" s="186">
        <v>46171</v>
      </c>
      <c r="B2969" s="9">
        <v>7002554620</v>
      </c>
      <c r="C2969" s="9">
        <v>5</v>
      </c>
      <c r="D2969" s="9" t="s">
        <v>751</v>
      </c>
    </row>
    <row r="2970" spans="1:4" ht="12.5">
      <c r="A2970" s="186">
        <v>46171</v>
      </c>
      <c r="B2970" s="9">
        <v>7002557593</v>
      </c>
      <c r="C2970" s="9">
        <v>4</v>
      </c>
      <c r="D2970" s="9" t="s">
        <v>751</v>
      </c>
    </row>
    <row r="2971" spans="1:4" ht="12.5">
      <c r="A2971" s="186">
        <v>46171</v>
      </c>
      <c r="B2971" s="9">
        <v>7002559503</v>
      </c>
      <c r="C2971" s="9">
        <v>4</v>
      </c>
      <c r="D2971" s="9" t="s">
        <v>751</v>
      </c>
    </row>
    <row r="2972" spans="1:4" ht="12.5">
      <c r="A2972" s="186">
        <v>46171</v>
      </c>
      <c r="B2972" s="9">
        <v>7002559535</v>
      </c>
      <c r="C2972" s="9">
        <v>5</v>
      </c>
      <c r="D2972" s="9" t="s">
        <v>751</v>
      </c>
    </row>
    <row r="2973" spans="1:4" ht="12.5">
      <c r="A2973" s="186">
        <v>46171</v>
      </c>
      <c r="B2973" s="9">
        <v>7002560657</v>
      </c>
      <c r="C2973" s="9">
        <v>4</v>
      </c>
      <c r="D2973" s="9" t="s">
        <v>751</v>
      </c>
    </row>
    <row r="2974" spans="1:4" ht="12.5">
      <c r="A2974" s="186">
        <v>46171</v>
      </c>
      <c r="B2974" s="9">
        <v>7002569353</v>
      </c>
      <c r="C2974" s="9">
        <v>2</v>
      </c>
      <c r="D2974" s="9" t="s">
        <v>751</v>
      </c>
    </row>
    <row r="2975" spans="1:4" ht="12.5">
      <c r="A2975" s="186">
        <v>46171</v>
      </c>
      <c r="B2975" s="9">
        <v>7002571554</v>
      </c>
      <c r="C2975" s="9">
        <v>2</v>
      </c>
      <c r="D2975" s="9" t="s">
        <v>751</v>
      </c>
    </row>
    <row r="2976" spans="1:4" ht="12.5">
      <c r="A2976" s="186">
        <v>46171</v>
      </c>
      <c r="B2976" s="9">
        <v>7002576807</v>
      </c>
      <c r="C2976" s="9">
        <v>4</v>
      </c>
      <c r="D2976" s="9" t="s">
        <v>751</v>
      </c>
    </row>
    <row r="2977" spans="1:4" ht="12.5">
      <c r="A2977" s="186">
        <v>46171</v>
      </c>
      <c r="B2977" s="9">
        <v>7002577364</v>
      </c>
      <c r="C2977" s="9">
        <v>4</v>
      </c>
      <c r="D2977" s="9" t="s">
        <v>751</v>
      </c>
    </row>
    <row r="2978" spans="1:4" ht="12.5">
      <c r="A2978" s="186">
        <v>46171</v>
      </c>
      <c r="B2978" s="9">
        <v>7002577763</v>
      </c>
      <c r="C2978" s="9">
        <v>1</v>
      </c>
      <c r="D2978" s="9" t="s">
        <v>750</v>
      </c>
    </row>
    <row r="2979" spans="1:4" ht="12.5">
      <c r="A2979" s="186">
        <v>46171</v>
      </c>
      <c r="B2979" s="9">
        <v>7002578231</v>
      </c>
      <c r="C2979" s="9">
        <v>2</v>
      </c>
      <c r="D2979" s="9" t="s">
        <v>751</v>
      </c>
    </row>
    <row r="2980" spans="1:4" ht="12.5">
      <c r="A2980" s="186">
        <v>46171</v>
      </c>
      <c r="B2980" s="9">
        <v>7002578394</v>
      </c>
      <c r="C2980" s="9">
        <v>2</v>
      </c>
      <c r="D2980" s="9" t="s">
        <v>751</v>
      </c>
    </row>
    <row r="2981" spans="1:4" ht="12.5">
      <c r="A2981" s="186">
        <v>46171</v>
      </c>
      <c r="B2981" s="9">
        <v>7002578786</v>
      </c>
      <c r="C2981" s="9">
        <v>27</v>
      </c>
      <c r="D2981" s="9" t="s">
        <v>752</v>
      </c>
    </row>
    <row r="2982" spans="1:4" ht="12.5">
      <c r="A2982" s="186">
        <v>46171</v>
      </c>
      <c r="B2982" s="9">
        <v>7002579319</v>
      </c>
      <c r="C2982" s="9">
        <v>10</v>
      </c>
      <c r="D2982" s="9" t="s">
        <v>758</v>
      </c>
    </row>
    <row r="2983" spans="1:4" ht="12.5">
      <c r="A2983" s="186">
        <v>46171</v>
      </c>
      <c r="B2983" s="9">
        <v>7002583740</v>
      </c>
      <c r="C2983" s="9">
        <v>23</v>
      </c>
      <c r="D2983" s="9" t="s">
        <v>752</v>
      </c>
    </row>
    <row r="2984" spans="1:4" ht="12.5">
      <c r="A2984" s="186">
        <v>46171</v>
      </c>
      <c r="B2984" s="9">
        <v>7002585734</v>
      </c>
      <c r="C2984" s="9">
        <v>9</v>
      </c>
      <c r="D2984" s="9" t="s">
        <v>758</v>
      </c>
    </row>
    <row r="2985" spans="1:4" ht="12.5">
      <c r="A2985" s="186">
        <v>46171</v>
      </c>
      <c r="B2985" s="9">
        <v>7002586096</v>
      </c>
      <c r="C2985" s="9">
        <v>6</v>
      </c>
      <c r="D2985" s="9" t="s">
        <v>758</v>
      </c>
    </row>
    <row r="2986" spans="1:4" ht="12.5">
      <c r="A2986" s="186">
        <v>46171</v>
      </c>
      <c r="B2986" s="9">
        <v>7002596590</v>
      </c>
      <c r="C2986" s="9">
        <v>1</v>
      </c>
      <c r="D2986" s="9" t="s">
        <v>750</v>
      </c>
    </row>
    <row r="2987" spans="1:4" ht="12.5">
      <c r="A2987" s="186">
        <v>46171</v>
      </c>
      <c r="B2987" s="9">
        <v>7002598528</v>
      </c>
      <c r="C2987" s="9">
        <v>2</v>
      </c>
      <c r="D2987" s="9" t="s">
        <v>751</v>
      </c>
    </row>
    <row r="2988" spans="1:4" ht="12.5">
      <c r="A2988" s="186">
        <v>46171</v>
      </c>
      <c r="B2988" s="9">
        <v>7002599907</v>
      </c>
      <c r="C2988" s="9">
        <v>27</v>
      </c>
      <c r="D2988" s="9" t="s">
        <v>752</v>
      </c>
    </row>
    <row r="2989" spans="1:4" ht="12.5">
      <c r="A2989" s="186">
        <v>46171</v>
      </c>
      <c r="B2989" s="9">
        <v>7002601546</v>
      </c>
      <c r="C2989" s="9">
        <v>9</v>
      </c>
      <c r="D2989" s="9" t="s">
        <v>758</v>
      </c>
    </row>
    <row r="2990" spans="1:4" ht="12.5">
      <c r="A2990" s="186">
        <v>46171</v>
      </c>
      <c r="B2990" s="9">
        <v>7002610315</v>
      </c>
      <c r="C2990" s="9">
        <v>20</v>
      </c>
      <c r="D2990" s="9" t="s">
        <v>752</v>
      </c>
    </row>
    <row r="2991" spans="1:4" ht="12.5">
      <c r="A2991" s="186">
        <v>46171</v>
      </c>
      <c r="B2991" s="9">
        <v>7002611196</v>
      </c>
      <c r="C2991" s="9">
        <v>1</v>
      </c>
      <c r="D2991" s="9" t="s">
        <v>750</v>
      </c>
    </row>
    <row r="2992" spans="1:4" ht="12.5">
      <c r="A2992" s="186">
        <v>46171</v>
      </c>
      <c r="B2992" s="9">
        <v>7002611221</v>
      </c>
      <c r="C2992" s="9">
        <v>5</v>
      </c>
      <c r="D2992" s="9" t="s">
        <v>751</v>
      </c>
    </row>
    <row r="2993" spans="1:4" ht="12.5">
      <c r="A2993" s="186">
        <v>46171</v>
      </c>
      <c r="B2993" s="9">
        <v>7002611319</v>
      </c>
      <c r="C2993" s="9">
        <v>20</v>
      </c>
      <c r="D2993" s="9" t="s">
        <v>752</v>
      </c>
    </row>
    <row r="2994" spans="1:4" ht="12.5">
      <c r="A2994" s="186">
        <v>46171</v>
      </c>
      <c r="B2994" s="9">
        <v>7002611335</v>
      </c>
      <c r="C2994" s="9">
        <v>20</v>
      </c>
      <c r="D2994" s="9" t="s">
        <v>752</v>
      </c>
    </row>
    <row r="2995" spans="1:4" ht="12.5">
      <c r="A2995" s="186">
        <v>46171</v>
      </c>
      <c r="B2995" s="9">
        <v>7002612212</v>
      </c>
      <c r="C2995" s="9">
        <v>2</v>
      </c>
      <c r="D2995" s="9" t="s">
        <v>751</v>
      </c>
    </row>
    <row r="2996" spans="1:4" ht="12.5">
      <c r="A2996" s="186">
        <v>46171</v>
      </c>
      <c r="B2996" s="9">
        <v>7002616194</v>
      </c>
      <c r="C2996" s="9">
        <v>3</v>
      </c>
      <c r="D2996" s="9" t="s">
        <v>751</v>
      </c>
    </row>
    <row r="2997" spans="1:4" ht="12.5">
      <c r="A2997" s="186">
        <v>46171</v>
      </c>
      <c r="B2997" s="9">
        <v>7002616201</v>
      </c>
      <c r="C2997" s="9">
        <v>2</v>
      </c>
      <c r="D2997" s="9" t="s">
        <v>751</v>
      </c>
    </row>
    <row r="2998" spans="1:4" ht="12.5">
      <c r="A2998" s="186">
        <v>46171</v>
      </c>
      <c r="B2998" s="9">
        <v>7002617202</v>
      </c>
      <c r="C2998" s="9">
        <v>1</v>
      </c>
      <c r="D2998" s="9" t="s">
        <v>750</v>
      </c>
    </row>
    <row r="2999" spans="1:4" ht="12.5">
      <c r="A2999" s="186">
        <v>46171</v>
      </c>
      <c r="B2999" s="9">
        <v>7002617273</v>
      </c>
      <c r="C2999" s="9">
        <v>20</v>
      </c>
      <c r="D2999" s="9" t="s">
        <v>752</v>
      </c>
    </row>
    <row r="3000" spans="1:4" ht="12.5">
      <c r="A3000" s="186">
        <v>46171</v>
      </c>
      <c r="B3000" s="9">
        <v>7002618332</v>
      </c>
      <c r="C3000" s="9">
        <v>20</v>
      </c>
      <c r="D3000" s="9" t="s">
        <v>752</v>
      </c>
    </row>
    <row r="3001" spans="1:4" ht="12.5">
      <c r="A3001" s="186">
        <v>46171</v>
      </c>
      <c r="B3001" s="9">
        <v>7002618873</v>
      </c>
      <c r="C3001" s="9">
        <v>1</v>
      </c>
      <c r="D3001" s="9" t="s">
        <v>750</v>
      </c>
    </row>
    <row r="3002" spans="1:4" ht="12.5">
      <c r="A3002" s="186">
        <v>46171</v>
      </c>
      <c r="B3002" s="9">
        <v>7002619835</v>
      </c>
      <c r="C3002" s="9">
        <v>303</v>
      </c>
      <c r="D3002" s="9" t="s">
        <v>752</v>
      </c>
    </row>
    <row r="3003" spans="1:4" ht="12.5">
      <c r="A3003" s="186">
        <v>46171</v>
      </c>
      <c r="B3003" s="9">
        <v>7002621779</v>
      </c>
      <c r="C3003" s="9">
        <v>4</v>
      </c>
      <c r="D3003" s="9" t="s">
        <v>751</v>
      </c>
    </row>
    <row r="3004" spans="1:4" ht="12.5">
      <c r="A3004" s="186">
        <v>46171</v>
      </c>
      <c r="B3004" s="9">
        <v>7002622161</v>
      </c>
      <c r="C3004" s="9">
        <v>1</v>
      </c>
      <c r="D3004" s="9" t="s">
        <v>750</v>
      </c>
    </row>
    <row r="3005" spans="1:4" ht="12.5">
      <c r="A3005" s="186">
        <v>46171</v>
      </c>
      <c r="B3005" s="9">
        <v>7002623021</v>
      </c>
      <c r="C3005" s="9">
        <v>1</v>
      </c>
      <c r="D3005" s="9" t="s">
        <v>750</v>
      </c>
    </row>
    <row r="3006" spans="1:4" ht="12.5">
      <c r="A3006" s="186">
        <v>46171</v>
      </c>
      <c r="B3006" s="9">
        <v>7002623102</v>
      </c>
      <c r="C3006" s="9">
        <v>1</v>
      </c>
      <c r="D3006" s="9" t="s">
        <v>750</v>
      </c>
    </row>
    <row r="3007" spans="1:4" ht="12.5">
      <c r="A3007" s="186">
        <v>46171</v>
      </c>
      <c r="B3007" s="9">
        <v>7002625105</v>
      </c>
      <c r="C3007" s="9">
        <v>4</v>
      </c>
      <c r="D3007" s="9" t="s">
        <v>751</v>
      </c>
    </row>
    <row r="3008" spans="1:4" ht="12.5">
      <c r="A3008" s="186">
        <v>46171</v>
      </c>
      <c r="B3008" s="9">
        <v>7002625686</v>
      </c>
      <c r="C3008" s="9">
        <v>2</v>
      </c>
      <c r="D3008" s="9" t="s">
        <v>751</v>
      </c>
    </row>
    <row r="3009" spans="1:4" ht="12.5">
      <c r="A3009" s="186">
        <v>46171</v>
      </c>
      <c r="B3009" s="9">
        <v>7002628702</v>
      </c>
      <c r="C3009" s="9">
        <v>1</v>
      </c>
      <c r="D3009" s="9" t="s">
        <v>750</v>
      </c>
    </row>
    <row r="3010" spans="1:4" ht="12.5">
      <c r="A3010" s="186">
        <v>46171</v>
      </c>
      <c r="B3010" s="9">
        <v>7002629121</v>
      </c>
      <c r="C3010" s="9">
        <v>10</v>
      </c>
      <c r="D3010" s="9" t="s">
        <v>758</v>
      </c>
    </row>
    <row r="3011" spans="1:4" ht="12.5">
      <c r="A3011" s="186">
        <v>46171</v>
      </c>
      <c r="B3011" s="9">
        <v>7002630252</v>
      </c>
      <c r="C3011" s="9">
        <v>1</v>
      </c>
      <c r="D3011" s="9" t="s">
        <v>750</v>
      </c>
    </row>
    <row r="3012" spans="1:4" ht="12.5">
      <c r="A3012" s="186">
        <v>46171</v>
      </c>
      <c r="B3012" s="9">
        <v>7002630617</v>
      </c>
      <c r="C3012" s="9">
        <v>1</v>
      </c>
      <c r="D3012" s="9" t="s">
        <v>750</v>
      </c>
    </row>
    <row r="3013" spans="1:4" ht="12.5">
      <c r="A3013" s="186">
        <v>46171</v>
      </c>
      <c r="B3013" s="9">
        <v>7002630770</v>
      </c>
      <c r="C3013" s="9">
        <v>15</v>
      </c>
      <c r="D3013" s="9" t="s">
        <v>752</v>
      </c>
    </row>
    <row r="3014" spans="1:4" ht="12.5">
      <c r="A3014" s="186">
        <v>46171</v>
      </c>
      <c r="B3014" s="9">
        <v>7002630908</v>
      </c>
      <c r="C3014" s="9">
        <v>7</v>
      </c>
      <c r="D3014" s="9" t="s">
        <v>758</v>
      </c>
    </row>
    <row r="3015" spans="1:4" ht="12.5">
      <c r="A3015" s="186">
        <v>46171</v>
      </c>
      <c r="B3015" s="9">
        <v>7002631742</v>
      </c>
      <c r="C3015" s="9">
        <v>3</v>
      </c>
      <c r="D3015" s="9" t="s">
        <v>751</v>
      </c>
    </row>
    <row r="3016" spans="1:4" ht="12.5">
      <c r="A3016" s="186">
        <v>46171</v>
      </c>
      <c r="B3016" s="9">
        <v>7002631810</v>
      </c>
      <c r="C3016" s="9">
        <v>40</v>
      </c>
      <c r="D3016" s="9" t="s">
        <v>752</v>
      </c>
    </row>
    <row r="3017" spans="1:4" ht="12.5">
      <c r="A3017" s="186">
        <v>46171</v>
      </c>
      <c r="B3017" s="9">
        <v>7002631911</v>
      </c>
      <c r="C3017" s="9">
        <v>14</v>
      </c>
      <c r="D3017" s="9" t="s">
        <v>752</v>
      </c>
    </row>
    <row r="3018" spans="1:4" ht="12.5">
      <c r="A3018" s="186">
        <v>46171</v>
      </c>
      <c r="B3018" s="9">
        <v>7002632149</v>
      </c>
      <c r="C3018" s="9">
        <v>4</v>
      </c>
      <c r="D3018" s="9" t="s">
        <v>751</v>
      </c>
    </row>
    <row r="3019" spans="1:4" ht="12.5">
      <c r="A3019" s="186">
        <v>46171</v>
      </c>
      <c r="B3019" s="9">
        <v>7002632278</v>
      </c>
      <c r="C3019" s="9">
        <v>1</v>
      </c>
      <c r="D3019" s="9" t="s">
        <v>750</v>
      </c>
    </row>
    <row r="3020" spans="1:4" ht="12.5">
      <c r="A3020" s="186">
        <v>46171</v>
      </c>
      <c r="B3020" s="9">
        <v>7002633148</v>
      </c>
      <c r="C3020" s="9">
        <v>4</v>
      </c>
      <c r="D3020" s="9" t="s">
        <v>751</v>
      </c>
    </row>
    <row r="3021" spans="1:4" ht="12.5">
      <c r="A3021" s="186">
        <v>46171</v>
      </c>
      <c r="B3021" s="9">
        <v>7002633536</v>
      </c>
      <c r="C3021" s="9">
        <v>2</v>
      </c>
      <c r="D3021" s="9" t="s">
        <v>751</v>
      </c>
    </row>
    <row r="3022" spans="1:4" ht="12.5">
      <c r="A3022" s="186">
        <v>46171</v>
      </c>
      <c r="B3022" s="9">
        <v>7002633793</v>
      </c>
      <c r="C3022" s="9">
        <v>1</v>
      </c>
      <c r="D3022" s="9" t="s">
        <v>750</v>
      </c>
    </row>
    <row r="3023" spans="1:4" ht="12.5">
      <c r="A3023" s="186">
        <v>46171</v>
      </c>
      <c r="B3023" s="9">
        <v>7002634877</v>
      </c>
      <c r="C3023" s="9">
        <v>5</v>
      </c>
      <c r="D3023" s="9" t="s">
        <v>751</v>
      </c>
    </row>
    <row r="3024" spans="1:4" ht="12.5">
      <c r="A3024" s="186">
        <v>46171</v>
      </c>
      <c r="B3024" s="9">
        <v>7002634909</v>
      </c>
      <c r="C3024" s="9">
        <v>2</v>
      </c>
      <c r="D3024" s="9" t="s">
        <v>751</v>
      </c>
    </row>
    <row r="3025" spans="1:4" ht="12.5">
      <c r="A3025" s="186">
        <v>46171</v>
      </c>
      <c r="B3025" s="9">
        <v>7002635128</v>
      </c>
      <c r="C3025" s="9">
        <v>2</v>
      </c>
      <c r="D3025" s="9" t="s">
        <v>751</v>
      </c>
    </row>
    <row r="3026" spans="1:4" ht="12.5">
      <c r="A3026" s="186">
        <v>46171</v>
      </c>
      <c r="B3026" s="9">
        <v>7002635486</v>
      </c>
      <c r="C3026" s="9">
        <v>2</v>
      </c>
      <c r="D3026" s="9" t="s">
        <v>751</v>
      </c>
    </row>
    <row r="3027" spans="1:4" ht="12.5">
      <c r="A3027" s="186">
        <v>46171</v>
      </c>
      <c r="B3027" s="9">
        <v>7002636244</v>
      </c>
      <c r="C3027" s="9">
        <v>1</v>
      </c>
      <c r="D3027" s="9" t="s">
        <v>750</v>
      </c>
    </row>
    <row r="3028" spans="1:4" ht="12.5">
      <c r="A3028" s="186">
        <v>46171</v>
      </c>
      <c r="B3028" s="9">
        <v>7002636285</v>
      </c>
      <c r="C3028" s="9">
        <v>1</v>
      </c>
      <c r="D3028" s="9" t="s">
        <v>750</v>
      </c>
    </row>
    <row r="3029" spans="1:4" ht="12.5">
      <c r="A3029" s="186">
        <v>46171</v>
      </c>
      <c r="B3029" s="9">
        <v>7002636646</v>
      </c>
      <c r="C3029" s="9">
        <v>8</v>
      </c>
      <c r="D3029" s="9" t="s">
        <v>758</v>
      </c>
    </row>
    <row r="3030" spans="1:4" ht="12.5">
      <c r="A3030" s="186">
        <v>46171</v>
      </c>
      <c r="B3030" s="9">
        <v>7002636748</v>
      </c>
      <c r="C3030" s="9">
        <v>3</v>
      </c>
      <c r="D3030" s="9" t="s">
        <v>751</v>
      </c>
    </row>
    <row r="3031" spans="1:4" ht="12.5">
      <c r="A3031" s="186">
        <v>46171</v>
      </c>
      <c r="B3031" s="9">
        <v>7002636935</v>
      </c>
      <c r="C3031" s="9">
        <v>43</v>
      </c>
      <c r="D3031" s="9" t="s">
        <v>752</v>
      </c>
    </row>
    <row r="3032" spans="1:4" ht="12.5">
      <c r="A3032" s="186">
        <v>46171</v>
      </c>
      <c r="B3032" s="9">
        <v>7002637892</v>
      </c>
      <c r="C3032" s="9">
        <v>3</v>
      </c>
      <c r="D3032" s="9" t="s">
        <v>751</v>
      </c>
    </row>
    <row r="3033" spans="1:4" ht="12.5">
      <c r="A3033" s="186">
        <v>46171</v>
      </c>
      <c r="B3033" s="9">
        <v>7002638937</v>
      </c>
      <c r="C3033" s="9">
        <v>3</v>
      </c>
      <c r="D3033" s="9" t="s">
        <v>751</v>
      </c>
    </row>
    <row r="3034" spans="1:4" ht="12.5">
      <c r="A3034" s="186">
        <v>46171</v>
      </c>
      <c r="B3034" s="9">
        <v>7002639400</v>
      </c>
      <c r="C3034" s="9">
        <v>1</v>
      </c>
      <c r="D3034" s="9" t="s">
        <v>750</v>
      </c>
    </row>
    <row r="3035" spans="1:4" ht="12.5">
      <c r="A3035" s="186">
        <v>46171</v>
      </c>
      <c r="B3035" s="9">
        <v>7002640406</v>
      </c>
      <c r="C3035" s="9">
        <v>3</v>
      </c>
      <c r="D3035" s="9" t="s">
        <v>751</v>
      </c>
    </row>
    <row r="3036" spans="1:4" ht="12.5">
      <c r="A3036" s="186">
        <v>46171</v>
      </c>
      <c r="B3036" s="9">
        <v>7002640570</v>
      </c>
      <c r="C3036" s="9">
        <v>3</v>
      </c>
      <c r="D3036" s="9" t="s">
        <v>751</v>
      </c>
    </row>
    <row r="3037" spans="1:4" ht="12.5">
      <c r="A3037" s="186">
        <v>46171</v>
      </c>
      <c r="B3037" s="9">
        <v>7002640866</v>
      </c>
      <c r="C3037" s="9">
        <v>45</v>
      </c>
      <c r="D3037" s="9" t="s">
        <v>752</v>
      </c>
    </row>
    <row r="3038" spans="1:4" ht="12.5">
      <c r="A3038" s="186">
        <v>46171</v>
      </c>
      <c r="B3038" s="9">
        <v>7002640884</v>
      </c>
      <c r="C3038" s="9">
        <v>3</v>
      </c>
      <c r="D3038" s="9" t="s">
        <v>751</v>
      </c>
    </row>
    <row r="3039" spans="1:4" ht="12.5">
      <c r="A3039" s="186">
        <v>46171</v>
      </c>
      <c r="B3039" s="9">
        <v>7002640933</v>
      </c>
      <c r="C3039" s="9">
        <v>1</v>
      </c>
      <c r="D3039" s="9" t="s">
        <v>750</v>
      </c>
    </row>
    <row r="3040" spans="1:4" ht="12.5">
      <c r="A3040" s="186">
        <v>46171</v>
      </c>
      <c r="B3040" s="9">
        <v>7002640951</v>
      </c>
      <c r="C3040" s="9">
        <v>69</v>
      </c>
      <c r="D3040" s="9" t="s">
        <v>752</v>
      </c>
    </row>
    <row r="3041" spans="1:4" ht="12.5">
      <c r="A3041" s="186">
        <v>46171</v>
      </c>
      <c r="B3041" s="9">
        <v>7002641386</v>
      </c>
      <c r="C3041" s="9">
        <v>1</v>
      </c>
      <c r="D3041" s="9" t="s">
        <v>750</v>
      </c>
    </row>
    <row r="3042" spans="1:4" ht="12.5">
      <c r="A3042" s="186">
        <v>46171</v>
      </c>
      <c r="B3042" s="9">
        <v>7002641588</v>
      </c>
      <c r="C3042" s="9">
        <v>2</v>
      </c>
      <c r="D3042" s="9" t="s">
        <v>751</v>
      </c>
    </row>
    <row r="3043" spans="1:4" ht="12.5">
      <c r="A3043" s="186">
        <v>46171</v>
      </c>
      <c r="B3043" s="9">
        <v>7002641771</v>
      </c>
      <c r="C3043" s="9">
        <v>4</v>
      </c>
      <c r="D3043" s="9" t="s">
        <v>751</v>
      </c>
    </row>
    <row r="3044" spans="1:4" ht="12.5">
      <c r="A3044" s="186">
        <v>46171</v>
      </c>
      <c r="B3044" s="9">
        <v>7002641877</v>
      </c>
      <c r="C3044" s="9">
        <v>3</v>
      </c>
      <c r="D3044" s="9" t="s">
        <v>751</v>
      </c>
    </row>
    <row r="3045" spans="1:4" ht="12.5">
      <c r="A3045" s="186">
        <v>46171</v>
      </c>
      <c r="B3045" s="9">
        <v>7002642146</v>
      </c>
      <c r="C3045" s="9">
        <v>1</v>
      </c>
      <c r="D3045" s="9" t="s">
        <v>750</v>
      </c>
    </row>
    <row r="3046" spans="1:4" ht="12.5">
      <c r="A3046" s="186">
        <v>46171</v>
      </c>
      <c r="B3046" s="9">
        <v>7002642478</v>
      </c>
      <c r="C3046" s="9">
        <v>6</v>
      </c>
      <c r="D3046" s="9" t="s">
        <v>758</v>
      </c>
    </row>
    <row r="3047" spans="1:4" ht="12.5">
      <c r="A3047" s="186">
        <v>46171</v>
      </c>
      <c r="B3047" s="9">
        <v>7002642594</v>
      </c>
      <c r="C3047" s="9">
        <v>2</v>
      </c>
      <c r="D3047" s="9" t="s">
        <v>751</v>
      </c>
    </row>
    <row r="3048" spans="1:4" ht="12.5">
      <c r="A3048" s="186">
        <v>46171</v>
      </c>
      <c r="B3048" s="9">
        <v>7002642954</v>
      </c>
      <c r="C3048" s="9">
        <v>3</v>
      </c>
      <c r="D3048" s="9" t="s">
        <v>751</v>
      </c>
    </row>
    <row r="3049" spans="1:4" ht="12.5">
      <c r="A3049" s="186">
        <v>46171</v>
      </c>
      <c r="B3049" s="9">
        <v>7002642977</v>
      </c>
      <c r="C3049" s="9">
        <v>34</v>
      </c>
      <c r="D3049" s="9" t="s">
        <v>752</v>
      </c>
    </row>
    <row r="3050" spans="1:4" ht="12.5">
      <c r="A3050" s="186">
        <v>46171</v>
      </c>
      <c r="B3050" s="9">
        <v>7002642996</v>
      </c>
      <c r="C3050" s="9">
        <v>23</v>
      </c>
      <c r="D3050" s="9" t="s">
        <v>752</v>
      </c>
    </row>
    <row r="3051" spans="1:4" ht="12.5">
      <c r="A3051" s="186">
        <v>46171</v>
      </c>
      <c r="B3051" s="9">
        <v>7002643593</v>
      </c>
      <c r="C3051" s="9">
        <v>12</v>
      </c>
      <c r="D3051" s="9" t="s">
        <v>752</v>
      </c>
    </row>
    <row r="3052" spans="1:4" ht="12.5">
      <c r="A3052" s="186">
        <v>46171</v>
      </c>
      <c r="B3052" s="9">
        <v>7002643628</v>
      </c>
      <c r="C3052" s="9">
        <v>1</v>
      </c>
      <c r="D3052" s="9" t="s">
        <v>750</v>
      </c>
    </row>
    <row r="3053" spans="1:4" ht="12.5">
      <c r="A3053" s="186">
        <v>46171</v>
      </c>
      <c r="B3053" s="9">
        <v>7002643969</v>
      </c>
      <c r="C3053" s="9">
        <v>2</v>
      </c>
      <c r="D3053" s="9" t="s">
        <v>751</v>
      </c>
    </row>
    <row r="3054" spans="1:4" ht="12.5">
      <c r="A3054" s="186">
        <v>46171</v>
      </c>
      <c r="B3054" s="9">
        <v>7002643982</v>
      </c>
      <c r="C3054" s="9">
        <v>3</v>
      </c>
      <c r="D3054" s="9" t="s">
        <v>751</v>
      </c>
    </row>
    <row r="3055" spans="1:4" ht="12.5">
      <c r="A3055" s="186">
        <v>46171</v>
      </c>
      <c r="B3055" s="9">
        <v>7002644407</v>
      </c>
      <c r="C3055" s="9">
        <v>4</v>
      </c>
      <c r="D3055" s="9" t="s">
        <v>751</v>
      </c>
    </row>
    <row r="3056" spans="1:4" ht="12.5">
      <c r="A3056" s="186">
        <v>46171</v>
      </c>
      <c r="B3056" s="9">
        <v>7002644805</v>
      </c>
      <c r="C3056" s="9">
        <v>8</v>
      </c>
      <c r="D3056" s="9" t="s">
        <v>758</v>
      </c>
    </row>
    <row r="3057" spans="1:4" ht="12.5">
      <c r="A3057" s="186">
        <v>46171</v>
      </c>
      <c r="B3057" s="9">
        <v>7002644880</v>
      </c>
      <c r="C3057" s="9">
        <v>1</v>
      </c>
      <c r="D3057" s="9" t="s">
        <v>750</v>
      </c>
    </row>
    <row r="3058" spans="1:4" ht="12.5">
      <c r="A3058" s="186">
        <v>46171</v>
      </c>
      <c r="B3058" s="9">
        <v>7002644898</v>
      </c>
      <c r="C3058" s="9">
        <v>3</v>
      </c>
      <c r="D3058" s="9" t="s">
        <v>751</v>
      </c>
    </row>
    <row r="3059" spans="1:4" ht="12.5">
      <c r="A3059" s="186">
        <v>46171</v>
      </c>
      <c r="B3059" s="9">
        <v>7002644934</v>
      </c>
      <c r="C3059" s="9">
        <v>8</v>
      </c>
      <c r="D3059" s="9" t="s">
        <v>758</v>
      </c>
    </row>
    <row r="3060" spans="1:4" ht="12.5">
      <c r="A3060" s="186">
        <v>46171</v>
      </c>
      <c r="B3060" s="9">
        <v>7002644952</v>
      </c>
      <c r="C3060" s="9">
        <v>3</v>
      </c>
      <c r="D3060" s="9" t="s">
        <v>751</v>
      </c>
    </row>
    <row r="3061" spans="1:4" ht="12.5">
      <c r="A3061" s="186">
        <v>46171</v>
      </c>
      <c r="B3061" s="9">
        <v>7002645188</v>
      </c>
      <c r="C3061" s="9">
        <v>7</v>
      </c>
      <c r="D3061" s="9" t="s">
        <v>758</v>
      </c>
    </row>
    <row r="3062" spans="1:4" ht="12.5">
      <c r="A3062" s="186">
        <v>46171</v>
      </c>
      <c r="B3062" s="9">
        <v>7002645489</v>
      </c>
      <c r="C3062" s="9">
        <v>4</v>
      </c>
      <c r="D3062" s="9" t="s">
        <v>751</v>
      </c>
    </row>
    <row r="3063" spans="1:4" ht="12.5">
      <c r="A3063" s="186">
        <v>46171</v>
      </c>
      <c r="B3063" s="9">
        <v>7002645721</v>
      </c>
      <c r="C3063" s="9">
        <v>1</v>
      </c>
      <c r="D3063" s="9" t="s">
        <v>750</v>
      </c>
    </row>
    <row r="3064" spans="1:4" ht="12.5">
      <c r="A3064" s="186">
        <v>46171</v>
      </c>
      <c r="B3064" s="9">
        <v>7002645944</v>
      </c>
      <c r="C3064" s="9">
        <v>2</v>
      </c>
      <c r="D3064" s="9" t="s">
        <v>751</v>
      </c>
    </row>
    <row r="3065" spans="1:4" ht="12.5">
      <c r="A3065" s="186">
        <v>46171</v>
      </c>
      <c r="B3065" s="9">
        <v>7002645963</v>
      </c>
      <c r="C3065" s="9">
        <v>11</v>
      </c>
      <c r="D3065" s="9" t="s">
        <v>752</v>
      </c>
    </row>
    <row r="3066" spans="1:4" ht="12.5">
      <c r="A3066" s="186">
        <v>46171</v>
      </c>
      <c r="B3066" s="9">
        <v>7002645971</v>
      </c>
      <c r="C3066" s="9">
        <v>4</v>
      </c>
      <c r="D3066" s="9" t="s">
        <v>751</v>
      </c>
    </row>
    <row r="3067" spans="1:4" ht="12.5">
      <c r="A3067" s="186">
        <v>46171</v>
      </c>
      <c r="B3067" s="9">
        <v>7002645985</v>
      </c>
      <c r="C3067" s="9">
        <v>2</v>
      </c>
      <c r="D3067" s="9" t="s">
        <v>751</v>
      </c>
    </row>
    <row r="3068" spans="1:4" ht="12.5">
      <c r="A3068" s="186">
        <v>46171</v>
      </c>
      <c r="B3068" s="9">
        <v>7002646400</v>
      </c>
      <c r="C3068" s="9">
        <v>4</v>
      </c>
      <c r="D3068" s="9" t="s">
        <v>751</v>
      </c>
    </row>
    <row r="3069" spans="1:4" ht="12.5">
      <c r="A3069" s="186">
        <v>46171</v>
      </c>
      <c r="B3069" s="9">
        <v>7002646938</v>
      </c>
      <c r="C3069" s="9">
        <v>7</v>
      </c>
      <c r="D3069" s="9" t="s">
        <v>758</v>
      </c>
    </row>
    <row r="3070" spans="1:4" ht="12.5">
      <c r="A3070" s="186">
        <v>46171</v>
      </c>
      <c r="B3070" s="9">
        <v>7002646993</v>
      </c>
      <c r="C3070" s="9">
        <v>10</v>
      </c>
      <c r="D3070" s="9" t="s">
        <v>758</v>
      </c>
    </row>
    <row r="3071" spans="1:4" ht="12.5">
      <c r="A3071" s="186">
        <v>46171</v>
      </c>
      <c r="B3071" s="9">
        <v>7002647493</v>
      </c>
      <c r="C3071" s="9">
        <v>6</v>
      </c>
      <c r="D3071" s="9" t="s">
        <v>758</v>
      </c>
    </row>
    <row r="3072" spans="1:4" ht="12.5">
      <c r="A3072" s="186">
        <v>46171</v>
      </c>
      <c r="B3072" s="9">
        <v>7002647565</v>
      </c>
      <c r="C3072" s="9">
        <v>37</v>
      </c>
      <c r="D3072" s="9" t="s">
        <v>752</v>
      </c>
    </row>
    <row r="3073" spans="1:4" ht="12.5">
      <c r="A3073" s="186">
        <v>46171</v>
      </c>
      <c r="B3073" s="9">
        <v>7002647768</v>
      </c>
      <c r="C3073" s="9">
        <v>4</v>
      </c>
      <c r="D3073" s="9" t="s">
        <v>751</v>
      </c>
    </row>
    <row r="3074" spans="1:4" ht="12.5">
      <c r="A3074" s="186">
        <v>46171</v>
      </c>
      <c r="B3074" s="9">
        <v>7002647842</v>
      </c>
      <c r="C3074" s="9">
        <v>6</v>
      </c>
      <c r="D3074" s="9" t="s">
        <v>758</v>
      </c>
    </row>
    <row r="3075" spans="1:4" ht="12.5">
      <c r="A3075" s="186">
        <v>46171</v>
      </c>
      <c r="B3075" s="9">
        <v>7002647857</v>
      </c>
      <c r="C3075" s="9">
        <v>3</v>
      </c>
      <c r="D3075" s="9" t="s">
        <v>751</v>
      </c>
    </row>
    <row r="3076" spans="1:4" ht="12.5">
      <c r="A3076" s="186">
        <v>46171</v>
      </c>
      <c r="B3076" s="9">
        <v>7002647874</v>
      </c>
      <c r="C3076" s="9">
        <v>1</v>
      </c>
      <c r="D3076" s="9" t="s">
        <v>750</v>
      </c>
    </row>
    <row r="3077" spans="1:4" ht="12.5">
      <c r="A3077" s="186">
        <v>46171</v>
      </c>
      <c r="B3077" s="9">
        <v>7002647941</v>
      </c>
      <c r="C3077" s="9">
        <v>1</v>
      </c>
      <c r="D3077" s="9" t="s">
        <v>750</v>
      </c>
    </row>
    <row r="3078" spans="1:4" ht="12.5">
      <c r="A3078" s="186">
        <v>46171</v>
      </c>
      <c r="B3078" s="9">
        <v>7002647973</v>
      </c>
      <c r="C3078" s="9">
        <v>189</v>
      </c>
      <c r="D3078" s="9" t="s">
        <v>752</v>
      </c>
    </row>
    <row r="3079" spans="1:4" ht="12.5">
      <c r="A3079" s="186">
        <v>46171</v>
      </c>
      <c r="B3079" s="9">
        <v>7002647987</v>
      </c>
      <c r="C3079" s="9">
        <v>2</v>
      </c>
      <c r="D3079" s="9" t="s">
        <v>751</v>
      </c>
    </row>
    <row r="3080" spans="1:4" ht="12.5">
      <c r="A3080" s="186">
        <v>46171</v>
      </c>
      <c r="B3080" s="9">
        <v>7002648310</v>
      </c>
      <c r="C3080" s="9">
        <v>6</v>
      </c>
      <c r="D3080" s="9" t="s">
        <v>758</v>
      </c>
    </row>
    <row r="3081" spans="1:4" ht="12.5">
      <c r="A3081" s="186">
        <v>46171</v>
      </c>
      <c r="B3081" s="9">
        <v>7002648375</v>
      </c>
      <c r="C3081" s="9">
        <v>1</v>
      </c>
      <c r="D3081" s="9" t="s">
        <v>750</v>
      </c>
    </row>
    <row r="3082" spans="1:4" ht="12.5">
      <c r="A3082" s="186">
        <v>46171</v>
      </c>
      <c r="B3082" s="9">
        <v>7002648473</v>
      </c>
      <c r="C3082" s="9">
        <v>6</v>
      </c>
      <c r="D3082" s="9" t="s">
        <v>758</v>
      </c>
    </row>
    <row r="3083" spans="1:4" ht="12.5">
      <c r="A3083" s="186">
        <v>46171</v>
      </c>
      <c r="B3083" s="9">
        <v>7002648889</v>
      </c>
      <c r="C3083" s="9">
        <v>15</v>
      </c>
      <c r="D3083" s="9" t="s">
        <v>752</v>
      </c>
    </row>
    <row r="3084" spans="1:4" ht="12.5">
      <c r="A3084" s="186">
        <v>46171</v>
      </c>
      <c r="B3084" s="9">
        <v>7002648942</v>
      </c>
      <c r="C3084" s="9">
        <v>3</v>
      </c>
      <c r="D3084" s="9" t="s">
        <v>751</v>
      </c>
    </row>
    <row r="3085" spans="1:4" ht="12.5">
      <c r="A3085" s="186">
        <v>46171</v>
      </c>
      <c r="B3085" s="9">
        <v>7002648957</v>
      </c>
      <c r="C3085" s="9">
        <v>7</v>
      </c>
      <c r="D3085" s="9" t="s">
        <v>758</v>
      </c>
    </row>
    <row r="3086" spans="1:4" ht="12.5">
      <c r="A3086" s="186">
        <v>46171</v>
      </c>
      <c r="B3086" s="9">
        <v>7002648990</v>
      </c>
      <c r="C3086" s="9">
        <v>4</v>
      </c>
      <c r="D3086" s="9" t="s">
        <v>751</v>
      </c>
    </row>
    <row r="3087" spans="1:4" ht="12.5">
      <c r="A3087" s="186">
        <v>46171</v>
      </c>
      <c r="B3087" s="9">
        <v>7002649102</v>
      </c>
      <c r="C3087" s="9">
        <v>7</v>
      </c>
      <c r="D3087" s="9" t="s">
        <v>758</v>
      </c>
    </row>
    <row r="3088" spans="1:4" ht="12.5">
      <c r="A3088" s="186">
        <v>46171</v>
      </c>
      <c r="B3088" s="9">
        <v>7002649293</v>
      </c>
      <c r="C3088" s="9">
        <v>2</v>
      </c>
      <c r="D3088" s="9" t="s">
        <v>751</v>
      </c>
    </row>
    <row r="3089" spans="1:4" ht="12.5">
      <c r="A3089" s="186">
        <v>46171</v>
      </c>
      <c r="B3089" s="9">
        <v>7002649579</v>
      </c>
      <c r="C3089" s="9">
        <v>2</v>
      </c>
      <c r="D3089" s="9" t="s">
        <v>751</v>
      </c>
    </row>
    <row r="3090" spans="1:4" ht="12.5">
      <c r="A3090" s="186">
        <v>46171</v>
      </c>
      <c r="B3090" s="9">
        <v>7002649668</v>
      </c>
      <c r="C3090" s="9">
        <v>1</v>
      </c>
      <c r="D3090" s="9" t="s">
        <v>750</v>
      </c>
    </row>
    <row r="3091" spans="1:4" ht="12.5">
      <c r="A3091" s="186">
        <v>46171</v>
      </c>
      <c r="B3091" s="9">
        <v>7002649731</v>
      </c>
      <c r="C3091" s="9">
        <v>1</v>
      </c>
      <c r="D3091" s="9" t="s">
        <v>750</v>
      </c>
    </row>
    <row r="3092" spans="1:4" ht="12.5">
      <c r="A3092" s="186">
        <v>46171</v>
      </c>
      <c r="B3092" s="9">
        <v>7002649943</v>
      </c>
      <c r="C3092" s="9">
        <v>5</v>
      </c>
      <c r="D3092" s="9" t="s">
        <v>751</v>
      </c>
    </row>
    <row r="3093" spans="1:4" ht="12.5">
      <c r="A3093" s="186">
        <v>46171</v>
      </c>
      <c r="B3093" s="9">
        <v>7002650081</v>
      </c>
      <c r="C3093" s="9">
        <v>8</v>
      </c>
      <c r="D3093" s="9" t="s">
        <v>758</v>
      </c>
    </row>
    <row r="3094" spans="1:4" ht="12.5">
      <c r="A3094" s="186">
        <v>46171</v>
      </c>
      <c r="B3094" s="9">
        <v>7002650288</v>
      </c>
      <c r="C3094" s="9">
        <v>1</v>
      </c>
      <c r="D3094" s="9" t="s">
        <v>750</v>
      </c>
    </row>
    <row r="3095" spans="1:4" ht="12.5">
      <c r="A3095" s="186">
        <v>46171</v>
      </c>
      <c r="B3095" s="9">
        <v>7002650290</v>
      </c>
      <c r="C3095" s="9">
        <v>1</v>
      </c>
      <c r="D3095" s="9" t="s">
        <v>750</v>
      </c>
    </row>
    <row r="3096" spans="1:4" ht="12.5">
      <c r="A3096" s="186">
        <v>46171</v>
      </c>
      <c r="B3096" s="9">
        <v>7002650901</v>
      </c>
      <c r="C3096" s="9">
        <v>1</v>
      </c>
      <c r="D3096" s="9" t="s">
        <v>750</v>
      </c>
    </row>
    <row r="3097" spans="1:4" ht="12.5">
      <c r="A3097" s="186">
        <v>46171</v>
      </c>
      <c r="B3097" s="9">
        <v>7002651079</v>
      </c>
      <c r="C3097" s="9">
        <v>6</v>
      </c>
      <c r="D3097" s="9" t="s">
        <v>758</v>
      </c>
    </row>
    <row r="3098" spans="1:4" ht="12.5">
      <c r="A3098" s="186">
        <v>46171</v>
      </c>
      <c r="B3098" s="9">
        <v>7002651864</v>
      </c>
      <c r="C3098" s="9">
        <v>1</v>
      </c>
      <c r="D3098" s="9" t="s">
        <v>750</v>
      </c>
    </row>
    <row r="3099" spans="1:4" ht="12.5">
      <c r="A3099" s="186">
        <v>46171</v>
      </c>
      <c r="B3099" s="9">
        <v>7002652045</v>
      </c>
      <c r="C3099" s="9">
        <v>20</v>
      </c>
      <c r="D3099" s="9" t="s">
        <v>752</v>
      </c>
    </row>
    <row r="3100" spans="1:4" ht="12.5">
      <c r="A3100" s="186">
        <v>46171</v>
      </c>
      <c r="B3100" s="9">
        <v>7002652102</v>
      </c>
      <c r="C3100" s="9">
        <v>6</v>
      </c>
      <c r="D3100" s="9" t="s">
        <v>758</v>
      </c>
    </row>
    <row r="3101" spans="1:4" ht="12.5">
      <c r="A3101" s="186">
        <v>46171</v>
      </c>
      <c r="B3101" s="9">
        <v>7002652255</v>
      </c>
      <c r="C3101" s="9">
        <v>6</v>
      </c>
      <c r="D3101" s="9" t="s">
        <v>758</v>
      </c>
    </row>
    <row r="3102" spans="1:4" ht="12.5">
      <c r="A3102" s="186">
        <v>46171</v>
      </c>
      <c r="B3102" s="9">
        <v>7002652844</v>
      </c>
      <c r="C3102" s="9">
        <v>5</v>
      </c>
      <c r="D3102" s="9" t="s">
        <v>751</v>
      </c>
    </row>
    <row r="3103" spans="1:4" ht="12.5">
      <c r="A3103" s="186">
        <v>46171</v>
      </c>
      <c r="B3103" s="9">
        <v>7002652859</v>
      </c>
      <c r="C3103" s="9">
        <v>2</v>
      </c>
      <c r="D3103" s="9" t="s">
        <v>751</v>
      </c>
    </row>
    <row r="3104" spans="1:4" ht="12.5">
      <c r="A3104" s="186">
        <v>46171</v>
      </c>
      <c r="B3104" s="9">
        <v>7002653049</v>
      </c>
      <c r="C3104" s="9">
        <v>6</v>
      </c>
      <c r="D3104" s="9" t="s">
        <v>758</v>
      </c>
    </row>
    <row r="3105" spans="1:4" ht="12.5">
      <c r="A3105" s="186">
        <v>46171</v>
      </c>
      <c r="B3105" s="9">
        <v>7002653065</v>
      </c>
      <c r="C3105" s="9">
        <v>6</v>
      </c>
      <c r="D3105" s="9" t="s">
        <v>758</v>
      </c>
    </row>
    <row r="3106" spans="1:4" ht="12.5">
      <c r="A3106" s="186">
        <v>46171</v>
      </c>
      <c r="B3106" s="9">
        <v>7002653096</v>
      </c>
      <c r="C3106" s="9">
        <v>4</v>
      </c>
      <c r="D3106" s="9" t="s">
        <v>751</v>
      </c>
    </row>
    <row r="3107" spans="1:4" ht="12.5">
      <c r="A3107" s="186">
        <v>46171</v>
      </c>
      <c r="B3107" s="9">
        <v>7002653172</v>
      </c>
      <c r="C3107" s="9">
        <v>12</v>
      </c>
      <c r="D3107" s="9" t="s">
        <v>752</v>
      </c>
    </row>
    <row r="3108" spans="1:4" ht="12.5">
      <c r="A3108" s="186">
        <v>46171</v>
      </c>
      <c r="B3108" s="9">
        <v>7002653292</v>
      </c>
      <c r="C3108" s="9">
        <v>6</v>
      </c>
      <c r="D3108" s="9" t="s">
        <v>758</v>
      </c>
    </row>
    <row r="3109" spans="1:4" ht="12.5">
      <c r="A3109" s="186">
        <v>46171</v>
      </c>
      <c r="B3109" s="9">
        <v>7002653402</v>
      </c>
      <c r="C3109" s="9">
        <v>170</v>
      </c>
      <c r="D3109" s="9" t="s">
        <v>752</v>
      </c>
    </row>
    <row r="3110" spans="1:4" ht="12.5">
      <c r="A3110" s="186">
        <v>46171</v>
      </c>
      <c r="B3110" s="9">
        <v>7002653858</v>
      </c>
      <c r="C3110" s="9">
        <v>1</v>
      </c>
      <c r="D3110" s="9" t="s">
        <v>750</v>
      </c>
    </row>
    <row r="3111" spans="1:4" ht="12.5">
      <c r="A3111" s="186">
        <v>46171</v>
      </c>
      <c r="B3111" s="9">
        <v>7002653903</v>
      </c>
      <c r="C3111" s="9">
        <v>1</v>
      </c>
      <c r="D3111" s="9" t="s">
        <v>750</v>
      </c>
    </row>
    <row r="3112" spans="1:4" ht="12.5">
      <c r="A3112" s="186">
        <v>46171</v>
      </c>
      <c r="B3112" s="9">
        <v>7002654030</v>
      </c>
      <c r="C3112" s="9">
        <v>3</v>
      </c>
      <c r="D3112" s="9" t="s">
        <v>751</v>
      </c>
    </row>
    <row r="3113" spans="1:4" ht="12.5">
      <c r="A3113" s="186">
        <v>46171</v>
      </c>
      <c r="B3113" s="9">
        <v>7002654048</v>
      </c>
      <c r="C3113" s="9">
        <v>20</v>
      </c>
      <c r="D3113" s="9" t="s">
        <v>752</v>
      </c>
    </row>
    <row r="3114" spans="1:4" ht="12.5">
      <c r="A3114" s="186">
        <v>46171</v>
      </c>
      <c r="B3114" s="9">
        <v>7002654053</v>
      </c>
      <c r="C3114" s="9">
        <v>6</v>
      </c>
      <c r="D3114" s="9" t="s">
        <v>758</v>
      </c>
    </row>
    <row r="3115" spans="1:4" ht="12.5">
      <c r="A3115" s="186">
        <v>46171</v>
      </c>
      <c r="B3115" s="9">
        <v>7002654076</v>
      </c>
      <c r="C3115" s="9">
        <v>6</v>
      </c>
      <c r="D3115" s="9" t="s">
        <v>758</v>
      </c>
    </row>
    <row r="3116" spans="1:4" ht="12.5">
      <c r="A3116" s="186">
        <v>46171</v>
      </c>
      <c r="B3116" s="9">
        <v>7002654236</v>
      </c>
      <c r="C3116" s="9">
        <v>6</v>
      </c>
      <c r="D3116" s="9" t="s">
        <v>758</v>
      </c>
    </row>
    <row r="3117" spans="1:4" ht="12.5">
      <c r="A3117" s="186">
        <v>46171</v>
      </c>
      <c r="B3117" s="9">
        <v>7002654262</v>
      </c>
      <c r="C3117" s="9">
        <v>1</v>
      </c>
      <c r="D3117" s="9" t="s">
        <v>750</v>
      </c>
    </row>
    <row r="3118" spans="1:4" ht="12.5">
      <c r="A3118" s="186">
        <v>46171</v>
      </c>
      <c r="B3118" s="9">
        <v>7002654781</v>
      </c>
      <c r="C3118" s="9">
        <v>1</v>
      </c>
      <c r="D3118" s="9" t="s">
        <v>750</v>
      </c>
    </row>
    <row r="3119" spans="1:4" ht="12.5">
      <c r="A3119" s="186">
        <v>46171</v>
      </c>
      <c r="B3119" s="9">
        <v>7002655089</v>
      </c>
      <c r="C3119" s="9">
        <v>6</v>
      </c>
      <c r="D3119" s="9" t="s">
        <v>758</v>
      </c>
    </row>
    <row r="3120" spans="1:4" ht="12.5">
      <c r="A3120" s="186">
        <v>46171</v>
      </c>
      <c r="B3120" s="9">
        <v>7002655253</v>
      </c>
      <c r="C3120" s="9">
        <v>1</v>
      </c>
      <c r="D3120" s="9" t="s">
        <v>750</v>
      </c>
    </row>
    <row r="3121" spans="1:4" ht="12.5">
      <c r="A3121" s="186">
        <v>46171</v>
      </c>
      <c r="B3121" s="9">
        <v>7002655301</v>
      </c>
      <c r="C3121" s="9">
        <v>1</v>
      </c>
      <c r="D3121" s="9" t="s">
        <v>750</v>
      </c>
    </row>
    <row r="3122" spans="1:4" ht="12.5">
      <c r="A3122" s="186">
        <v>46171</v>
      </c>
      <c r="B3122" s="9">
        <v>7002655913</v>
      </c>
      <c r="C3122" s="9">
        <v>1</v>
      </c>
      <c r="D3122" s="9" t="s">
        <v>750</v>
      </c>
    </row>
    <row r="3123" spans="1:4" ht="12.5">
      <c r="A3123" s="186">
        <v>46171</v>
      </c>
      <c r="B3123" s="9">
        <v>7002655921</v>
      </c>
      <c r="C3123" s="9">
        <v>1</v>
      </c>
      <c r="D3123" s="9" t="s">
        <v>750</v>
      </c>
    </row>
    <row r="3124" spans="1:4" ht="12.5">
      <c r="A3124" s="186">
        <v>46171</v>
      </c>
      <c r="B3124" s="9">
        <v>7002655945</v>
      </c>
      <c r="C3124" s="9">
        <v>3</v>
      </c>
      <c r="D3124" s="9" t="s">
        <v>751</v>
      </c>
    </row>
    <row r="3125" spans="1:4" ht="12.5">
      <c r="A3125" s="186">
        <v>46171</v>
      </c>
      <c r="B3125" s="9">
        <v>7002656000</v>
      </c>
      <c r="C3125" s="9">
        <v>15</v>
      </c>
      <c r="D3125" s="9" t="s">
        <v>752</v>
      </c>
    </row>
    <row r="3126" spans="1:4" ht="12.5">
      <c r="A3126" s="186">
        <v>46171</v>
      </c>
      <c r="B3126" s="9">
        <v>7002656028</v>
      </c>
      <c r="C3126" s="9">
        <v>7</v>
      </c>
      <c r="D3126" s="9" t="s">
        <v>758</v>
      </c>
    </row>
    <row r="3127" spans="1:4" ht="12.5">
      <c r="A3127" s="186">
        <v>46171</v>
      </c>
      <c r="B3127" s="9">
        <v>7002656059</v>
      </c>
      <c r="C3127" s="9">
        <v>2</v>
      </c>
      <c r="D3127" s="9" t="s">
        <v>751</v>
      </c>
    </row>
    <row r="3128" spans="1:4" ht="12.5">
      <c r="A3128" s="186">
        <v>46171</v>
      </c>
      <c r="B3128" s="9">
        <v>7002656071</v>
      </c>
      <c r="C3128" s="9">
        <v>6</v>
      </c>
      <c r="D3128" s="9" t="s">
        <v>758</v>
      </c>
    </row>
    <row r="3129" spans="1:4" ht="12.5">
      <c r="A3129" s="186">
        <v>46171</v>
      </c>
      <c r="B3129" s="9">
        <v>7002656130</v>
      </c>
      <c r="C3129" s="9">
        <v>7</v>
      </c>
      <c r="D3129" s="9" t="s">
        <v>758</v>
      </c>
    </row>
    <row r="3130" spans="1:4" ht="12.5">
      <c r="A3130" s="186">
        <v>46171</v>
      </c>
      <c r="B3130" s="9">
        <v>7002656452</v>
      </c>
      <c r="C3130" s="9">
        <v>2</v>
      </c>
      <c r="D3130" s="9" t="s">
        <v>751</v>
      </c>
    </row>
    <row r="3131" spans="1:4" ht="12.5">
      <c r="A3131" s="186">
        <v>46171</v>
      </c>
      <c r="B3131" s="9">
        <v>7002657038</v>
      </c>
      <c r="C3131" s="9">
        <v>1</v>
      </c>
      <c r="D3131" s="9" t="s">
        <v>750</v>
      </c>
    </row>
    <row r="3132" spans="1:4" ht="12.5">
      <c r="A3132" s="186">
        <v>46171</v>
      </c>
      <c r="B3132" s="9">
        <v>7002657055</v>
      </c>
      <c r="C3132" s="9">
        <v>6</v>
      </c>
      <c r="D3132" s="9" t="s">
        <v>758</v>
      </c>
    </row>
    <row r="3133" spans="1:4" ht="12.5">
      <c r="A3133" s="186">
        <v>46171</v>
      </c>
      <c r="B3133" s="9">
        <v>7002657064</v>
      </c>
      <c r="C3133" s="9">
        <v>6</v>
      </c>
      <c r="D3133" s="9" t="s">
        <v>758</v>
      </c>
    </row>
    <row r="3134" spans="1:4" ht="12.5">
      <c r="A3134" s="186">
        <v>46171</v>
      </c>
      <c r="B3134" s="9">
        <v>7002657108</v>
      </c>
      <c r="C3134" s="9">
        <v>1</v>
      </c>
      <c r="D3134" s="9" t="s">
        <v>750</v>
      </c>
    </row>
    <row r="3135" spans="1:4" ht="12.5">
      <c r="A3135" s="186">
        <v>46171</v>
      </c>
      <c r="B3135" s="9">
        <v>7002657357</v>
      </c>
      <c r="C3135" s="9">
        <v>1</v>
      </c>
      <c r="D3135" s="9" t="s">
        <v>750</v>
      </c>
    </row>
    <row r="3136" spans="1:4" ht="12.5">
      <c r="A3136" s="186">
        <v>46171</v>
      </c>
      <c r="B3136" s="9">
        <v>7002657851</v>
      </c>
      <c r="C3136" s="9">
        <v>1</v>
      </c>
      <c r="D3136" s="9" t="s">
        <v>750</v>
      </c>
    </row>
    <row r="3137" spans="1:4" ht="12.5">
      <c r="A3137" s="186">
        <v>46171</v>
      </c>
      <c r="B3137" s="9">
        <v>7002657968</v>
      </c>
      <c r="C3137" s="9">
        <v>1</v>
      </c>
      <c r="D3137" s="9" t="s">
        <v>750</v>
      </c>
    </row>
    <row r="3138" spans="1:4" ht="12.5">
      <c r="A3138" s="186">
        <v>46171</v>
      </c>
      <c r="B3138" s="9">
        <v>7002657975</v>
      </c>
      <c r="C3138" s="9">
        <v>17</v>
      </c>
      <c r="D3138" s="9" t="s">
        <v>752</v>
      </c>
    </row>
    <row r="3139" spans="1:4" ht="12.5">
      <c r="A3139" s="186">
        <v>46171</v>
      </c>
      <c r="B3139" s="9">
        <v>7002658025</v>
      </c>
      <c r="C3139" s="9">
        <v>3</v>
      </c>
      <c r="D3139" s="9" t="s">
        <v>751</v>
      </c>
    </row>
    <row r="3140" spans="1:4" ht="12.5">
      <c r="A3140" s="186">
        <v>46171</v>
      </c>
      <c r="B3140" s="9">
        <v>7002658041</v>
      </c>
      <c r="C3140" s="9">
        <v>6</v>
      </c>
      <c r="D3140" s="9" t="s">
        <v>758</v>
      </c>
    </row>
    <row r="3141" spans="1:4" ht="12.5">
      <c r="A3141" s="186">
        <v>46171</v>
      </c>
      <c r="B3141" s="9">
        <v>7002658060</v>
      </c>
      <c r="C3141" s="9">
        <v>6</v>
      </c>
      <c r="D3141" s="9" t="s">
        <v>758</v>
      </c>
    </row>
    <row r="3142" spans="1:4" ht="12.5">
      <c r="A3142" s="186">
        <v>46171</v>
      </c>
      <c r="B3142" s="9">
        <v>7002658113</v>
      </c>
      <c r="C3142" s="9">
        <v>6</v>
      </c>
      <c r="D3142" s="9" t="s">
        <v>758</v>
      </c>
    </row>
    <row r="3143" spans="1:4" ht="12.5">
      <c r="A3143" s="186">
        <v>46171</v>
      </c>
      <c r="B3143" s="9">
        <v>7002658132</v>
      </c>
      <c r="C3143" s="9">
        <v>2</v>
      </c>
      <c r="D3143" s="9" t="s">
        <v>751</v>
      </c>
    </row>
    <row r="3144" spans="1:4" ht="12.5">
      <c r="A3144" s="186">
        <v>46171</v>
      </c>
      <c r="B3144" s="9">
        <v>7002658304</v>
      </c>
      <c r="C3144" s="9">
        <v>1</v>
      </c>
      <c r="D3144" s="9" t="s">
        <v>750</v>
      </c>
    </row>
    <row r="3145" spans="1:4" ht="12.5">
      <c r="A3145" s="186">
        <v>46171</v>
      </c>
      <c r="B3145" s="9">
        <v>7002658834</v>
      </c>
      <c r="C3145" s="9">
        <v>1</v>
      </c>
      <c r="D3145" s="9" t="s">
        <v>750</v>
      </c>
    </row>
    <row r="3146" spans="1:4" ht="12.5">
      <c r="A3146" s="186">
        <v>46171</v>
      </c>
      <c r="B3146" s="9">
        <v>7002658899</v>
      </c>
      <c r="C3146" s="9">
        <v>1</v>
      </c>
      <c r="D3146" s="9" t="s">
        <v>750</v>
      </c>
    </row>
    <row r="3147" spans="1:4" ht="12.5">
      <c r="A3147" s="186">
        <v>46171</v>
      </c>
      <c r="B3147" s="9">
        <v>7002658930</v>
      </c>
      <c r="C3147" s="9">
        <v>1</v>
      </c>
      <c r="D3147" s="9" t="s">
        <v>750</v>
      </c>
    </row>
    <row r="3148" spans="1:4" ht="12.5">
      <c r="A3148" s="186">
        <v>46171</v>
      </c>
      <c r="B3148" s="9">
        <v>7002659057</v>
      </c>
      <c r="C3148" s="9">
        <v>6</v>
      </c>
      <c r="D3148" s="9" t="s">
        <v>758</v>
      </c>
    </row>
    <row r="3149" spans="1:4" ht="12.5">
      <c r="A3149" s="186">
        <v>46171</v>
      </c>
      <c r="B3149" s="9">
        <v>7002659061</v>
      </c>
      <c r="C3149" s="9">
        <v>6</v>
      </c>
      <c r="D3149" s="9" t="s">
        <v>758</v>
      </c>
    </row>
    <row r="3150" spans="1:4" ht="12.5">
      <c r="A3150" s="186">
        <v>46171</v>
      </c>
      <c r="B3150" s="9">
        <v>7002659105</v>
      </c>
      <c r="C3150" s="9">
        <v>8</v>
      </c>
      <c r="D3150" s="9" t="s">
        <v>758</v>
      </c>
    </row>
    <row r="3151" spans="1:4" ht="12.5">
      <c r="A3151" s="186">
        <v>46171</v>
      </c>
      <c r="B3151" s="9">
        <v>7002659114</v>
      </c>
      <c r="C3151" s="9">
        <v>3</v>
      </c>
      <c r="D3151" s="9" t="s">
        <v>751</v>
      </c>
    </row>
    <row r="3152" spans="1:4" ht="12.5">
      <c r="A3152" s="186">
        <v>46171</v>
      </c>
      <c r="B3152" s="9">
        <v>7002659151</v>
      </c>
      <c r="C3152" s="9">
        <v>2</v>
      </c>
      <c r="D3152" s="9" t="s">
        <v>751</v>
      </c>
    </row>
    <row r="3153" spans="1:4" ht="12.5">
      <c r="A3153" s="186">
        <v>46171</v>
      </c>
      <c r="B3153" s="9">
        <v>7002659848</v>
      </c>
      <c r="C3153" s="9">
        <v>1</v>
      </c>
      <c r="D3153" s="9" t="s">
        <v>750</v>
      </c>
    </row>
    <row r="3154" spans="1:4" ht="12.5">
      <c r="A3154" s="186">
        <v>46171</v>
      </c>
      <c r="B3154" s="9">
        <v>7002660245</v>
      </c>
      <c r="C3154" s="9">
        <v>24</v>
      </c>
      <c r="D3154" s="9" t="s">
        <v>752</v>
      </c>
    </row>
    <row r="3155" spans="1:4" ht="12.5">
      <c r="A3155" s="186">
        <v>46171</v>
      </c>
      <c r="B3155" s="9">
        <v>7002660773</v>
      </c>
      <c r="C3155" s="9">
        <v>3</v>
      </c>
      <c r="D3155" s="9" t="s">
        <v>751</v>
      </c>
    </row>
    <row r="3156" spans="1:4" ht="12.5">
      <c r="A3156" s="186">
        <v>46171</v>
      </c>
      <c r="B3156" s="9">
        <v>7002660833</v>
      </c>
      <c r="C3156" s="9">
        <v>1</v>
      </c>
      <c r="D3156" s="9" t="s">
        <v>750</v>
      </c>
    </row>
    <row r="3157" spans="1:4" ht="12.5">
      <c r="A3157" s="186">
        <v>46171</v>
      </c>
      <c r="B3157" s="9">
        <v>7002660879</v>
      </c>
      <c r="C3157" s="9">
        <v>18</v>
      </c>
      <c r="D3157" s="9" t="s">
        <v>752</v>
      </c>
    </row>
    <row r="3158" spans="1:4" ht="12.5">
      <c r="A3158" s="186">
        <v>46171</v>
      </c>
      <c r="B3158" s="9">
        <v>7002660947</v>
      </c>
      <c r="C3158" s="9">
        <v>1</v>
      </c>
      <c r="D3158" s="9" t="s">
        <v>750</v>
      </c>
    </row>
    <row r="3159" spans="1:4" ht="12.5">
      <c r="A3159" s="186">
        <v>46171</v>
      </c>
      <c r="B3159" s="9">
        <v>7002661037</v>
      </c>
      <c r="C3159" s="9">
        <v>1</v>
      </c>
      <c r="D3159" s="9" t="s">
        <v>750</v>
      </c>
    </row>
    <row r="3160" spans="1:4" ht="12.5">
      <c r="A3160" s="186">
        <v>46171</v>
      </c>
      <c r="B3160" s="9">
        <v>7002661589</v>
      </c>
      <c r="C3160" s="9">
        <v>2</v>
      </c>
      <c r="D3160" s="9" t="s">
        <v>751</v>
      </c>
    </row>
    <row r="3161" spans="1:4" ht="12.5">
      <c r="A3161" s="186">
        <v>46171</v>
      </c>
      <c r="B3161" s="9">
        <v>7002661821</v>
      </c>
      <c r="C3161" s="9">
        <v>10</v>
      </c>
      <c r="D3161" s="9" t="s">
        <v>758</v>
      </c>
    </row>
    <row r="3162" spans="1:4" ht="12.5">
      <c r="A3162" s="186">
        <v>46171</v>
      </c>
      <c r="B3162" s="9">
        <v>7002661845</v>
      </c>
      <c r="C3162" s="9">
        <v>5</v>
      </c>
      <c r="D3162" s="9" t="s">
        <v>751</v>
      </c>
    </row>
    <row r="3163" spans="1:4" ht="12.5">
      <c r="A3163" s="186">
        <v>46171</v>
      </c>
      <c r="B3163" s="9">
        <v>7002661866</v>
      </c>
      <c r="C3163" s="9">
        <v>7</v>
      </c>
      <c r="D3163" s="9" t="s">
        <v>758</v>
      </c>
    </row>
    <row r="3164" spans="1:4" ht="12.5">
      <c r="A3164" s="186">
        <v>46171</v>
      </c>
      <c r="B3164" s="9">
        <v>7002661914</v>
      </c>
      <c r="C3164" s="9">
        <v>24</v>
      </c>
      <c r="D3164" s="9" t="s">
        <v>752</v>
      </c>
    </row>
    <row r="3165" spans="1:4" ht="12.5">
      <c r="A3165" s="186">
        <v>46171</v>
      </c>
      <c r="B3165" s="9">
        <v>7002661922</v>
      </c>
      <c r="C3165" s="9">
        <v>1</v>
      </c>
      <c r="D3165" s="9" t="s">
        <v>750</v>
      </c>
    </row>
    <row r="3166" spans="1:4" ht="12.5">
      <c r="A3166" s="186">
        <v>46171</v>
      </c>
      <c r="B3166" s="9">
        <v>7002661979</v>
      </c>
      <c r="C3166" s="9">
        <v>1</v>
      </c>
      <c r="D3166" s="9" t="s">
        <v>750</v>
      </c>
    </row>
    <row r="3167" spans="1:4" ht="12.5">
      <c r="A3167" s="186">
        <v>46171</v>
      </c>
      <c r="B3167" s="9">
        <v>7002662070</v>
      </c>
      <c r="C3167" s="9">
        <v>2</v>
      </c>
      <c r="D3167" s="9" t="s">
        <v>751</v>
      </c>
    </row>
    <row r="3168" spans="1:4" ht="12.5">
      <c r="A3168" s="186">
        <v>46171</v>
      </c>
      <c r="B3168" s="9">
        <v>7002662405</v>
      </c>
      <c r="C3168" s="9">
        <v>4</v>
      </c>
      <c r="D3168" s="9" t="s">
        <v>751</v>
      </c>
    </row>
    <row r="3169" spans="1:4" ht="12.5">
      <c r="A3169" s="186">
        <v>46171</v>
      </c>
      <c r="B3169" s="9">
        <v>7002662574</v>
      </c>
      <c r="C3169" s="9">
        <v>33</v>
      </c>
      <c r="D3169" s="9" t="s">
        <v>752</v>
      </c>
    </row>
    <row r="3170" spans="1:4" ht="12.5">
      <c r="A3170" s="186">
        <v>46171</v>
      </c>
      <c r="B3170" s="9">
        <v>7002662945</v>
      </c>
      <c r="C3170" s="9">
        <v>3</v>
      </c>
      <c r="D3170" s="9" t="s">
        <v>751</v>
      </c>
    </row>
    <row r="3171" spans="1:4" ht="12.5">
      <c r="A3171" s="186">
        <v>46171</v>
      </c>
      <c r="B3171" s="9">
        <v>7002662950</v>
      </c>
      <c r="C3171" s="9">
        <v>189</v>
      </c>
      <c r="D3171" s="9" t="s">
        <v>752</v>
      </c>
    </row>
    <row r="3172" spans="1:4" ht="12.5">
      <c r="A3172" s="186">
        <v>46171</v>
      </c>
      <c r="B3172" s="9">
        <v>7002663114</v>
      </c>
      <c r="C3172" s="9">
        <v>12</v>
      </c>
      <c r="D3172" s="9" t="s">
        <v>752</v>
      </c>
    </row>
    <row r="3173" spans="1:4" ht="12.5">
      <c r="A3173" s="186">
        <v>46171</v>
      </c>
      <c r="B3173" s="9">
        <v>7002663180</v>
      </c>
      <c r="C3173" s="9">
        <v>2</v>
      </c>
      <c r="D3173" s="9" t="s">
        <v>751</v>
      </c>
    </row>
    <row r="3174" spans="1:4" ht="12.5">
      <c r="A3174" s="186">
        <v>46171</v>
      </c>
      <c r="B3174" s="9">
        <v>7002663344</v>
      </c>
      <c r="C3174" s="9">
        <v>2</v>
      </c>
      <c r="D3174" s="9" t="s">
        <v>751</v>
      </c>
    </row>
    <row r="3175" spans="1:4" ht="12.5">
      <c r="A3175" s="186">
        <v>46171</v>
      </c>
      <c r="B3175" s="9">
        <v>7002663421</v>
      </c>
      <c r="C3175" s="9">
        <v>1</v>
      </c>
      <c r="D3175" s="9" t="s">
        <v>750</v>
      </c>
    </row>
    <row r="3176" spans="1:4" ht="12.5">
      <c r="A3176" s="186">
        <v>46171</v>
      </c>
      <c r="B3176" s="9">
        <v>7002663560</v>
      </c>
      <c r="C3176" s="9">
        <v>1</v>
      </c>
      <c r="D3176" s="9" t="s">
        <v>750</v>
      </c>
    </row>
    <row r="3177" spans="1:4" ht="12.5">
      <c r="A3177" s="186">
        <v>46171</v>
      </c>
      <c r="B3177" s="9">
        <v>7002663601</v>
      </c>
      <c r="C3177" s="9">
        <v>2</v>
      </c>
      <c r="D3177" s="9" t="s">
        <v>751</v>
      </c>
    </row>
    <row r="3178" spans="1:4" ht="12.5">
      <c r="A3178" s="186">
        <v>46171</v>
      </c>
      <c r="B3178" s="9">
        <v>7002663912</v>
      </c>
      <c r="C3178" s="9">
        <v>11</v>
      </c>
      <c r="D3178" s="9" t="s">
        <v>752</v>
      </c>
    </row>
    <row r="3179" spans="1:4" ht="12.5">
      <c r="A3179" s="186">
        <v>46171</v>
      </c>
      <c r="B3179" s="9">
        <v>7002663920</v>
      </c>
      <c r="C3179" s="9">
        <v>1</v>
      </c>
      <c r="D3179" s="9" t="s">
        <v>750</v>
      </c>
    </row>
    <row r="3180" spans="1:4" ht="12.5">
      <c r="A3180" s="186">
        <v>46171</v>
      </c>
      <c r="B3180" s="9">
        <v>7002664483</v>
      </c>
      <c r="C3180" s="9">
        <v>1</v>
      </c>
      <c r="D3180" s="9" t="s">
        <v>750</v>
      </c>
    </row>
    <row r="3181" spans="1:4" ht="12.5">
      <c r="A3181" s="186">
        <v>46171</v>
      </c>
      <c r="B3181" s="9">
        <v>7002664555</v>
      </c>
      <c r="C3181" s="9">
        <v>8</v>
      </c>
      <c r="D3181" s="9" t="s">
        <v>758</v>
      </c>
    </row>
    <row r="3182" spans="1:4" ht="12.5">
      <c r="A3182" s="186">
        <v>46171</v>
      </c>
      <c r="B3182" s="9">
        <v>7002664868</v>
      </c>
      <c r="C3182" s="9">
        <v>105</v>
      </c>
      <c r="D3182" s="9" t="s">
        <v>752</v>
      </c>
    </row>
    <row r="3183" spans="1:4" ht="12.5">
      <c r="A3183" s="186">
        <v>46171</v>
      </c>
      <c r="B3183" s="9">
        <v>7002664948</v>
      </c>
      <c r="C3183" s="9">
        <v>3</v>
      </c>
      <c r="D3183" s="9" t="s">
        <v>751</v>
      </c>
    </row>
    <row r="3184" spans="1:4" ht="12.5">
      <c r="A3184" s="186">
        <v>46171</v>
      </c>
      <c r="B3184" s="9">
        <v>7002665045</v>
      </c>
      <c r="C3184" s="9">
        <v>2</v>
      </c>
      <c r="D3184" s="9" t="s">
        <v>751</v>
      </c>
    </row>
    <row r="3185" spans="1:4" ht="12.5">
      <c r="A3185" s="186">
        <v>46171</v>
      </c>
      <c r="B3185" s="9">
        <v>7002665118</v>
      </c>
      <c r="C3185" s="9">
        <v>5</v>
      </c>
      <c r="D3185" s="9" t="s">
        <v>751</v>
      </c>
    </row>
    <row r="3186" spans="1:4" ht="12.5">
      <c r="A3186" s="186">
        <v>46171</v>
      </c>
      <c r="B3186" s="9">
        <v>7002665141</v>
      </c>
      <c r="C3186" s="9">
        <v>35</v>
      </c>
      <c r="D3186" s="9" t="s">
        <v>752</v>
      </c>
    </row>
    <row r="3187" spans="1:4" ht="12.5">
      <c r="A3187" s="186">
        <v>46171</v>
      </c>
      <c r="B3187" s="9">
        <v>7002665382</v>
      </c>
      <c r="C3187" s="9">
        <v>1</v>
      </c>
      <c r="D3187" s="9" t="s">
        <v>750</v>
      </c>
    </row>
    <row r="3188" spans="1:4" ht="12.5">
      <c r="A3188" s="186">
        <v>46171</v>
      </c>
      <c r="B3188" s="9">
        <v>7002665783</v>
      </c>
      <c r="C3188" s="9">
        <v>45</v>
      </c>
      <c r="D3188" s="9" t="s">
        <v>752</v>
      </c>
    </row>
    <row r="3189" spans="1:4" ht="12.5">
      <c r="A3189" s="186">
        <v>46171</v>
      </c>
      <c r="B3189" s="9">
        <v>7002665844</v>
      </c>
      <c r="C3189" s="9">
        <v>5</v>
      </c>
      <c r="D3189" s="9" t="s">
        <v>751</v>
      </c>
    </row>
    <row r="3190" spans="1:4" ht="12.5">
      <c r="A3190" s="186">
        <v>46171</v>
      </c>
      <c r="B3190" s="9">
        <v>7002665885</v>
      </c>
      <c r="C3190" s="9">
        <v>140</v>
      </c>
      <c r="D3190" s="9" t="s">
        <v>752</v>
      </c>
    </row>
    <row r="3191" spans="1:4" ht="12.5">
      <c r="A3191" s="186">
        <v>46171</v>
      </c>
      <c r="B3191" s="9">
        <v>7002665962</v>
      </c>
      <c r="C3191" s="9">
        <v>1</v>
      </c>
      <c r="D3191" s="9" t="s">
        <v>750</v>
      </c>
    </row>
    <row r="3192" spans="1:4" ht="12.5">
      <c r="A3192" s="186">
        <v>46171</v>
      </c>
      <c r="B3192" s="9">
        <v>7002666046</v>
      </c>
      <c r="C3192" s="9">
        <v>29</v>
      </c>
      <c r="D3192" s="9" t="s">
        <v>752</v>
      </c>
    </row>
    <row r="3193" spans="1:4" ht="12.5">
      <c r="A3193" s="186">
        <v>46171</v>
      </c>
      <c r="B3193" s="9">
        <v>7002666241</v>
      </c>
      <c r="C3193" s="9">
        <v>1</v>
      </c>
      <c r="D3193" s="9" t="s">
        <v>750</v>
      </c>
    </row>
    <row r="3194" spans="1:4" ht="12.5">
      <c r="A3194" s="186">
        <v>46171</v>
      </c>
      <c r="B3194" s="9">
        <v>7002666415</v>
      </c>
      <c r="C3194" s="9">
        <v>1</v>
      </c>
      <c r="D3194" s="9" t="s">
        <v>750</v>
      </c>
    </row>
    <row r="3195" spans="1:4" ht="12.5">
      <c r="A3195" s="186">
        <v>46171</v>
      </c>
      <c r="B3195" s="9">
        <v>7002666436</v>
      </c>
      <c r="C3195" s="9">
        <v>5</v>
      </c>
      <c r="D3195" s="9" t="s">
        <v>751</v>
      </c>
    </row>
    <row r="3196" spans="1:4" ht="12.5">
      <c r="A3196" s="186">
        <v>46171</v>
      </c>
      <c r="B3196" s="9">
        <v>7002666491</v>
      </c>
      <c r="C3196" s="9">
        <v>1</v>
      </c>
      <c r="D3196" s="9" t="s">
        <v>750</v>
      </c>
    </row>
    <row r="3197" spans="1:4" ht="12.5">
      <c r="A3197" s="186">
        <v>46171</v>
      </c>
      <c r="B3197" s="9">
        <v>7002666838</v>
      </c>
      <c r="C3197" s="9">
        <v>25</v>
      </c>
      <c r="D3197" s="9" t="s">
        <v>752</v>
      </c>
    </row>
    <row r="3198" spans="1:4" ht="12.5">
      <c r="A3198" s="186">
        <v>46171</v>
      </c>
      <c r="B3198" s="9">
        <v>7002666840</v>
      </c>
      <c r="C3198" s="9">
        <v>8</v>
      </c>
      <c r="D3198" s="9" t="s">
        <v>758</v>
      </c>
    </row>
    <row r="3199" spans="1:4" ht="12.5">
      <c r="A3199" s="186">
        <v>46171</v>
      </c>
      <c r="B3199" s="9">
        <v>7002666864</v>
      </c>
      <c r="C3199" s="9">
        <v>1</v>
      </c>
      <c r="D3199" s="9" t="s">
        <v>750</v>
      </c>
    </row>
    <row r="3200" spans="1:4" ht="12.5">
      <c r="A3200" s="186">
        <v>46171</v>
      </c>
      <c r="B3200" s="9">
        <v>7002667332</v>
      </c>
      <c r="C3200" s="9">
        <v>10</v>
      </c>
      <c r="D3200" s="9" t="s">
        <v>758</v>
      </c>
    </row>
    <row r="3201" spans="1:4" ht="12.5">
      <c r="A3201" s="186">
        <v>46171</v>
      </c>
      <c r="B3201" s="9">
        <v>7002667576</v>
      </c>
      <c r="C3201" s="9">
        <v>1</v>
      </c>
      <c r="D3201" s="9" t="s">
        <v>750</v>
      </c>
    </row>
    <row r="3202" spans="1:4" ht="12.5">
      <c r="A3202" s="186">
        <v>46171</v>
      </c>
      <c r="B3202" s="9">
        <v>7002667798</v>
      </c>
      <c r="C3202" s="9">
        <v>3</v>
      </c>
      <c r="D3202" s="9" t="s">
        <v>751</v>
      </c>
    </row>
    <row r="3203" spans="1:4" ht="12.5">
      <c r="A3203" s="186">
        <v>46171</v>
      </c>
      <c r="B3203" s="9">
        <v>7002667802</v>
      </c>
      <c r="C3203" s="9">
        <v>2</v>
      </c>
      <c r="D3203" s="9" t="s">
        <v>751</v>
      </c>
    </row>
    <row r="3204" spans="1:4" ht="12.5">
      <c r="A3204" s="186">
        <v>46171</v>
      </c>
      <c r="B3204" s="9">
        <v>7002667841</v>
      </c>
      <c r="C3204" s="9">
        <v>2</v>
      </c>
      <c r="D3204" s="9" t="s">
        <v>751</v>
      </c>
    </row>
    <row r="3205" spans="1:4" ht="12.5">
      <c r="A3205" s="186">
        <v>46171</v>
      </c>
      <c r="B3205" s="9">
        <v>7002667856</v>
      </c>
      <c r="C3205" s="9">
        <v>2</v>
      </c>
      <c r="D3205" s="9" t="s">
        <v>751</v>
      </c>
    </row>
    <row r="3206" spans="1:4" ht="12.5">
      <c r="A3206" s="186">
        <v>46171</v>
      </c>
      <c r="B3206" s="9">
        <v>7002667894</v>
      </c>
      <c r="C3206" s="9">
        <v>41</v>
      </c>
      <c r="D3206" s="9" t="s">
        <v>752</v>
      </c>
    </row>
    <row r="3207" spans="1:4" ht="12.5">
      <c r="A3207" s="186">
        <v>46171</v>
      </c>
      <c r="B3207" s="9">
        <v>7002667929</v>
      </c>
      <c r="C3207" s="9">
        <v>1</v>
      </c>
      <c r="D3207" s="9" t="s">
        <v>750</v>
      </c>
    </row>
    <row r="3208" spans="1:4" ht="12.5">
      <c r="A3208" s="186">
        <v>46171</v>
      </c>
      <c r="B3208" s="9">
        <v>7002667938</v>
      </c>
      <c r="C3208" s="9">
        <v>3</v>
      </c>
      <c r="D3208" s="9" t="s">
        <v>751</v>
      </c>
    </row>
    <row r="3209" spans="1:4" ht="12.5">
      <c r="A3209" s="186">
        <v>46171</v>
      </c>
      <c r="B3209" s="9">
        <v>7002667955</v>
      </c>
      <c r="C3209" s="9">
        <v>3</v>
      </c>
      <c r="D3209" s="9" t="s">
        <v>751</v>
      </c>
    </row>
    <row r="3210" spans="1:4" ht="12.5">
      <c r="A3210" s="186">
        <v>46171</v>
      </c>
      <c r="B3210" s="9">
        <v>7002668082</v>
      </c>
      <c r="C3210" s="9">
        <v>3</v>
      </c>
      <c r="D3210" s="9" t="s">
        <v>751</v>
      </c>
    </row>
    <row r="3211" spans="1:4" ht="12.5">
      <c r="A3211" s="186">
        <v>46171</v>
      </c>
      <c r="B3211" s="9">
        <v>7002668464</v>
      </c>
      <c r="C3211" s="9">
        <v>5</v>
      </c>
      <c r="D3211" s="9" t="s">
        <v>751</v>
      </c>
    </row>
    <row r="3212" spans="1:4" ht="12.5">
      <c r="A3212" s="186">
        <v>46171</v>
      </c>
      <c r="B3212" s="9">
        <v>7002668775</v>
      </c>
      <c r="C3212" s="9">
        <v>2</v>
      </c>
      <c r="D3212" s="9" t="s">
        <v>751</v>
      </c>
    </row>
    <row r="3213" spans="1:4" ht="12.5">
      <c r="A3213" s="186">
        <v>46171</v>
      </c>
      <c r="B3213" s="9">
        <v>7002668799</v>
      </c>
      <c r="C3213" s="9">
        <v>25</v>
      </c>
      <c r="D3213" s="9" t="s">
        <v>752</v>
      </c>
    </row>
    <row r="3214" spans="1:4" ht="12.5">
      <c r="A3214" s="186">
        <v>46171</v>
      </c>
      <c r="B3214" s="9">
        <v>7002668835</v>
      </c>
      <c r="C3214" s="9">
        <v>5</v>
      </c>
      <c r="D3214" s="9" t="s">
        <v>751</v>
      </c>
    </row>
    <row r="3215" spans="1:4" ht="12.5">
      <c r="A3215" s="186">
        <v>46171</v>
      </c>
      <c r="B3215" s="9">
        <v>7002668842</v>
      </c>
      <c r="C3215" s="9">
        <v>3</v>
      </c>
      <c r="D3215" s="9" t="s">
        <v>751</v>
      </c>
    </row>
    <row r="3216" spans="1:4" ht="12.5">
      <c r="A3216" s="186">
        <v>46171</v>
      </c>
      <c r="B3216" s="9">
        <v>7002668861</v>
      </c>
      <c r="C3216" s="9">
        <v>1</v>
      </c>
      <c r="D3216" s="9" t="s">
        <v>750</v>
      </c>
    </row>
    <row r="3217" spans="1:4" ht="12.5">
      <c r="A3217" s="186">
        <v>46171</v>
      </c>
      <c r="B3217" s="9">
        <v>7002669244</v>
      </c>
      <c r="C3217" s="9">
        <v>16</v>
      </c>
      <c r="D3217" s="9" t="s">
        <v>752</v>
      </c>
    </row>
    <row r="3218" spans="1:4" ht="12.5">
      <c r="A3218" s="186">
        <v>46171</v>
      </c>
      <c r="B3218" s="9">
        <v>7002669441</v>
      </c>
      <c r="C3218" s="9">
        <v>1</v>
      </c>
      <c r="D3218" s="9" t="s">
        <v>750</v>
      </c>
    </row>
    <row r="3219" spans="1:4" ht="12.5">
      <c r="A3219" s="186">
        <v>46171</v>
      </c>
      <c r="B3219" s="9">
        <v>7002669487</v>
      </c>
      <c r="C3219" s="9">
        <v>8</v>
      </c>
      <c r="D3219" s="9" t="s">
        <v>758</v>
      </c>
    </row>
    <row r="3220" spans="1:4" ht="12.5">
      <c r="A3220" s="186">
        <v>46171</v>
      </c>
      <c r="B3220" s="9">
        <v>7002669550</v>
      </c>
      <c r="C3220" s="9">
        <v>65</v>
      </c>
      <c r="D3220" s="9" t="s">
        <v>752</v>
      </c>
    </row>
    <row r="3221" spans="1:4" ht="12.5">
      <c r="A3221" s="186">
        <v>46171</v>
      </c>
      <c r="B3221" s="9">
        <v>7002669584</v>
      </c>
      <c r="C3221" s="9">
        <v>4</v>
      </c>
      <c r="D3221" s="9" t="s">
        <v>751</v>
      </c>
    </row>
    <row r="3222" spans="1:4" ht="12.5">
      <c r="A3222" s="186">
        <v>46171</v>
      </c>
      <c r="B3222" s="9">
        <v>7002669815</v>
      </c>
      <c r="C3222" s="9">
        <v>10</v>
      </c>
      <c r="D3222" s="9" t="s">
        <v>758</v>
      </c>
    </row>
    <row r="3223" spans="1:4" ht="12.5">
      <c r="A3223" s="186">
        <v>46171</v>
      </c>
      <c r="B3223" s="9">
        <v>7002670045</v>
      </c>
      <c r="C3223" s="9">
        <v>1</v>
      </c>
      <c r="D3223" s="9" t="s">
        <v>750</v>
      </c>
    </row>
    <row r="3224" spans="1:4" ht="12.5">
      <c r="A3224" s="186">
        <v>46171</v>
      </c>
      <c r="B3224" s="9">
        <v>7002670800</v>
      </c>
      <c r="C3224" s="9">
        <v>6</v>
      </c>
      <c r="D3224" s="9" t="s">
        <v>758</v>
      </c>
    </row>
    <row r="3225" spans="1:4" ht="12.5">
      <c r="A3225" s="186">
        <v>46171</v>
      </c>
      <c r="B3225" s="9">
        <v>7002671129</v>
      </c>
      <c r="C3225" s="9">
        <v>54</v>
      </c>
      <c r="D3225" s="9" t="s">
        <v>752</v>
      </c>
    </row>
    <row r="3226" spans="1:4" ht="12.5">
      <c r="A3226" s="186">
        <v>46171</v>
      </c>
      <c r="B3226" s="9">
        <v>7002671633</v>
      </c>
      <c r="C3226" s="9">
        <v>1</v>
      </c>
      <c r="D3226" s="9" t="s">
        <v>750</v>
      </c>
    </row>
    <row r="3227" spans="1:4" ht="12.5">
      <c r="A3227" s="186">
        <v>46171</v>
      </c>
      <c r="B3227" s="9">
        <v>7002672024</v>
      </c>
      <c r="C3227" s="9">
        <v>10</v>
      </c>
      <c r="D3227" s="9" t="s">
        <v>758</v>
      </c>
    </row>
    <row r="3228" spans="1:4" ht="12.5">
      <c r="A3228" s="186">
        <v>46171</v>
      </c>
      <c r="B3228" s="9">
        <v>7002672918</v>
      </c>
      <c r="C3228" s="9">
        <v>49</v>
      </c>
      <c r="D3228" s="9" t="s">
        <v>752</v>
      </c>
    </row>
    <row r="3229" spans="1:4" ht="12.5">
      <c r="A3229" s="186">
        <v>46171</v>
      </c>
      <c r="B3229" s="9">
        <v>7002674552</v>
      </c>
      <c r="C3229" s="9">
        <v>2</v>
      </c>
      <c r="D3229" s="9" t="s">
        <v>751</v>
      </c>
    </row>
    <row r="3230" spans="1:4" ht="12.5">
      <c r="A3230" s="186">
        <v>46171</v>
      </c>
      <c r="B3230" s="9">
        <v>7002674959</v>
      </c>
      <c r="C3230" s="9">
        <v>13</v>
      </c>
      <c r="D3230" s="9" t="s">
        <v>752</v>
      </c>
    </row>
    <row r="3231" spans="1:4" ht="12.5">
      <c r="A3231" s="186">
        <v>46171</v>
      </c>
      <c r="B3231" s="9">
        <v>7002674971</v>
      </c>
      <c r="C3231" s="9">
        <v>4</v>
      </c>
      <c r="D3231" s="9" t="s">
        <v>751</v>
      </c>
    </row>
    <row r="3232" spans="1:4" ht="12.5">
      <c r="A3232" s="186">
        <v>46171</v>
      </c>
      <c r="B3232" s="9">
        <v>7002676790</v>
      </c>
      <c r="C3232" s="9">
        <v>2</v>
      </c>
      <c r="D3232" s="9" t="s">
        <v>751</v>
      </c>
    </row>
    <row r="3233" spans="1:4" ht="12.5">
      <c r="A3233" s="186">
        <v>46171</v>
      </c>
      <c r="B3233" s="9">
        <v>7002676868</v>
      </c>
      <c r="C3233" s="9">
        <v>1</v>
      </c>
      <c r="D3233" s="9" t="s">
        <v>750</v>
      </c>
    </row>
    <row r="3234" spans="1:4" ht="12.5">
      <c r="A3234" s="186">
        <v>46171</v>
      </c>
      <c r="B3234" s="9">
        <v>7002677789</v>
      </c>
      <c r="C3234" s="9">
        <v>2</v>
      </c>
      <c r="D3234" s="9" t="s">
        <v>751</v>
      </c>
    </row>
    <row r="3235" spans="1:4" ht="12.5">
      <c r="A3235" s="186">
        <v>46171</v>
      </c>
      <c r="B3235" s="9">
        <v>7002677912</v>
      </c>
      <c r="C3235" s="9">
        <v>5</v>
      </c>
      <c r="D3235" s="9" t="s">
        <v>751</v>
      </c>
    </row>
    <row r="3236" spans="1:4" ht="12.5">
      <c r="A3236" s="186">
        <v>46171</v>
      </c>
      <c r="B3236" s="9">
        <v>7002677977</v>
      </c>
      <c r="C3236" s="9">
        <v>3</v>
      </c>
      <c r="D3236" s="9" t="s">
        <v>751</v>
      </c>
    </row>
    <row r="3237" spans="1:4" ht="12.5">
      <c r="A3237" s="186">
        <v>46171</v>
      </c>
      <c r="B3237" s="9">
        <v>7002677983</v>
      </c>
      <c r="C3237" s="9">
        <v>10</v>
      </c>
      <c r="D3237" s="9" t="s">
        <v>758</v>
      </c>
    </row>
    <row r="3238" spans="1:4" ht="12.5">
      <c r="A3238" s="186">
        <v>46171</v>
      </c>
      <c r="B3238" s="9">
        <v>7002678338</v>
      </c>
      <c r="C3238" s="9">
        <v>1</v>
      </c>
      <c r="D3238" s="9" t="s">
        <v>750</v>
      </c>
    </row>
    <row r="3239" spans="1:4" ht="12.5">
      <c r="A3239" s="186">
        <v>46171</v>
      </c>
      <c r="B3239" s="9">
        <v>7002678479</v>
      </c>
      <c r="C3239" s="9">
        <v>2</v>
      </c>
      <c r="D3239" s="9" t="s">
        <v>751</v>
      </c>
    </row>
    <row r="3240" spans="1:4" ht="12.5">
      <c r="A3240" s="186">
        <v>46171</v>
      </c>
      <c r="B3240" s="9">
        <v>7002679195</v>
      </c>
      <c r="C3240" s="9">
        <v>1</v>
      </c>
      <c r="D3240" s="9" t="s">
        <v>750</v>
      </c>
    </row>
    <row r="3241" spans="1:4" ht="12.5">
      <c r="A3241" s="186">
        <v>46171</v>
      </c>
      <c r="B3241" s="9">
        <v>7002679878</v>
      </c>
      <c r="C3241" s="9">
        <v>3</v>
      </c>
      <c r="D3241" s="9" t="s">
        <v>751</v>
      </c>
    </row>
    <row r="3242" spans="1:4" ht="12.5">
      <c r="A3242" s="186">
        <v>46171</v>
      </c>
      <c r="B3242" s="9">
        <v>7002680207</v>
      </c>
      <c r="C3242" s="9">
        <v>2</v>
      </c>
      <c r="D3242" s="9" t="s">
        <v>751</v>
      </c>
    </row>
    <row r="3243" spans="1:4" ht="12.5">
      <c r="A3243" s="186">
        <v>46171</v>
      </c>
      <c r="B3243" s="9">
        <v>7002681026</v>
      </c>
      <c r="C3243" s="9">
        <v>33</v>
      </c>
      <c r="D3243" s="9" t="s">
        <v>752</v>
      </c>
    </row>
    <row r="3244" spans="1:4" ht="12.5">
      <c r="A3244" s="186">
        <v>46171</v>
      </c>
      <c r="B3244" s="9">
        <v>7002684028</v>
      </c>
      <c r="C3244" s="9">
        <v>7</v>
      </c>
      <c r="D3244" s="9" t="s">
        <v>758</v>
      </c>
    </row>
    <row r="3245" spans="1:4" ht="12.5">
      <c r="A3245" s="186">
        <v>46171</v>
      </c>
      <c r="B3245" s="9">
        <v>7002685290</v>
      </c>
      <c r="C3245" s="9">
        <v>3</v>
      </c>
      <c r="D3245" s="9" t="s">
        <v>751</v>
      </c>
    </row>
    <row r="3246" spans="1:4" ht="12.5">
      <c r="A3246" s="186">
        <v>46171</v>
      </c>
      <c r="B3246" s="9">
        <v>7002685350</v>
      </c>
      <c r="C3246" s="9">
        <v>1</v>
      </c>
      <c r="D3246" s="9" t="s">
        <v>750</v>
      </c>
    </row>
    <row r="3247" spans="1:4" ht="12.5">
      <c r="A3247" s="186">
        <v>46171</v>
      </c>
      <c r="B3247" s="9">
        <v>7002686007</v>
      </c>
      <c r="C3247" s="9">
        <v>1</v>
      </c>
      <c r="D3247" s="9" t="s">
        <v>750</v>
      </c>
    </row>
    <row r="3248" spans="1:4" ht="12.5">
      <c r="A3248" s="186">
        <v>46171</v>
      </c>
      <c r="B3248" s="9">
        <v>7002686011</v>
      </c>
      <c r="C3248" s="9">
        <v>5</v>
      </c>
      <c r="D3248" s="9" t="s">
        <v>751</v>
      </c>
    </row>
    <row r="3249" spans="1:4" ht="12.5">
      <c r="A3249" s="186">
        <v>46171</v>
      </c>
      <c r="B3249" s="9">
        <v>7002686095</v>
      </c>
      <c r="C3249" s="9">
        <v>33</v>
      </c>
      <c r="D3249" s="9" t="s">
        <v>752</v>
      </c>
    </row>
    <row r="3250" spans="1:4" ht="12.5">
      <c r="A3250" s="186">
        <v>46171</v>
      </c>
      <c r="B3250" s="9">
        <v>7002687129</v>
      </c>
      <c r="C3250" s="9">
        <v>1</v>
      </c>
      <c r="D3250" s="9" t="s">
        <v>750</v>
      </c>
    </row>
    <row r="3251" spans="1:4" ht="12.5">
      <c r="A3251" s="186">
        <v>46171</v>
      </c>
      <c r="B3251" s="9">
        <v>7002687193</v>
      </c>
      <c r="C3251" s="9">
        <v>1</v>
      </c>
      <c r="D3251" s="9" t="s">
        <v>750</v>
      </c>
    </row>
    <row r="3252" spans="1:4" ht="12.5">
      <c r="A3252" s="186">
        <v>46171</v>
      </c>
      <c r="B3252" s="9">
        <v>7002687228</v>
      </c>
      <c r="C3252" s="9">
        <v>1</v>
      </c>
      <c r="D3252" s="9" t="s">
        <v>750</v>
      </c>
    </row>
    <row r="3253" spans="1:4" ht="12.5">
      <c r="A3253" s="186">
        <v>46171</v>
      </c>
      <c r="B3253" s="9">
        <v>7002687399</v>
      </c>
      <c r="C3253" s="9">
        <v>11</v>
      </c>
      <c r="D3253" s="9" t="s">
        <v>752</v>
      </c>
    </row>
    <row r="3254" spans="1:4" ht="12.5">
      <c r="A3254" s="186">
        <v>46171</v>
      </c>
      <c r="B3254" s="9">
        <v>7002688021</v>
      </c>
      <c r="C3254" s="9">
        <v>33</v>
      </c>
      <c r="D3254" s="9" t="s">
        <v>752</v>
      </c>
    </row>
    <row r="3255" spans="1:4" ht="12.5">
      <c r="A3255" s="186">
        <v>46171</v>
      </c>
      <c r="B3255" s="9">
        <v>7002688097</v>
      </c>
      <c r="C3255" s="9">
        <v>33</v>
      </c>
      <c r="D3255" s="9" t="s">
        <v>752</v>
      </c>
    </row>
    <row r="3256" spans="1:4" ht="12.5">
      <c r="A3256" s="186">
        <v>46171</v>
      </c>
      <c r="B3256" s="9">
        <v>7002689051</v>
      </c>
      <c r="C3256" s="9">
        <v>7</v>
      </c>
      <c r="D3256" s="9" t="s">
        <v>758</v>
      </c>
    </row>
    <row r="3257" spans="1:4" ht="12.5">
      <c r="A3257" s="186">
        <v>46171</v>
      </c>
      <c r="B3257" s="9">
        <v>7002689225</v>
      </c>
      <c r="C3257" s="9">
        <v>1</v>
      </c>
      <c r="D3257" s="9" t="s">
        <v>750</v>
      </c>
    </row>
    <row r="3258" spans="1:4" ht="12.5">
      <c r="A3258" s="186">
        <v>46171</v>
      </c>
      <c r="B3258" s="9">
        <v>7002689377</v>
      </c>
      <c r="C3258" s="9">
        <v>2</v>
      </c>
      <c r="D3258" s="9" t="s">
        <v>751</v>
      </c>
    </row>
    <row r="3259" spans="1:4" ht="12.5">
      <c r="A3259" s="191"/>
      <c r="B3259" s="136"/>
      <c r="C3259" s="136"/>
      <c r="D3259" s="136"/>
    </row>
    <row r="3260" spans="1:4" ht="12.5">
      <c r="A3260" s="186">
        <v>46172</v>
      </c>
      <c r="B3260" s="184">
        <v>7001727096</v>
      </c>
      <c r="C3260" s="184">
        <v>2</v>
      </c>
      <c r="D3260" s="9" t="s">
        <v>751</v>
      </c>
    </row>
    <row r="3261" spans="1:4" ht="12.5">
      <c r="A3261" s="186">
        <v>46172</v>
      </c>
      <c r="B3261" s="184">
        <v>7002513445</v>
      </c>
      <c r="C3261" s="184">
        <v>4</v>
      </c>
      <c r="D3261" s="9" t="s">
        <v>751</v>
      </c>
    </row>
    <row r="3262" spans="1:4" ht="12.5">
      <c r="A3262" s="186">
        <v>46172</v>
      </c>
      <c r="B3262" s="184">
        <v>7002515066</v>
      </c>
      <c r="C3262" s="184">
        <v>6</v>
      </c>
      <c r="D3262" s="9" t="s">
        <v>758</v>
      </c>
    </row>
    <row r="3263" spans="1:4" ht="12.5">
      <c r="A3263" s="186">
        <v>46172</v>
      </c>
      <c r="B3263" s="184">
        <v>7002519065</v>
      </c>
      <c r="C3263" s="184">
        <v>30</v>
      </c>
      <c r="D3263" s="9" t="s">
        <v>752</v>
      </c>
    </row>
    <row r="3264" spans="1:4" ht="12.5">
      <c r="A3264" s="186">
        <v>46172</v>
      </c>
      <c r="B3264" s="184">
        <v>7002521404</v>
      </c>
      <c r="C3264" s="184">
        <v>6</v>
      </c>
      <c r="D3264" s="9" t="s">
        <v>758</v>
      </c>
    </row>
    <row r="3265" spans="1:4" ht="12.5">
      <c r="A3265" s="186">
        <v>46172</v>
      </c>
      <c r="B3265" s="184">
        <v>7002528197</v>
      </c>
      <c r="C3265" s="184">
        <v>2</v>
      </c>
      <c r="D3265" s="9" t="s">
        <v>751</v>
      </c>
    </row>
    <row r="3266" spans="1:4" ht="12.5">
      <c r="A3266" s="186">
        <v>46172</v>
      </c>
      <c r="B3266" s="184">
        <v>7002531846</v>
      </c>
      <c r="C3266" s="184">
        <v>2</v>
      </c>
      <c r="D3266" s="9" t="s">
        <v>751</v>
      </c>
    </row>
    <row r="3267" spans="1:4" ht="12.5">
      <c r="A3267" s="186">
        <v>46172</v>
      </c>
      <c r="B3267" s="184">
        <v>7002535306</v>
      </c>
      <c r="C3267" s="184">
        <v>1</v>
      </c>
      <c r="D3267" s="9" t="s">
        <v>750</v>
      </c>
    </row>
    <row r="3268" spans="1:4" ht="12.5">
      <c r="A3268" s="186">
        <v>46172</v>
      </c>
      <c r="B3268" s="184">
        <v>7002539835</v>
      </c>
      <c r="C3268" s="184">
        <v>4</v>
      </c>
      <c r="D3268" s="9" t="s">
        <v>751</v>
      </c>
    </row>
    <row r="3269" spans="1:4" ht="12.5">
      <c r="A3269" s="186">
        <v>46172</v>
      </c>
      <c r="B3269" s="184">
        <v>7002539902</v>
      </c>
      <c r="C3269" s="184">
        <v>36</v>
      </c>
      <c r="D3269" s="9" t="s">
        <v>752</v>
      </c>
    </row>
    <row r="3270" spans="1:4" ht="12.5">
      <c r="A3270" s="186">
        <v>46172</v>
      </c>
      <c r="B3270" s="184">
        <v>7002540317</v>
      </c>
      <c r="C3270" s="184">
        <v>16</v>
      </c>
      <c r="D3270" s="9" t="s">
        <v>752</v>
      </c>
    </row>
    <row r="3271" spans="1:4" ht="12.5">
      <c r="A3271" s="186">
        <v>46172</v>
      </c>
      <c r="B3271" s="184">
        <v>7002542953</v>
      </c>
      <c r="C3271" s="184">
        <v>202</v>
      </c>
      <c r="D3271" s="9" t="s">
        <v>752</v>
      </c>
    </row>
    <row r="3272" spans="1:4" ht="12.5">
      <c r="A3272" s="186">
        <v>46172</v>
      </c>
      <c r="B3272" s="184">
        <v>7002543072</v>
      </c>
      <c r="C3272" s="184">
        <v>2</v>
      </c>
      <c r="D3272" s="9" t="s">
        <v>751</v>
      </c>
    </row>
    <row r="3273" spans="1:4" ht="12.5">
      <c r="A3273" s="186">
        <v>46172</v>
      </c>
      <c r="B3273" s="184">
        <v>7002544153</v>
      </c>
      <c r="C3273" s="184">
        <v>1</v>
      </c>
      <c r="D3273" s="9" t="s">
        <v>750</v>
      </c>
    </row>
    <row r="3274" spans="1:4" ht="12.5">
      <c r="A3274" s="186">
        <v>46172</v>
      </c>
      <c r="B3274" s="184">
        <v>7002546137</v>
      </c>
      <c r="C3274" s="184">
        <v>6</v>
      </c>
      <c r="D3274" s="9" t="s">
        <v>758</v>
      </c>
    </row>
    <row r="3275" spans="1:4" ht="12.5">
      <c r="A3275" s="186">
        <v>46172</v>
      </c>
      <c r="B3275" s="184">
        <v>7002546351</v>
      </c>
      <c r="C3275" s="184">
        <v>17</v>
      </c>
      <c r="D3275" s="9" t="s">
        <v>752</v>
      </c>
    </row>
    <row r="3276" spans="1:4" ht="12.5">
      <c r="A3276" s="186">
        <v>46172</v>
      </c>
      <c r="B3276" s="184">
        <v>7002550695</v>
      </c>
      <c r="C3276" s="184">
        <v>2</v>
      </c>
      <c r="D3276" s="9" t="s">
        <v>751</v>
      </c>
    </row>
    <row r="3277" spans="1:4" ht="12.5">
      <c r="A3277" s="186">
        <v>46172</v>
      </c>
      <c r="B3277" s="184">
        <v>7002551435</v>
      </c>
      <c r="C3277" s="184">
        <v>5</v>
      </c>
      <c r="D3277" s="9" t="s">
        <v>751</v>
      </c>
    </row>
    <row r="3278" spans="1:4" ht="12.5">
      <c r="A3278" s="186">
        <v>46172</v>
      </c>
      <c r="B3278" s="184">
        <v>7002552310</v>
      </c>
      <c r="C3278" s="184">
        <v>41</v>
      </c>
      <c r="D3278" s="9" t="s">
        <v>752</v>
      </c>
    </row>
    <row r="3279" spans="1:4" ht="12.5">
      <c r="A3279" s="186">
        <v>46172</v>
      </c>
      <c r="B3279" s="184">
        <v>7002552347</v>
      </c>
      <c r="C3279" s="184">
        <v>4</v>
      </c>
      <c r="D3279" s="9" t="s">
        <v>751</v>
      </c>
    </row>
    <row r="3280" spans="1:4" ht="12.5">
      <c r="A3280" s="186">
        <v>46172</v>
      </c>
      <c r="B3280" s="184">
        <v>7002552460</v>
      </c>
      <c r="C3280" s="184">
        <v>20</v>
      </c>
      <c r="D3280" s="9" t="s">
        <v>752</v>
      </c>
    </row>
    <row r="3281" spans="1:4" ht="12.5">
      <c r="A3281" s="186">
        <v>46172</v>
      </c>
      <c r="B3281" s="184">
        <v>7002552494</v>
      </c>
      <c r="C3281" s="184">
        <v>17</v>
      </c>
      <c r="D3281" s="9" t="s">
        <v>752</v>
      </c>
    </row>
    <row r="3282" spans="1:4" ht="12.5">
      <c r="A3282" s="186">
        <v>46172</v>
      </c>
      <c r="B3282" s="184">
        <v>7002552990</v>
      </c>
      <c r="C3282" s="184">
        <v>3</v>
      </c>
      <c r="D3282" s="9" t="s">
        <v>751</v>
      </c>
    </row>
    <row r="3283" spans="1:4" ht="12.5">
      <c r="A3283" s="186">
        <v>46172</v>
      </c>
      <c r="B3283" s="184">
        <v>7002556001</v>
      </c>
      <c r="C3283" s="184">
        <v>11</v>
      </c>
      <c r="D3283" s="9" t="s">
        <v>752</v>
      </c>
    </row>
    <row r="3284" spans="1:4" ht="12.5">
      <c r="A3284" s="186">
        <v>46172</v>
      </c>
      <c r="B3284" s="184">
        <v>7002559106</v>
      </c>
      <c r="C3284" s="184">
        <v>4</v>
      </c>
      <c r="D3284" s="9" t="s">
        <v>751</v>
      </c>
    </row>
    <row r="3285" spans="1:4" ht="12.5">
      <c r="A3285" s="186">
        <v>46172</v>
      </c>
      <c r="B3285" s="184">
        <v>7002559338</v>
      </c>
      <c r="C3285" s="184">
        <v>1</v>
      </c>
      <c r="D3285" s="9" t="s">
        <v>750</v>
      </c>
    </row>
    <row r="3286" spans="1:4" ht="12.5">
      <c r="A3286" s="186">
        <v>46172</v>
      </c>
      <c r="B3286" s="184">
        <v>7002561110</v>
      </c>
      <c r="C3286" s="184">
        <v>2</v>
      </c>
      <c r="D3286" s="9" t="s">
        <v>751</v>
      </c>
    </row>
    <row r="3287" spans="1:4" ht="12.5">
      <c r="A3287" s="186">
        <v>46172</v>
      </c>
      <c r="B3287" s="184">
        <v>7002563094</v>
      </c>
      <c r="C3287" s="184">
        <v>7</v>
      </c>
      <c r="D3287" s="9" t="s">
        <v>758</v>
      </c>
    </row>
    <row r="3288" spans="1:4" ht="12.5">
      <c r="A3288" s="186">
        <v>46172</v>
      </c>
      <c r="B3288" s="184">
        <v>7002569050</v>
      </c>
      <c r="C3288" s="184">
        <v>276</v>
      </c>
      <c r="D3288" s="9" t="s">
        <v>752</v>
      </c>
    </row>
    <row r="3289" spans="1:4" ht="12.5">
      <c r="A3289" s="186">
        <v>46172</v>
      </c>
      <c r="B3289" s="184">
        <v>7002569078</v>
      </c>
      <c r="C3289" s="184">
        <v>1</v>
      </c>
      <c r="D3289" s="9" t="s">
        <v>750</v>
      </c>
    </row>
    <row r="3290" spans="1:4" ht="12.5">
      <c r="A3290" s="186">
        <v>46172</v>
      </c>
      <c r="B3290" s="184">
        <v>7002571520</v>
      </c>
      <c r="C3290" s="184">
        <v>1</v>
      </c>
      <c r="D3290" s="9" t="s">
        <v>750</v>
      </c>
    </row>
    <row r="3291" spans="1:4" ht="12.5">
      <c r="A3291" s="186">
        <v>46172</v>
      </c>
      <c r="B3291" s="184">
        <v>7002575538</v>
      </c>
      <c r="C3291" s="184">
        <v>4</v>
      </c>
      <c r="D3291" s="9" t="s">
        <v>751</v>
      </c>
    </row>
    <row r="3292" spans="1:4" ht="12.5">
      <c r="A3292" s="186">
        <v>46172</v>
      </c>
      <c r="B3292" s="184">
        <v>7002576743</v>
      </c>
      <c r="C3292" s="184">
        <v>6</v>
      </c>
      <c r="D3292" s="9" t="s">
        <v>758</v>
      </c>
    </row>
    <row r="3293" spans="1:4" ht="12.5">
      <c r="A3293" s="186">
        <v>46172</v>
      </c>
      <c r="B3293" s="184">
        <v>7002577883</v>
      </c>
      <c r="C3293" s="184">
        <v>25</v>
      </c>
      <c r="D3293" s="9" t="s">
        <v>752</v>
      </c>
    </row>
    <row r="3294" spans="1:4" ht="12.5">
      <c r="A3294" s="186">
        <v>46172</v>
      </c>
      <c r="B3294" s="184">
        <v>7002578296</v>
      </c>
      <c r="C3294" s="184">
        <v>1</v>
      </c>
      <c r="D3294" s="9" t="s">
        <v>750</v>
      </c>
    </row>
    <row r="3295" spans="1:4" ht="12.5">
      <c r="A3295" s="186">
        <v>46172</v>
      </c>
      <c r="B3295" s="184">
        <v>7002578878</v>
      </c>
      <c r="C3295" s="184">
        <v>4</v>
      </c>
      <c r="D3295" s="9" t="s">
        <v>751</v>
      </c>
    </row>
    <row r="3296" spans="1:4" ht="12.5">
      <c r="A3296" s="186">
        <v>46172</v>
      </c>
      <c r="B3296" s="184">
        <v>7002579880</v>
      </c>
      <c r="C3296" s="184">
        <v>5</v>
      </c>
      <c r="D3296" s="9" t="s">
        <v>751</v>
      </c>
    </row>
    <row r="3297" spans="1:4" ht="12.5">
      <c r="A3297" s="186">
        <v>46172</v>
      </c>
      <c r="B3297" s="184">
        <v>7002585024</v>
      </c>
      <c r="C3297" s="184">
        <v>5</v>
      </c>
      <c r="D3297" s="9" t="s">
        <v>751</v>
      </c>
    </row>
    <row r="3298" spans="1:4" ht="12.5">
      <c r="A3298" s="186">
        <v>46172</v>
      </c>
      <c r="B3298" s="184">
        <v>7002586140</v>
      </c>
      <c r="C3298" s="184">
        <v>4</v>
      </c>
      <c r="D3298" s="9" t="s">
        <v>751</v>
      </c>
    </row>
    <row r="3299" spans="1:4" ht="12.5">
      <c r="A3299" s="186">
        <v>46172</v>
      </c>
      <c r="B3299" s="184">
        <v>7002590781</v>
      </c>
      <c r="C3299" s="184">
        <v>1</v>
      </c>
      <c r="D3299" s="9" t="s">
        <v>750</v>
      </c>
    </row>
    <row r="3300" spans="1:4" ht="12.5">
      <c r="A3300" s="186">
        <v>46172</v>
      </c>
      <c r="B3300" s="184">
        <v>7002591288</v>
      </c>
      <c r="C3300" s="184">
        <v>14</v>
      </c>
      <c r="D3300" s="9" t="s">
        <v>752</v>
      </c>
    </row>
    <row r="3301" spans="1:4" ht="12.5">
      <c r="A3301" s="186">
        <v>46172</v>
      </c>
      <c r="B3301" s="184">
        <v>7002591955</v>
      </c>
      <c r="C3301" s="184">
        <v>1</v>
      </c>
      <c r="D3301" s="9" t="s">
        <v>750</v>
      </c>
    </row>
    <row r="3302" spans="1:4" ht="12.5">
      <c r="A3302" s="186">
        <v>46172</v>
      </c>
      <c r="B3302" s="184">
        <v>7002593330</v>
      </c>
      <c r="C3302" s="184">
        <v>1</v>
      </c>
      <c r="D3302" s="9" t="s">
        <v>750</v>
      </c>
    </row>
    <row r="3303" spans="1:4" ht="12.5">
      <c r="A3303" s="186">
        <v>46172</v>
      </c>
      <c r="B3303" s="184">
        <v>7002594473</v>
      </c>
      <c r="C3303" s="184">
        <v>1</v>
      </c>
      <c r="D3303" s="9" t="s">
        <v>750</v>
      </c>
    </row>
    <row r="3304" spans="1:4" ht="12.5">
      <c r="A3304" s="186">
        <v>46172</v>
      </c>
      <c r="B3304" s="184">
        <v>7002596276</v>
      </c>
      <c r="C3304" s="184">
        <v>1</v>
      </c>
      <c r="D3304" s="9" t="s">
        <v>750</v>
      </c>
    </row>
    <row r="3305" spans="1:4" ht="12.5">
      <c r="A3305" s="186">
        <v>46172</v>
      </c>
      <c r="B3305" s="184">
        <v>7002597809</v>
      </c>
      <c r="C3305" s="184">
        <v>1</v>
      </c>
      <c r="D3305" s="9" t="s">
        <v>750</v>
      </c>
    </row>
    <row r="3306" spans="1:4" ht="12.5">
      <c r="A3306" s="186">
        <v>46172</v>
      </c>
      <c r="B3306" s="184">
        <v>7002598342</v>
      </c>
      <c r="C3306" s="184">
        <v>1</v>
      </c>
      <c r="D3306" s="9" t="s">
        <v>750</v>
      </c>
    </row>
    <row r="3307" spans="1:4" ht="12.5">
      <c r="A3307" s="186">
        <v>46172</v>
      </c>
      <c r="B3307" s="184">
        <v>7002598585</v>
      </c>
      <c r="C3307" s="184">
        <v>2</v>
      </c>
      <c r="D3307" s="9" t="s">
        <v>751</v>
      </c>
    </row>
    <row r="3308" spans="1:4" ht="12.5">
      <c r="A3308" s="186">
        <v>46172</v>
      </c>
      <c r="B3308" s="184">
        <v>7002600079</v>
      </c>
      <c r="C3308" s="184">
        <v>5</v>
      </c>
      <c r="D3308" s="9" t="s">
        <v>751</v>
      </c>
    </row>
    <row r="3309" spans="1:4" ht="12.5">
      <c r="A3309" s="186">
        <v>46172</v>
      </c>
      <c r="B3309" s="184">
        <v>7002603007</v>
      </c>
      <c r="C3309" s="184">
        <v>6</v>
      </c>
      <c r="D3309" s="9" t="s">
        <v>758</v>
      </c>
    </row>
    <row r="3310" spans="1:4" ht="12.5">
      <c r="A3310" s="186">
        <v>46172</v>
      </c>
      <c r="B3310" s="184">
        <v>7002605176</v>
      </c>
      <c r="C3310" s="184">
        <v>2</v>
      </c>
      <c r="D3310" s="9" t="s">
        <v>751</v>
      </c>
    </row>
    <row r="3311" spans="1:4" ht="12.5">
      <c r="A3311" s="186">
        <v>46172</v>
      </c>
      <c r="B3311" s="184">
        <v>7002606571</v>
      </c>
      <c r="C3311" s="184">
        <v>5</v>
      </c>
      <c r="D3311" s="9" t="s">
        <v>751</v>
      </c>
    </row>
    <row r="3312" spans="1:4" ht="12.5">
      <c r="A3312" s="186">
        <v>46172</v>
      </c>
      <c r="B3312" s="184">
        <v>7002608179</v>
      </c>
      <c r="C3312" s="184">
        <v>2</v>
      </c>
      <c r="D3312" s="9" t="s">
        <v>751</v>
      </c>
    </row>
    <row r="3313" spans="1:4" ht="12.5">
      <c r="A3313" s="186">
        <v>46172</v>
      </c>
      <c r="B3313" s="184">
        <v>7002611196</v>
      </c>
      <c r="C3313" s="184">
        <v>1</v>
      </c>
      <c r="D3313" s="9" t="s">
        <v>750</v>
      </c>
    </row>
    <row r="3314" spans="1:4" ht="12.5">
      <c r="A3314" s="186">
        <v>46172</v>
      </c>
      <c r="B3314" s="184">
        <v>7002613147</v>
      </c>
      <c r="C3314" s="184">
        <v>1</v>
      </c>
      <c r="D3314" s="9" t="s">
        <v>750</v>
      </c>
    </row>
    <row r="3315" spans="1:4" ht="12.5">
      <c r="A3315" s="186">
        <v>46172</v>
      </c>
      <c r="B3315" s="184">
        <v>7002620258</v>
      </c>
      <c r="C3315" s="184">
        <v>7</v>
      </c>
      <c r="D3315" s="9" t="s">
        <v>758</v>
      </c>
    </row>
    <row r="3316" spans="1:4" ht="12.5">
      <c r="A3316" s="186">
        <v>46172</v>
      </c>
      <c r="B3316" s="184">
        <v>7002621524</v>
      </c>
      <c r="C3316" s="184">
        <v>2</v>
      </c>
      <c r="D3316" s="9" t="s">
        <v>751</v>
      </c>
    </row>
    <row r="3317" spans="1:4" ht="12.5">
      <c r="A3317" s="186">
        <v>46172</v>
      </c>
      <c r="B3317" s="184">
        <v>7002622067</v>
      </c>
      <c r="C3317" s="184">
        <v>3</v>
      </c>
      <c r="D3317" s="9" t="s">
        <v>751</v>
      </c>
    </row>
    <row r="3318" spans="1:4" ht="12.5">
      <c r="A3318" s="186">
        <v>46172</v>
      </c>
      <c r="B3318" s="184">
        <v>7002622161</v>
      </c>
      <c r="C3318" s="184">
        <v>1</v>
      </c>
      <c r="D3318" s="9" t="s">
        <v>750</v>
      </c>
    </row>
    <row r="3319" spans="1:4" ht="12.5">
      <c r="A3319" s="186">
        <v>46172</v>
      </c>
      <c r="B3319" s="184">
        <v>7002624521</v>
      </c>
      <c r="C3319" s="184">
        <v>2</v>
      </c>
      <c r="D3319" s="9" t="s">
        <v>751</v>
      </c>
    </row>
    <row r="3320" spans="1:4" ht="12.5">
      <c r="A3320" s="186">
        <v>46172</v>
      </c>
      <c r="B3320" s="184">
        <v>7002625105</v>
      </c>
      <c r="C3320" s="184">
        <v>4</v>
      </c>
      <c r="D3320" s="9" t="s">
        <v>751</v>
      </c>
    </row>
    <row r="3321" spans="1:4" ht="12.5">
      <c r="A3321" s="186">
        <v>46172</v>
      </c>
      <c r="B3321" s="184">
        <v>7002625525</v>
      </c>
      <c r="C3321" s="184">
        <v>1</v>
      </c>
      <c r="D3321" s="9" t="s">
        <v>750</v>
      </c>
    </row>
    <row r="3322" spans="1:4" ht="12.5">
      <c r="A3322" s="186">
        <v>46172</v>
      </c>
      <c r="B3322" s="184">
        <v>7002625727</v>
      </c>
      <c r="C3322" s="184">
        <v>4</v>
      </c>
      <c r="D3322" s="9" t="s">
        <v>751</v>
      </c>
    </row>
    <row r="3323" spans="1:4" ht="12.5">
      <c r="A3323" s="186">
        <v>46172</v>
      </c>
      <c r="B3323" s="184">
        <v>7002625762</v>
      </c>
      <c r="C3323" s="184">
        <v>16</v>
      </c>
      <c r="D3323" s="9" t="s">
        <v>752</v>
      </c>
    </row>
    <row r="3324" spans="1:4" ht="12.5">
      <c r="A3324" s="186">
        <v>46172</v>
      </c>
      <c r="B3324" s="184">
        <v>7002626716</v>
      </c>
      <c r="C3324" s="184">
        <v>1</v>
      </c>
      <c r="D3324" s="9" t="s">
        <v>750</v>
      </c>
    </row>
    <row r="3325" spans="1:4" ht="12.5">
      <c r="A3325" s="186">
        <v>46172</v>
      </c>
      <c r="B3325" s="184">
        <v>7002629121</v>
      </c>
      <c r="C3325" s="184">
        <v>10</v>
      </c>
      <c r="D3325" s="9" t="s">
        <v>758</v>
      </c>
    </row>
    <row r="3326" spans="1:4" ht="12.5">
      <c r="A3326" s="186">
        <v>46172</v>
      </c>
      <c r="B3326" s="184">
        <v>7002629790</v>
      </c>
      <c r="C3326" s="184">
        <v>1</v>
      </c>
      <c r="D3326" s="9" t="s">
        <v>750</v>
      </c>
    </row>
    <row r="3327" spans="1:4" ht="12.5">
      <c r="A3327" s="186">
        <v>46172</v>
      </c>
      <c r="B3327" s="184">
        <v>7002629806</v>
      </c>
      <c r="C3327" s="184">
        <v>3</v>
      </c>
      <c r="D3327" s="9" t="s">
        <v>751</v>
      </c>
    </row>
    <row r="3328" spans="1:4" ht="12.5">
      <c r="A3328" s="186">
        <v>46172</v>
      </c>
      <c r="B3328" s="184">
        <v>7002632072</v>
      </c>
      <c r="C3328" s="184">
        <v>2</v>
      </c>
      <c r="D3328" s="9" t="s">
        <v>751</v>
      </c>
    </row>
    <row r="3329" spans="1:4" ht="12.5">
      <c r="A3329" s="186">
        <v>46172</v>
      </c>
      <c r="B3329" s="184">
        <v>7002633452</v>
      </c>
      <c r="C3329" s="184">
        <v>222</v>
      </c>
      <c r="D3329" s="9" t="s">
        <v>752</v>
      </c>
    </row>
    <row r="3330" spans="1:4" ht="12.5">
      <c r="A3330" s="186">
        <v>46172</v>
      </c>
      <c r="B3330" s="184">
        <v>7002640933</v>
      </c>
      <c r="C3330" s="184">
        <v>1</v>
      </c>
      <c r="D3330" s="9" t="s">
        <v>750</v>
      </c>
    </row>
    <row r="3331" spans="1:4" ht="12.5">
      <c r="A3331" s="186">
        <v>46172</v>
      </c>
      <c r="B3331" s="184">
        <v>7002641386</v>
      </c>
      <c r="C3331" s="184">
        <v>1</v>
      </c>
      <c r="D3331" s="9" t="s">
        <v>750</v>
      </c>
    </row>
    <row r="3332" spans="1:4" ht="12.5">
      <c r="A3332" s="186">
        <v>46172</v>
      </c>
      <c r="B3332" s="184">
        <v>7002641451</v>
      </c>
      <c r="C3332" s="184">
        <v>3</v>
      </c>
      <c r="D3332" s="9" t="s">
        <v>751</v>
      </c>
    </row>
    <row r="3333" spans="1:4" ht="12.5">
      <c r="A3333" s="186">
        <v>46172</v>
      </c>
      <c r="B3333" s="184">
        <v>7002641771</v>
      </c>
      <c r="C3333" s="184">
        <v>4</v>
      </c>
      <c r="D3333" s="9" t="s">
        <v>751</v>
      </c>
    </row>
    <row r="3334" spans="1:4" ht="12.5">
      <c r="A3334" s="186">
        <v>46172</v>
      </c>
      <c r="B3334" s="184">
        <v>7002641865</v>
      </c>
      <c r="C3334" s="184">
        <v>2</v>
      </c>
      <c r="D3334" s="9" t="s">
        <v>751</v>
      </c>
    </row>
    <row r="3335" spans="1:4" ht="12.5">
      <c r="A3335" s="186">
        <v>46172</v>
      </c>
      <c r="B3335" s="184">
        <v>7002641877</v>
      </c>
      <c r="C3335" s="184">
        <v>3</v>
      </c>
      <c r="D3335" s="9" t="s">
        <v>751</v>
      </c>
    </row>
    <row r="3336" spans="1:4" ht="12.5">
      <c r="A3336" s="186">
        <v>46172</v>
      </c>
      <c r="B3336" s="184">
        <v>7002642996</v>
      </c>
      <c r="C3336" s="184">
        <v>23</v>
      </c>
      <c r="D3336" s="9" t="s">
        <v>752</v>
      </c>
    </row>
    <row r="3337" spans="1:4" ht="12.5">
      <c r="A3337" s="186">
        <v>46172</v>
      </c>
      <c r="B3337" s="184">
        <v>7002643995</v>
      </c>
      <c r="C3337" s="184">
        <v>4</v>
      </c>
      <c r="D3337" s="9" t="s">
        <v>751</v>
      </c>
    </row>
    <row r="3338" spans="1:4" ht="12.5">
      <c r="A3338" s="186">
        <v>46172</v>
      </c>
      <c r="B3338" s="184">
        <v>7002644407</v>
      </c>
      <c r="C3338" s="184">
        <v>4</v>
      </c>
      <c r="D3338" s="9" t="s">
        <v>751</v>
      </c>
    </row>
    <row r="3339" spans="1:4" ht="12.5">
      <c r="A3339" s="186">
        <v>46172</v>
      </c>
      <c r="B3339" s="184">
        <v>7002644805</v>
      </c>
      <c r="C3339" s="184">
        <v>8</v>
      </c>
      <c r="D3339" s="9" t="s">
        <v>758</v>
      </c>
    </row>
    <row r="3340" spans="1:4" ht="12.5">
      <c r="A3340" s="186">
        <v>46172</v>
      </c>
      <c r="B3340" s="184">
        <v>7002644898</v>
      </c>
      <c r="C3340" s="184">
        <v>3</v>
      </c>
      <c r="D3340" s="9" t="s">
        <v>751</v>
      </c>
    </row>
    <row r="3341" spans="1:4" ht="12.5">
      <c r="A3341" s="186">
        <v>46172</v>
      </c>
      <c r="B3341" s="184">
        <v>7002645607</v>
      </c>
      <c r="C3341" s="184">
        <v>59</v>
      </c>
      <c r="D3341" s="9" t="s">
        <v>752</v>
      </c>
    </row>
    <row r="3342" spans="1:4" ht="12.5">
      <c r="A3342" s="186">
        <v>46172</v>
      </c>
      <c r="B3342" s="184">
        <v>7002646400</v>
      </c>
      <c r="C3342" s="184">
        <v>4</v>
      </c>
      <c r="D3342" s="9" t="s">
        <v>751</v>
      </c>
    </row>
    <row r="3343" spans="1:4" ht="12.5">
      <c r="A3343" s="186">
        <v>46172</v>
      </c>
      <c r="B3343" s="184">
        <v>7002647768</v>
      </c>
      <c r="C3343" s="184">
        <v>4</v>
      </c>
      <c r="D3343" s="9" t="s">
        <v>751</v>
      </c>
    </row>
    <row r="3344" spans="1:4" ht="12.5">
      <c r="A3344" s="186">
        <v>46172</v>
      </c>
      <c r="B3344" s="184">
        <v>7002647987</v>
      </c>
      <c r="C3344" s="184">
        <v>2</v>
      </c>
      <c r="D3344" s="9" t="s">
        <v>751</v>
      </c>
    </row>
    <row r="3345" spans="1:4" ht="12.5">
      <c r="A3345" s="186">
        <v>46172</v>
      </c>
      <c r="B3345" s="184">
        <v>7002648990</v>
      </c>
      <c r="C3345" s="184">
        <v>4</v>
      </c>
      <c r="D3345" s="9" t="s">
        <v>751</v>
      </c>
    </row>
    <row r="3346" spans="1:4" ht="12.5">
      <c r="A3346" s="186">
        <v>46172</v>
      </c>
      <c r="B3346" s="184">
        <v>7002649837</v>
      </c>
      <c r="C3346" s="184">
        <v>1</v>
      </c>
      <c r="D3346" s="9" t="s">
        <v>750</v>
      </c>
    </row>
    <row r="3347" spans="1:4" ht="12.5">
      <c r="A3347" s="186">
        <v>46172</v>
      </c>
      <c r="B3347" s="184">
        <v>7002649962</v>
      </c>
      <c r="C3347" s="184">
        <v>3</v>
      </c>
      <c r="D3347" s="9" t="s">
        <v>751</v>
      </c>
    </row>
    <row r="3348" spans="1:4" ht="12.5">
      <c r="A3348" s="186">
        <v>46172</v>
      </c>
      <c r="B3348" s="184">
        <v>7002651067</v>
      </c>
      <c r="C3348" s="184">
        <v>2</v>
      </c>
      <c r="D3348" s="9" t="s">
        <v>751</v>
      </c>
    </row>
    <row r="3349" spans="1:4" ht="12.5">
      <c r="A3349" s="186">
        <v>46172</v>
      </c>
      <c r="B3349" s="184">
        <v>7002653827</v>
      </c>
      <c r="C3349" s="184">
        <v>24</v>
      </c>
      <c r="D3349" s="9" t="s">
        <v>752</v>
      </c>
    </row>
    <row r="3350" spans="1:4" ht="12.5">
      <c r="A3350" s="186">
        <v>46172</v>
      </c>
      <c r="B3350" s="184">
        <v>7002656092</v>
      </c>
      <c r="C3350" s="184">
        <v>227</v>
      </c>
      <c r="D3350" s="9" t="s">
        <v>752</v>
      </c>
    </row>
    <row r="3351" spans="1:4" ht="12.5">
      <c r="A3351" s="186">
        <v>46172</v>
      </c>
      <c r="B3351" s="184">
        <v>7002656452</v>
      </c>
      <c r="C3351" s="184">
        <v>2</v>
      </c>
      <c r="D3351" s="9" t="s">
        <v>751</v>
      </c>
    </row>
    <row r="3352" spans="1:4" ht="12.5">
      <c r="A3352" s="186">
        <v>46172</v>
      </c>
      <c r="B3352" s="184">
        <v>7002657108</v>
      </c>
      <c r="C3352" s="184">
        <v>1</v>
      </c>
      <c r="D3352" s="9" t="s">
        <v>750</v>
      </c>
    </row>
    <row r="3353" spans="1:4" ht="12.5">
      <c r="A3353" s="186">
        <v>46172</v>
      </c>
      <c r="B3353" s="184">
        <v>7002658823</v>
      </c>
      <c r="C3353" s="184">
        <v>6</v>
      </c>
      <c r="D3353" s="9" t="s">
        <v>758</v>
      </c>
    </row>
    <row r="3354" spans="1:4" ht="12.5">
      <c r="A3354" s="186">
        <v>46172</v>
      </c>
      <c r="B3354" s="184">
        <v>7002658930</v>
      </c>
      <c r="C3354" s="184">
        <v>1</v>
      </c>
      <c r="D3354" s="9" t="s">
        <v>750</v>
      </c>
    </row>
    <row r="3355" spans="1:4" ht="12.5">
      <c r="A3355" s="186">
        <v>46172</v>
      </c>
      <c r="B3355" s="184">
        <v>7002659114</v>
      </c>
      <c r="C3355" s="184">
        <v>3</v>
      </c>
      <c r="D3355" s="9" t="s">
        <v>751</v>
      </c>
    </row>
    <row r="3356" spans="1:4" ht="12.5">
      <c r="A3356" s="186">
        <v>46172</v>
      </c>
      <c r="B3356" s="184">
        <v>7002659848</v>
      </c>
      <c r="C3356" s="184">
        <v>1</v>
      </c>
      <c r="D3356" s="9" t="s">
        <v>750</v>
      </c>
    </row>
    <row r="3357" spans="1:4" ht="12.5">
      <c r="A3357" s="186">
        <v>46172</v>
      </c>
      <c r="B3357" s="184">
        <v>7002660773</v>
      </c>
      <c r="C3357" s="184">
        <v>3</v>
      </c>
      <c r="D3357" s="9" t="s">
        <v>751</v>
      </c>
    </row>
    <row r="3358" spans="1:4" ht="12.5">
      <c r="A3358" s="186">
        <v>46172</v>
      </c>
      <c r="B3358" s="184">
        <v>7002660851</v>
      </c>
      <c r="C3358" s="184">
        <v>4</v>
      </c>
      <c r="D3358" s="9" t="s">
        <v>751</v>
      </c>
    </row>
    <row r="3359" spans="1:4" ht="12.5">
      <c r="A3359" s="186">
        <v>46172</v>
      </c>
      <c r="B3359" s="184">
        <v>7002660898</v>
      </c>
      <c r="C3359" s="184">
        <v>5</v>
      </c>
      <c r="D3359" s="9" t="s">
        <v>751</v>
      </c>
    </row>
    <row r="3360" spans="1:4" ht="12.5">
      <c r="A3360" s="186">
        <v>46172</v>
      </c>
      <c r="B3360" s="184">
        <v>7002660906</v>
      </c>
      <c r="C3360" s="184">
        <v>44</v>
      </c>
      <c r="D3360" s="9" t="s">
        <v>752</v>
      </c>
    </row>
    <row r="3361" spans="1:4" ht="12.5">
      <c r="A3361" s="186">
        <v>46172</v>
      </c>
      <c r="B3361" s="184">
        <v>7002660910</v>
      </c>
      <c r="C3361" s="184">
        <v>7</v>
      </c>
      <c r="D3361" s="9" t="s">
        <v>758</v>
      </c>
    </row>
    <row r="3362" spans="1:4" ht="12.5">
      <c r="A3362" s="186">
        <v>46172</v>
      </c>
      <c r="B3362" s="184">
        <v>7002661813</v>
      </c>
      <c r="C3362" s="184">
        <v>6</v>
      </c>
      <c r="D3362" s="9" t="s">
        <v>758</v>
      </c>
    </row>
    <row r="3363" spans="1:4" ht="12.5">
      <c r="A3363" s="186">
        <v>46172</v>
      </c>
      <c r="B3363" s="184">
        <v>7002661850</v>
      </c>
      <c r="C3363" s="184">
        <v>6</v>
      </c>
      <c r="D3363" s="9" t="s">
        <v>758</v>
      </c>
    </row>
    <row r="3364" spans="1:4" ht="12.5">
      <c r="A3364" s="186">
        <v>46172</v>
      </c>
      <c r="B3364" s="184">
        <v>7002661866</v>
      </c>
      <c r="C3364" s="184">
        <v>7</v>
      </c>
      <c r="D3364" s="9" t="s">
        <v>758</v>
      </c>
    </row>
    <row r="3365" spans="1:4" ht="12.5">
      <c r="A3365" s="186">
        <v>46172</v>
      </c>
      <c r="B3365" s="184">
        <v>7002661878</v>
      </c>
      <c r="C3365" s="184">
        <v>32</v>
      </c>
      <c r="D3365" s="9" t="s">
        <v>752</v>
      </c>
    </row>
    <row r="3366" spans="1:4" ht="12.5">
      <c r="A3366" s="186">
        <v>46172</v>
      </c>
      <c r="B3366" s="184">
        <v>7002661897</v>
      </c>
      <c r="C3366" s="184">
        <v>117</v>
      </c>
      <c r="D3366" s="9" t="s">
        <v>752</v>
      </c>
    </row>
    <row r="3367" spans="1:4" ht="12.5">
      <c r="A3367" s="186">
        <v>46172</v>
      </c>
      <c r="B3367" s="184">
        <v>7002661922</v>
      </c>
      <c r="C3367" s="184">
        <v>1</v>
      </c>
      <c r="D3367" s="9" t="s">
        <v>750</v>
      </c>
    </row>
    <row r="3368" spans="1:4" ht="12.5">
      <c r="A3368" s="186">
        <v>46172</v>
      </c>
      <c r="B3368" s="184">
        <v>7002661951</v>
      </c>
      <c r="C3368" s="184">
        <v>4</v>
      </c>
      <c r="D3368" s="9" t="s">
        <v>751</v>
      </c>
    </row>
    <row r="3369" spans="1:4" ht="12.5">
      <c r="A3369" s="186">
        <v>46172</v>
      </c>
      <c r="B3369" s="184">
        <v>7002661979</v>
      </c>
      <c r="C3369" s="184">
        <v>1</v>
      </c>
      <c r="D3369" s="9" t="s">
        <v>750</v>
      </c>
    </row>
    <row r="3370" spans="1:4" ht="12.5">
      <c r="A3370" s="186">
        <v>46172</v>
      </c>
      <c r="B3370" s="184">
        <v>7002662519</v>
      </c>
      <c r="C3370" s="184">
        <v>13</v>
      </c>
      <c r="D3370" s="9" t="s">
        <v>752</v>
      </c>
    </row>
    <row r="3371" spans="1:4" ht="12.5">
      <c r="A3371" s="186">
        <v>46172</v>
      </c>
      <c r="B3371" s="184">
        <v>7002662854</v>
      </c>
      <c r="C3371" s="184">
        <v>585</v>
      </c>
      <c r="D3371" s="9" t="s">
        <v>752</v>
      </c>
    </row>
    <row r="3372" spans="1:4" ht="12.5">
      <c r="A3372" s="186">
        <v>46172</v>
      </c>
      <c r="B3372" s="184">
        <v>7002662896</v>
      </c>
      <c r="C3372" s="184">
        <v>1</v>
      </c>
      <c r="D3372" s="9" t="s">
        <v>750</v>
      </c>
    </row>
    <row r="3373" spans="1:4" ht="12.5">
      <c r="A3373" s="186">
        <v>46172</v>
      </c>
      <c r="B3373" s="184">
        <v>7002662909</v>
      </c>
      <c r="C3373" s="184">
        <v>1</v>
      </c>
      <c r="D3373" s="9" t="s">
        <v>750</v>
      </c>
    </row>
    <row r="3374" spans="1:4" ht="12.5">
      <c r="A3374" s="186">
        <v>46172</v>
      </c>
      <c r="B3374" s="184">
        <v>7002662932</v>
      </c>
      <c r="C3374" s="184">
        <v>5</v>
      </c>
      <c r="D3374" s="9" t="s">
        <v>751</v>
      </c>
    </row>
    <row r="3375" spans="1:4" ht="12.5">
      <c r="A3375" s="186">
        <v>46172</v>
      </c>
      <c r="B3375" s="184">
        <v>7002663344</v>
      </c>
      <c r="C3375" s="184">
        <v>2</v>
      </c>
      <c r="D3375" s="9" t="s">
        <v>751</v>
      </c>
    </row>
    <row r="3376" spans="1:4" ht="12.5">
      <c r="A3376" s="186">
        <v>46172</v>
      </c>
      <c r="B3376" s="184">
        <v>7002663421</v>
      </c>
      <c r="C3376" s="184">
        <v>1</v>
      </c>
      <c r="D3376" s="9" t="s">
        <v>750</v>
      </c>
    </row>
    <row r="3377" spans="1:4" ht="12.5">
      <c r="A3377" s="186">
        <v>46172</v>
      </c>
      <c r="B3377" s="184">
        <v>7002663876</v>
      </c>
      <c r="C3377" s="184">
        <v>9</v>
      </c>
      <c r="D3377" s="9" t="s">
        <v>758</v>
      </c>
    </row>
    <row r="3378" spans="1:4" ht="12.5">
      <c r="A3378" s="186">
        <v>46172</v>
      </c>
      <c r="B3378" s="184">
        <v>7002663920</v>
      </c>
      <c r="C3378" s="184">
        <v>1</v>
      </c>
      <c r="D3378" s="9" t="s">
        <v>750</v>
      </c>
    </row>
    <row r="3379" spans="1:4" ht="12.5">
      <c r="A3379" s="186">
        <v>46172</v>
      </c>
      <c r="B3379" s="184">
        <v>7002664847</v>
      </c>
      <c r="C3379" s="184">
        <v>4</v>
      </c>
      <c r="D3379" s="9" t="s">
        <v>751</v>
      </c>
    </row>
    <row r="3380" spans="1:4" ht="12.5">
      <c r="A3380" s="186">
        <v>46172</v>
      </c>
      <c r="B3380" s="184">
        <v>7002664852</v>
      </c>
      <c r="C3380" s="184">
        <v>3</v>
      </c>
      <c r="D3380" s="9" t="s">
        <v>751</v>
      </c>
    </row>
    <row r="3381" spans="1:4" ht="12.5">
      <c r="A3381" s="186">
        <v>46172</v>
      </c>
      <c r="B3381" s="184">
        <v>7002664875</v>
      </c>
      <c r="C3381" s="184">
        <v>7</v>
      </c>
      <c r="D3381" s="9" t="s">
        <v>758</v>
      </c>
    </row>
    <row r="3382" spans="1:4" ht="12.5">
      <c r="A3382" s="186">
        <v>46172</v>
      </c>
      <c r="B3382" s="184">
        <v>7002664881</v>
      </c>
      <c r="C3382" s="184">
        <v>4</v>
      </c>
      <c r="D3382" s="9" t="s">
        <v>751</v>
      </c>
    </row>
    <row r="3383" spans="1:4" ht="12.5">
      <c r="A3383" s="186">
        <v>46172</v>
      </c>
      <c r="B3383" s="184">
        <v>7002664907</v>
      </c>
      <c r="C3383" s="184">
        <v>54</v>
      </c>
      <c r="D3383" s="9" t="s">
        <v>752</v>
      </c>
    </row>
    <row r="3384" spans="1:4" ht="12.5">
      <c r="A3384" s="186">
        <v>46172</v>
      </c>
      <c r="B3384" s="184">
        <v>7002664924</v>
      </c>
      <c r="C3384" s="184">
        <v>1</v>
      </c>
      <c r="D3384" s="9" t="s">
        <v>750</v>
      </c>
    </row>
    <row r="3385" spans="1:4" ht="12.5">
      <c r="A3385" s="186">
        <v>46172</v>
      </c>
      <c r="B3385" s="184">
        <v>7002664948</v>
      </c>
      <c r="C3385" s="184">
        <v>3</v>
      </c>
      <c r="D3385" s="9" t="s">
        <v>751</v>
      </c>
    </row>
    <row r="3386" spans="1:4" ht="12.5">
      <c r="A3386" s="186">
        <v>46172</v>
      </c>
      <c r="B3386" s="184">
        <v>7002664953</v>
      </c>
      <c r="C3386" s="184">
        <v>2</v>
      </c>
      <c r="D3386" s="9" t="s">
        <v>751</v>
      </c>
    </row>
    <row r="3387" spans="1:4" ht="12.5">
      <c r="A3387" s="186">
        <v>46172</v>
      </c>
      <c r="B3387" s="184">
        <v>7002665777</v>
      </c>
      <c r="C3387" s="184">
        <v>22</v>
      </c>
      <c r="D3387" s="9" t="s">
        <v>752</v>
      </c>
    </row>
    <row r="3388" spans="1:4" ht="12.5">
      <c r="A3388" s="186">
        <v>46172</v>
      </c>
      <c r="B3388" s="184">
        <v>7002665844</v>
      </c>
      <c r="C3388" s="184">
        <v>5</v>
      </c>
      <c r="D3388" s="9" t="s">
        <v>751</v>
      </c>
    </row>
    <row r="3389" spans="1:4" ht="12.5">
      <c r="A3389" s="186">
        <v>46172</v>
      </c>
      <c r="B3389" s="184">
        <v>7002665943</v>
      </c>
      <c r="C3389" s="184">
        <v>50</v>
      </c>
      <c r="D3389" s="9" t="s">
        <v>752</v>
      </c>
    </row>
    <row r="3390" spans="1:4" ht="12.5">
      <c r="A3390" s="186">
        <v>46172</v>
      </c>
      <c r="B3390" s="184">
        <v>7002665962</v>
      </c>
      <c r="C3390" s="184">
        <v>1</v>
      </c>
      <c r="D3390" s="9" t="s">
        <v>750</v>
      </c>
    </row>
    <row r="3391" spans="1:4" ht="12.5">
      <c r="A3391" s="186">
        <v>46172</v>
      </c>
      <c r="B3391" s="184">
        <v>7002666840</v>
      </c>
      <c r="C3391" s="184">
        <v>8</v>
      </c>
      <c r="D3391" s="9" t="s">
        <v>758</v>
      </c>
    </row>
    <row r="3392" spans="1:4" ht="12.5">
      <c r="A3392" s="186">
        <v>46172</v>
      </c>
      <c r="B3392" s="184">
        <v>7002666900</v>
      </c>
      <c r="C3392" s="184">
        <v>5</v>
      </c>
      <c r="D3392" s="9" t="s">
        <v>751</v>
      </c>
    </row>
    <row r="3393" spans="1:4" ht="12.5">
      <c r="A3393" s="186">
        <v>46172</v>
      </c>
      <c r="B3393" s="184">
        <v>7002667780</v>
      </c>
      <c r="C3393" s="184">
        <v>1</v>
      </c>
      <c r="D3393" s="9" t="s">
        <v>750</v>
      </c>
    </row>
    <row r="3394" spans="1:4" ht="12.5">
      <c r="A3394" s="186">
        <v>46172</v>
      </c>
      <c r="B3394" s="184">
        <v>7002667802</v>
      </c>
      <c r="C3394" s="184">
        <v>2</v>
      </c>
      <c r="D3394" s="9" t="s">
        <v>751</v>
      </c>
    </row>
    <row r="3395" spans="1:4" ht="12.5">
      <c r="A3395" s="186">
        <v>46172</v>
      </c>
      <c r="B3395" s="184">
        <v>7002667818</v>
      </c>
      <c r="C3395" s="184">
        <v>7</v>
      </c>
      <c r="D3395" s="9" t="s">
        <v>758</v>
      </c>
    </row>
    <row r="3396" spans="1:4" ht="12.5">
      <c r="A3396" s="186">
        <v>46172</v>
      </c>
      <c r="B3396" s="184">
        <v>7002667839</v>
      </c>
      <c r="C3396" s="184">
        <v>16</v>
      </c>
      <c r="D3396" s="9" t="s">
        <v>752</v>
      </c>
    </row>
    <row r="3397" spans="1:4" ht="12.5">
      <c r="A3397" s="186">
        <v>46172</v>
      </c>
      <c r="B3397" s="184">
        <v>7002667841</v>
      </c>
      <c r="C3397" s="184">
        <v>2</v>
      </c>
      <c r="D3397" s="9" t="s">
        <v>751</v>
      </c>
    </row>
    <row r="3398" spans="1:4" ht="12.5">
      <c r="A3398" s="186">
        <v>46172</v>
      </c>
      <c r="B3398" s="184">
        <v>7002667856</v>
      </c>
      <c r="C3398" s="184">
        <v>2</v>
      </c>
      <c r="D3398" s="9" t="s">
        <v>751</v>
      </c>
    </row>
    <row r="3399" spans="1:4" ht="12.5">
      <c r="A3399" s="186">
        <v>46172</v>
      </c>
      <c r="B3399" s="184">
        <v>7002667917</v>
      </c>
      <c r="C3399" s="184">
        <v>2</v>
      </c>
      <c r="D3399" s="9" t="s">
        <v>751</v>
      </c>
    </row>
    <row r="3400" spans="1:4" ht="12.5">
      <c r="A3400" s="186">
        <v>46172</v>
      </c>
      <c r="B3400" s="184">
        <v>7002667929</v>
      </c>
      <c r="C3400" s="184">
        <v>1</v>
      </c>
      <c r="D3400" s="9" t="s">
        <v>750</v>
      </c>
    </row>
    <row r="3401" spans="1:4" ht="12.5">
      <c r="A3401" s="186">
        <v>46172</v>
      </c>
      <c r="B3401" s="184">
        <v>7002667938</v>
      </c>
      <c r="C3401" s="184">
        <v>3</v>
      </c>
      <c r="D3401" s="9" t="s">
        <v>751</v>
      </c>
    </row>
    <row r="3402" spans="1:4" ht="12.5">
      <c r="A3402" s="186">
        <v>46172</v>
      </c>
      <c r="B3402" s="184">
        <v>7002667940</v>
      </c>
      <c r="C3402" s="184">
        <v>1</v>
      </c>
      <c r="D3402" s="9" t="s">
        <v>750</v>
      </c>
    </row>
    <row r="3403" spans="1:4" ht="12.5">
      <c r="A3403" s="186">
        <v>46172</v>
      </c>
      <c r="B3403" s="184">
        <v>7002667955</v>
      </c>
      <c r="C3403" s="184">
        <v>3</v>
      </c>
      <c r="D3403" s="9" t="s">
        <v>751</v>
      </c>
    </row>
    <row r="3404" spans="1:4" ht="12.5">
      <c r="A3404" s="186">
        <v>46172</v>
      </c>
      <c r="B3404" s="184">
        <v>7002668417</v>
      </c>
      <c r="C3404" s="184">
        <v>1</v>
      </c>
      <c r="D3404" s="9" t="s">
        <v>750</v>
      </c>
    </row>
    <row r="3405" spans="1:4" ht="12.5">
      <c r="A3405" s="186">
        <v>46172</v>
      </c>
      <c r="B3405" s="184">
        <v>7002668520</v>
      </c>
      <c r="C3405" s="184">
        <v>35</v>
      </c>
      <c r="D3405" s="9" t="s">
        <v>752</v>
      </c>
    </row>
    <row r="3406" spans="1:4" ht="12.5">
      <c r="A3406" s="186">
        <v>46172</v>
      </c>
      <c r="B3406" s="184">
        <v>7002668775</v>
      </c>
      <c r="C3406" s="184">
        <v>2</v>
      </c>
      <c r="D3406" s="9" t="s">
        <v>751</v>
      </c>
    </row>
    <row r="3407" spans="1:4" ht="12.5">
      <c r="A3407" s="186">
        <v>46172</v>
      </c>
      <c r="B3407" s="184">
        <v>7002668803</v>
      </c>
      <c r="C3407" s="184">
        <v>5</v>
      </c>
      <c r="D3407" s="9" t="s">
        <v>751</v>
      </c>
    </row>
    <row r="3408" spans="1:4" ht="12.5">
      <c r="A3408" s="186">
        <v>46172</v>
      </c>
      <c r="B3408" s="184">
        <v>7002668835</v>
      </c>
      <c r="C3408" s="184">
        <v>5</v>
      </c>
      <c r="D3408" s="9" t="s">
        <v>751</v>
      </c>
    </row>
    <row r="3409" spans="1:4" ht="12.5">
      <c r="A3409" s="186">
        <v>46172</v>
      </c>
      <c r="B3409" s="184">
        <v>7002668857</v>
      </c>
      <c r="C3409" s="184">
        <v>4</v>
      </c>
      <c r="D3409" s="9" t="s">
        <v>751</v>
      </c>
    </row>
    <row r="3410" spans="1:4" ht="12.5">
      <c r="A3410" s="186">
        <v>46172</v>
      </c>
      <c r="B3410" s="184">
        <v>7002668861</v>
      </c>
      <c r="C3410" s="184">
        <v>1</v>
      </c>
      <c r="D3410" s="9" t="s">
        <v>750</v>
      </c>
    </row>
    <row r="3411" spans="1:4" ht="12.5">
      <c r="A3411" s="186">
        <v>46172</v>
      </c>
      <c r="B3411" s="184">
        <v>7002669782</v>
      </c>
      <c r="C3411" s="184">
        <v>2</v>
      </c>
      <c r="D3411" s="9" t="s">
        <v>751</v>
      </c>
    </row>
    <row r="3412" spans="1:4" ht="12.5">
      <c r="A3412" s="186">
        <v>46172</v>
      </c>
      <c r="B3412" s="184">
        <v>7002669836</v>
      </c>
      <c r="C3412" s="184">
        <v>2</v>
      </c>
      <c r="D3412" s="9" t="s">
        <v>751</v>
      </c>
    </row>
    <row r="3413" spans="1:4" ht="12.5">
      <c r="A3413" s="186">
        <v>46172</v>
      </c>
      <c r="B3413" s="184">
        <v>7002669870</v>
      </c>
      <c r="C3413" s="184">
        <v>4</v>
      </c>
      <c r="D3413" s="9" t="s">
        <v>751</v>
      </c>
    </row>
    <row r="3414" spans="1:4" ht="12.5">
      <c r="A3414" s="186">
        <v>46172</v>
      </c>
      <c r="B3414" s="184">
        <v>7002669889</v>
      </c>
      <c r="C3414" s="184">
        <v>1</v>
      </c>
      <c r="D3414" s="9" t="s">
        <v>750</v>
      </c>
    </row>
    <row r="3415" spans="1:4" ht="12.5">
      <c r="A3415" s="186">
        <v>46172</v>
      </c>
      <c r="B3415" s="184">
        <v>7002669926</v>
      </c>
      <c r="C3415" s="184">
        <v>6</v>
      </c>
      <c r="D3415" s="9" t="s">
        <v>758</v>
      </c>
    </row>
    <row r="3416" spans="1:4" ht="12.5">
      <c r="A3416" s="186">
        <v>46172</v>
      </c>
      <c r="B3416" s="184">
        <v>7002669974</v>
      </c>
      <c r="C3416" s="184">
        <v>36</v>
      </c>
      <c r="D3416" s="9" t="s">
        <v>752</v>
      </c>
    </row>
    <row r="3417" spans="1:4" ht="12.5">
      <c r="A3417" s="186">
        <v>46172</v>
      </c>
      <c r="B3417" s="184">
        <v>7002670045</v>
      </c>
      <c r="C3417" s="184">
        <v>1</v>
      </c>
      <c r="D3417" s="9" t="s">
        <v>750</v>
      </c>
    </row>
    <row r="3418" spans="1:4" ht="12.5">
      <c r="A3418" s="186">
        <v>46172</v>
      </c>
      <c r="B3418" s="184">
        <v>7002670240</v>
      </c>
      <c r="C3418" s="184">
        <v>1</v>
      </c>
      <c r="D3418" s="9" t="s">
        <v>750</v>
      </c>
    </row>
    <row r="3419" spans="1:4" ht="12.5">
      <c r="A3419" s="186">
        <v>46172</v>
      </c>
      <c r="B3419" s="184">
        <v>7002670461</v>
      </c>
      <c r="C3419" s="184">
        <v>1</v>
      </c>
      <c r="D3419" s="9" t="s">
        <v>750</v>
      </c>
    </row>
    <row r="3420" spans="1:4" ht="12.5">
      <c r="A3420" s="186">
        <v>46172</v>
      </c>
      <c r="B3420" s="184">
        <v>7002670904</v>
      </c>
      <c r="C3420" s="184">
        <v>13</v>
      </c>
      <c r="D3420" s="9" t="s">
        <v>752</v>
      </c>
    </row>
    <row r="3421" spans="1:4" ht="12.5">
      <c r="A3421" s="186">
        <v>46172</v>
      </c>
      <c r="B3421" s="184">
        <v>7002671292</v>
      </c>
      <c r="C3421" s="184">
        <v>5</v>
      </c>
      <c r="D3421" s="9" t="s">
        <v>751</v>
      </c>
    </row>
    <row r="3422" spans="1:4" ht="12.5">
      <c r="A3422" s="186">
        <v>46172</v>
      </c>
      <c r="B3422" s="184">
        <v>7002671306</v>
      </c>
      <c r="C3422" s="184">
        <v>5</v>
      </c>
      <c r="D3422" s="9" t="s">
        <v>751</v>
      </c>
    </row>
    <row r="3423" spans="1:4" ht="12.5">
      <c r="A3423" s="186">
        <v>46172</v>
      </c>
      <c r="B3423" s="184">
        <v>7002671334</v>
      </c>
      <c r="C3423" s="184">
        <v>5</v>
      </c>
      <c r="D3423" s="9" t="s">
        <v>751</v>
      </c>
    </row>
    <row r="3424" spans="1:4" ht="12.5">
      <c r="A3424" s="186">
        <v>46172</v>
      </c>
      <c r="B3424" s="184">
        <v>7002671399</v>
      </c>
      <c r="C3424" s="184">
        <v>12</v>
      </c>
      <c r="D3424" s="9" t="s">
        <v>752</v>
      </c>
    </row>
    <row r="3425" spans="1:4" ht="12.5">
      <c r="A3425" s="186">
        <v>46172</v>
      </c>
      <c r="B3425" s="184">
        <v>7002671633</v>
      </c>
      <c r="C3425" s="184">
        <v>1</v>
      </c>
      <c r="D3425" s="9" t="s">
        <v>750</v>
      </c>
    </row>
    <row r="3426" spans="1:4" ht="12.5">
      <c r="A3426" s="186">
        <v>46172</v>
      </c>
      <c r="B3426" s="184">
        <v>7002671753</v>
      </c>
      <c r="C3426" s="184">
        <v>1</v>
      </c>
      <c r="D3426" s="9" t="s">
        <v>750</v>
      </c>
    </row>
    <row r="3427" spans="1:4" ht="12.5">
      <c r="A3427" s="186">
        <v>46172</v>
      </c>
      <c r="B3427" s="184">
        <v>7002671862</v>
      </c>
      <c r="C3427" s="184">
        <v>29</v>
      </c>
      <c r="D3427" s="9" t="s">
        <v>752</v>
      </c>
    </row>
    <row r="3428" spans="1:4" ht="12.5">
      <c r="A3428" s="186">
        <v>46172</v>
      </c>
      <c r="B3428" s="184">
        <v>7002672289</v>
      </c>
      <c r="C3428" s="184">
        <v>5</v>
      </c>
      <c r="D3428" s="9" t="s">
        <v>751</v>
      </c>
    </row>
    <row r="3429" spans="1:4" ht="12.5">
      <c r="A3429" s="186">
        <v>46172</v>
      </c>
      <c r="B3429" s="184">
        <v>7002672291</v>
      </c>
      <c r="C3429" s="184">
        <v>5</v>
      </c>
      <c r="D3429" s="9" t="s">
        <v>751</v>
      </c>
    </row>
    <row r="3430" spans="1:4" ht="12.5">
      <c r="A3430" s="186">
        <v>46172</v>
      </c>
      <c r="B3430" s="184">
        <v>7002673047</v>
      </c>
      <c r="C3430" s="184">
        <v>3</v>
      </c>
      <c r="D3430" s="9" t="s">
        <v>751</v>
      </c>
    </row>
    <row r="3431" spans="1:4" ht="12.5">
      <c r="A3431" s="186">
        <v>46172</v>
      </c>
      <c r="B3431" s="184">
        <v>7002673416</v>
      </c>
      <c r="C3431" s="184">
        <v>2</v>
      </c>
      <c r="D3431" s="9" t="s">
        <v>751</v>
      </c>
    </row>
    <row r="3432" spans="1:4" ht="12.5">
      <c r="A3432" s="186">
        <v>46172</v>
      </c>
      <c r="B3432" s="184">
        <v>7002674552</v>
      </c>
      <c r="C3432" s="184">
        <v>2</v>
      </c>
      <c r="D3432" s="9" t="s">
        <v>751</v>
      </c>
    </row>
    <row r="3433" spans="1:4" ht="12.5">
      <c r="A3433" s="186">
        <v>46172</v>
      </c>
      <c r="B3433" s="184">
        <v>7002674607</v>
      </c>
      <c r="C3433" s="184">
        <v>3</v>
      </c>
      <c r="D3433" s="9" t="s">
        <v>751</v>
      </c>
    </row>
    <row r="3434" spans="1:4" ht="12.5">
      <c r="A3434" s="186">
        <v>46172</v>
      </c>
      <c r="B3434" s="184">
        <v>7002675064</v>
      </c>
      <c r="C3434" s="184">
        <v>1</v>
      </c>
      <c r="D3434" s="9" t="s">
        <v>750</v>
      </c>
    </row>
    <row r="3435" spans="1:4" ht="12.5">
      <c r="A3435" s="186">
        <v>46172</v>
      </c>
      <c r="B3435" s="184">
        <v>7002675923</v>
      </c>
      <c r="C3435" s="184">
        <v>1</v>
      </c>
      <c r="D3435" s="9" t="s">
        <v>750</v>
      </c>
    </row>
    <row r="3436" spans="1:4" ht="12.5">
      <c r="A3436" s="186">
        <v>46172</v>
      </c>
      <c r="B3436" s="184">
        <v>7002675934</v>
      </c>
      <c r="C3436" s="184">
        <v>1</v>
      </c>
      <c r="D3436" s="9" t="s">
        <v>750</v>
      </c>
    </row>
    <row r="3437" spans="1:4" ht="12.5">
      <c r="A3437" s="186">
        <v>46172</v>
      </c>
      <c r="B3437" s="184">
        <v>7002676823</v>
      </c>
      <c r="C3437" s="184">
        <v>49</v>
      </c>
      <c r="D3437" s="9" t="s">
        <v>752</v>
      </c>
    </row>
    <row r="3438" spans="1:4" ht="12.5">
      <c r="A3438" s="186">
        <v>46172</v>
      </c>
      <c r="B3438" s="184">
        <v>7002676868</v>
      </c>
      <c r="C3438" s="184">
        <v>1</v>
      </c>
      <c r="D3438" s="9" t="s">
        <v>750</v>
      </c>
    </row>
    <row r="3439" spans="1:4" ht="12.5">
      <c r="A3439" s="186">
        <v>46172</v>
      </c>
      <c r="B3439" s="184">
        <v>7002677019</v>
      </c>
      <c r="C3439" s="184">
        <v>21</v>
      </c>
      <c r="D3439" s="9" t="s">
        <v>752</v>
      </c>
    </row>
    <row r="3440" spans="1:4" ht="12.5">
      <c r="A3440" s="186">
        <v>46172</v>
      </c>
      <c r="B3440" s="184">
        <v>7002677057</v>
      </c>
      <c r="C3440" s="184">
        <v>5</v>
      </c>
      <c r="D3440" s="9" t="s">
        <v>751</v>
      </c>
    </row>
    <row r="3441" spans="1:4" ht="12.5">
      <c r="A3441" s="186">
        <v>46172</v>
      </c>
      <c r="B3441" s="184">
        <v>7002677061</v>
      </c>
      <c r="C3441" s="184">
        <v>7</v>
      </c>
      <c r="D3441" s="9" t="s">
        <v>758</v>
      </c>
    </row>
    <row r="3442" spans="1:4" ht="12.5">
      <c r="A3442" s="186">
        <v>46172</v>
      </c>
      <c r="B3442" s="184">
        <v>7002677275</v>
      </c>
      <c r="C3442" s="184">
        <v>3</v>
      </c>
      <c r="D3442" s="9" t="s">
        <v>751</v>
      </c>
    </row>
    <row r="3443" spans="1:4" ht="12.5">
      <c r="A3443" s="186">
        <v>46172</v>
      </c>
      <c r="B3443" s="184">
        <v>7002677977</v>
      </c>
      <c r="C3443" s="184">
        <v>3</v>
      </c>
      <c r="D3443" s="9" t="s">
        <v>751</v>
      </c>
    </row>
    <row r="3444" spans="1:4" ht="12.5">
      <c r="A3444" s="186">
        <v>46172</v>
      </c>
      <c r="B3444" s="184">
        <v>7002678338</v>
      </c>
      <c r="C3444" s="184">
        <v>1</v>
      </c>
      <c r="D3444" s="9" t="s">
        <v>750</v>
      </c>
    </row>
    <row r="3445" spans="1:4" ht="12.5">
      <c r="A3445" s="186">
        <v>46172</v>
      </c>
      <c r="B3445" s="184">
        <v>7002678921</v>
      </c>
      <c r="C3445" s="184">
        <v>2</v>
      </c>
      <c r="D3445" s="9" t="s">
        <v>751</v>
      </c>
    </row>
    <row r="3446" spans="1:4" ht="12.5">
      <c r="A3446" s="186">
        <v>46172</v>
      </c>
      <c r="B3446" s="184">
        <v>7002678945</v>
      </c>
      <c r="C3446" s="184">
        <v>1</v>
      </c>
      <c r="D3446" s="9" t="s">
        <v>750</v>
      </c>
    </row>
    <row r="3447" spans="1:4" ht="12.5">
      <c r="A3447" s="186">
        <v>46172</v>
      </c>
      <c r="B3447" s="184">
        <v>7002679016</v>
      </c>
      <c r="C3447" s="184">
        <v>4</v>
      </c>
      <c r="D3447" s="9" t="s">
        <v>751</v>
      </c>
    </row>
    <row r="3448" spans="1:4" ht="12.5">
      <c r="A3448" s="186">
        <v>46172</v>
      </c>
      <c r="B3448" s="184">
        <v>7002679195</v>
      </c>
      <c r="C3448" s="184">
        <v>1</v>
      </c>
      <c r="D3448" s="9" t="s">
        <v>750</v>
      </c>
    </row>
    <row r="3449" spans="1:4" ht="12.5">
      <c r="A3449" s="186">
        <v>46172</v>
      </c>
      <c r="B3449" s="184">
        <v>7002679946</v>
      </c>
      <c r="C3449" s="184">
        <v>6</v>
      </c>
      <c r="D3449" s="9" t="s">
        <v>758</v>
      </c>
    </row>
    <row r="3450" spans="1:4" ht="12.5">
      <c r="A3450" s="186">
        <v>46172</v>
      </c>
      <c r="B3450" s="184">
        <v>7002679967</v>
      </c>
      <c r="C3450" s="184">
        <v>83</v>
      </c>
      <c r="D3450" s="9" t="s">
        <v>752</v>
      </c>
    </row>
    <row r="3451" spans="1:4" ht="12.5">
      <c r="A3451" s="186">
        <v>46172</v>
      </c>
      <c r="B3451" s="184">
        <v>7002680027</v>
      </c>
      <c r="C3451" s="184">
        <v>13</v>
      </c>
      <c r="D3451" s="9" t="s">
        <v>752</v>
      </c>
    </row>
    <row r="3452" spans="1:4" ht="12.5">
      <c r="A3452" s="186">
        <v>46172</v>
      </c>
      <c r="B3452" s="184">
        <v>7002680036</v>
      </c>
      <c r="C3452" s="184">
        <v>1</v>
      </c>
      <c r="D3452" s="9" t="s">
        <v>750</v>
      </c>
    </row>
    <row r="3453" spans="1:4" ht="12.5">
      <c r="A3453" s="186">
        <v>46172</v>
      </c>
      <c r="B3453" s="184">
        <v>7002680207</v>
      </c>
      <c r="C3453" s="184">
        <v>2</v>
      </c>
      <c r="D3453" s="9" t="s">
        <v>751</v>
      </c>
    </row>
    <row r="3454" spans="1:4" ht="12.5">
      <c r="A3454" s="186">
        <v>46172</v>
      </c>
      <c r="B3454" s="184">
        <v>7002680386</v>
      </c>
      <c r="C3454" s="184">
        <v>9</v>
      </c>
      <c r="D3454" s="9" t="s">
        <v>758</v>
      </c>
    </row>
    <row r="3455" spans="1:4" ht="12.5">
      <c r="A3455" s="186">
        <v>46172</v>
      </c>
      <c r="B3455" s="184">
        <v>7002680737</v>
      </c>
      <c r="C3455" s="184">
        <v>1</v>
      </c>
      <c r="D3455" s="9" t="s">
        <v>750</v>
      </c>
    </row>
    <row r="3456" spans="1:4" ht="12.5">
      <c r="A3456" s="186">
        <v>46172</v>
      </c>
      <c r="B3456" s="184">
        <v>7002680771</v>
      </c>
      <c r="C3456" s="184">
        <v>2</v>
      </c>
      <c r="D3456" s="9" t="s">
        <v>751</v>
      </c>
    </row>
    <row r="3457" spans="1:4" ht="12.5">
      <c r="A3457" s="186">
        <v>46172</v>
      </c>
      <c r="B3457" s="184">
        <v>7002680785</v>
      </c>
      <c r="C3457" s="184">
        <v>33</v>
      </c>
      <c r="D3457" s="9" t="s">
        <v>752</v>
      </c>
    </row>
    <row r="3458" spans="1:4" ht="12.5">
      <c r="A3458" s="186">
        <v>46172</v>
      </c>
      <c r="B3458" s="184">
        <v>7002681247</v>
      </c>
      <c r="C3458" s="184">
        <v>1</v>
      </c>
      <c r="D3458" s="9" t="s">
        <v>750</v>
      </c>
    </row>
    <row r="3459" spans="1:4" ht="12.5">
      <c r="A3459" s="186">
        <v>46172</v>
      </c>
      <c r="B3459" s="184">
        <v>7002681268</v>
      </c>
      <c r="C3459" s="184">
        <v>20</v>
      </c>
      <c r="D3459" s="9" t="s">
        <v>752</v>
      </c>
    </row>
    <row r="3460" spans="1:4" ht="12.5">
      <c r="A3460" s="186">
        <v>46172</v>
      </c>
      <c r="B3460" s="184">
        <v>7002681300</v>
      </c>
      <c r="C3460" s="184">
        <v>1</v>
      </c>
      <c r="D3460" s="9" t="s">
        <v>750</v>
      </c>
    </row>
    <row r="3461" spans="1:4" ht="12.5">
      <c r="A3461" s="186">
        <v>46172</v>
      </c>
      <c r="B3461" s="184">
        <v>7002681409</v>
      </c>
      <c r="C3461" s="184">
        <v>1</v>
      </c>
      <c r="D3461" s="9" t="s">
        <v>750</v>
      </c>
    </row>
    <row r="3462" spans="1:4" ht="12.5">
      <c r="A3462" s="186">
        <v>46172</v>
      </c>
      <c r="B3462" s="184">
        <v>7002681664</v>
      </c>
      <c r="C3462" s="184">
        <v>10</v>
      </c>
      <c r="D3462" s="9" t="s">
        <v>758</v>
      </c>
    </row>
    <row r="3463" spans="1:4" ht="12.5">
      <c r="A3463" s="186">
        <v>46172</v>
      </c>
      <c r="B3463" s="184">
        <v>7002681715</v>
      </c>
      <c r="C3463" s="184">
        <v>63</v>
      </c>
      <c r="D3463" s="9" t="s">
        <v>752</v>
      </c>
    </row>
    <row r="3464" spans="1:4" ht="12.5">
      <c r="A3464" s="186">
        <v>46172</v>
      </c>
      <c r="B3464" s="184">
        <v>7002681789</v>
      </c>
      <c r="C3464" s="184">
        <v>7</v>
      </c>
      <c r="D3464" s="9" t="s">
        <v>758</v>
      </c>
    </row>
    <row r="3465" spans="1:4" ht="12.5">
      <c r="A3465" s="186">
        <v>46172</v>
      </c>
      <c r="B3465" s="184">
        <v>7002681811</v>
      </c>
      <c r="C3465" s="184">
        <v>2</v>
      </c>
      <c r="D3465" s="9" t="s">
        <v>751</v>
      </c>
    </row>
    <row r="3466" spans="1:4" ht="12.5">
      <c r="A3466" s="186">
        <v>46172</v>
      </c>
      <c r="B3466" s="184">
        <v>7002681830</v>
      </c>
      <c r="C3466" s="184">
        <v>2</v>
      </c>
      <c r="D3466" s="9" t="s">
        <v>751</v>
      </c>
    </row>
    <row r="3467" spans="1:4" ht="12.5">
      <c r="A3467" s="186">
        <v>46172</v>
      </c>
      <c r="B3467" s="184">
        <v>7002681876</v>
      </c>
      <c r="C3467" s="184">
        <v>2</v>
      </c>
      <c r="D3467" s="9" t="s">
        <v>751</v>
      </c>
    </row>
    <row r="3468" spans="1:4" ht="12.5">
      <c r="A3468" s="186">
        <v>46172</v>
      </c>
      <c r="B3468" s="184">
        <v>7002682408</v>
      </c>
      <c r="C3468" s="184">
        <v>6</v>
      </c>
      <c r="D3468" s="9" t="s">
        <v>758</v>
      </c>
    </row>
    <row r="3469" spans="1:4" ht="12.5">
      <c r="A3469" s="186">
        <v>46172</v>
      </c>
      <c r="B3469" s="184">
        <v>7002682663</v>
      </c>
      <c r="C3469" s="184">
        <v>7</v>
      </c>
      <c r="D3469" s="9" t="s">
        <v>758</v>
      </c>
    </row>
    <row r="3470" spans="1:4" ht="12.5">
      <c r="A3470" s="186">
        <v>46172</v>
      </c>
      <c r="B3470" s="184">
        <v>7002682703</v>
      </c>
      <c r="C3470" s="184">
        <v>12</v>
      </c>
      <c r="D3470" s="9" t="s">
        <v>752</v>
      </c>
    </row>
    <row r="3471" spans="1:4" ht="12.5">
      <c r="A3471" s="186">
        <v>46172</v>
      </c>
      <c r="B3471" s="184">
        <v>7002682790</v>
      </c>
      <c r="C3471" s="184">
        <v>1</v>
      </c>
      <c r="D3471" s="9" t="s">
        <v>750</v>
      </c>
    </row>
    <row r="3472" spans="1:4" ht="12.5">
      <c r="A3472" s="186">
        <v>46172</v>
      </c>
      <c r="B3472" s="184">
        <v>7002682834</v>
      </c>
      <c r="C3472" s="184">
        <v>66</v>
      </c>
      <c r="D3472" s="9" t="s">
        <v>752</v>
      </c>
    </row>
    <row r="3473" spans="1:4" ht="12.5">
      <c r="A3473" s="186">
        <v>46172</v>
      </c>
      <c r="B3473" s="184">
        <v>7002682881</v>
      </c>
      <c r="C3473" s="184">
        <v>6</v>
      </c>
      <c r="D3473" s="9" t="s">
        <v>758</v>
      </c>
    </row>
    <row r="3474" spans="1:4" ht="12.5">
      <c r="A3474" s="186">
        <v>46172</v>
      </c>
      <c r="B3474" s="184">
        <v>7002682911</v>
      </c>
      <c r="C3474" s="184">
        <v>28</v>
      </c>
      <c r="D3474" s="9" t="s">
        <v>752</v>
      </c>
    </row>
    <row r="3475" spans="1:4" ht="12.5">
      <c r="A3475" s="186">
        <v>46172</v>
      </c>
      <c r="B3475" s="184">
        <v>7002683453</v>
      </c>
      <c r="C3475" s="184">
        <v>2</v>
      </c>
      <c r="D3475" s="9" t="s">
        <v>751</v>
      </c>
    </row>
    <row r="3476" spans="1:4" ht="12.5">
      <c r="A3476" s="186">
        <v>46172</v>
      </c>
      <c r="B3476" s="184">
        <v>7002683756</v>
      </c>
      <c r="C3476" s="184">
        <v>1</v>
      </c>
      <c r="D3476" s="9" t="s">
        <v>750</v>
      </c>
    </row>
    <row r="3477" spans="1:4" ht="12.5">
      <c r="A3477" s="186">
        <v>46172</v>
      </c>
      <c r="B3477" s="184">
        <v>7002683773</v>
      </c>
      <c r="C3477" s="184">
        <v>2</v>
      </c>
      <c r="D3477" s="9" t="s">
        <v>751</v>
      </c>
    </row>
    <row r="3478" spans="1:4" ht="12.5">
      <c r="A3478" s="186">
        <v>46172</v>
      </c>
      <c r="B3478" s="184">
        <v>7002683794</v>
      </c>
      <c r="C3478" s="184">
        <v>140</v>
      </c>
      <c r="D3478" s="9" t="s">
        <v>752</v>
      </c>
    </row>
    <row r="3479" spans="1:4" ht="12.5">
      <c r="A3479" s="186">
        <v>46172</v>
      </c>
      <c r="B3479" s="184">
        <v>7002683805</v>
      </c>
      <c r="C3479" s="184">
        <v>17</v>
      </c>
      <c r="D3479" s="9" t="s">
        <v>752</v>
      </c>
    </row>
    <row r="3480" spans="1:4" ht="12.5">
      <c r="A3480" s="186">
        <v>46172</v>
      </c>
      <c r="B3480" s="184">
        <v>7002683822</v>
      </c>
      <c r="C3480" s="184">
        <v>3</v>
      </c>
      <c r="D3480" s="9" t="s">
        <v>751</v>
      </c>
    </row>
    <row r="3481" spans="1:4" ht="12.5">
      <c r="A3481" s="186">
        <v>46172</v>
      </c>
      <c r="B3481" s="184">
        <v>7002683947</v>
      </c>
      <c r="C3481" s="184">
        <v>16</v>
      </c>
      <c r="D3481" s="9" t="s">
        <v>752</v>
      </c>
    </row>
    <row r="3482" spans="1:4" ht="12.5">
      <c r="A3482" s="186">
        <v>46172</v>
      </c>
      <c r="B3482" s="184">
        <v>7002683952</v>
      </c>
      <c r="C3482" s="184">
        <v>1</v>
      </c>
      <c r="D3482" s="9" t="s">
        <v>750</v>
      </c>
    </row>
    <row r="3483" spans="1:4" ht="12.5">
      <c r="A3483" s="186">
        <v>46172</v>
      </c>
      <c r="B3483" s="184">
        <v>7002683968</v>
      </c>
      <c r="C3483" s="184">
        <v>16</v>
      </c>
      <c r="D3483" s="9" t="s">
        <v>752</v>
      </c>
    </row>
    <row r="3484" spans="1:4" ht="12.5">
      <c r="A3484" s="186">
        <v>46172</v>
      </c>
      <c r="B3484" s="184">
        <v>7002684028</v>
      </c>
      <c r="C3484" s="184">
        <v>7</v>
      </c>
      <c r="D3484" s="9" t="s">
        <v>758</v>
      </c>
    </row>
    <row r="3485" spans="1:4" ht="12.5">
      <c r="A3485" s="186">
        <v>46172</v>
      </c>
      <c r="B3485" s="184">
        <v>7002684124</v>
      </c>
      <c r="C3485" s="184">
        <v>1</v>
      </c>
      <c r="D3485" s="9" t="s">
        <v>750</v>
      </c>
    </row>
    <row r="3486" spans="1:4" ht="12.5">
      <c r="A3486" s="186">
        <v>46172</v>
      </c>
      <c r="B3486" s="184">
        <v>7002684878</v>
      </c>
      <c r="C3486" s="184">
        <v>1</v>
      </c>
      <c r="D3486" s="9" t="s">
        <v>750</v>
      </c>
    </row>
    <row r="3487" spans="1:4" ht="12.5">
      <c r="A3487" s="186">
        <v>46172</v>
      </c>
      <c r="B3487" s="184">
        <v>7002684998</v>
      </c>
      <c r="C3487" s="184">
        <v>7</v>
      </c>
      <c r="D3487" s="9" t="s">
        <v>758</v>
      </c>
    </row>
    <row r="3488" spans="1:4" ht="12.5">
      <c r="A3488" s="186">
        <v>46172</v>
      </c>
      <c r="B3488" s="184">
        <v>7002685189</v>
      </c>
      <c r="C3488" s="184">
        <v>2</v>
      </c>
      <c r="D3488" s="9" t="s">
        <v>751</v>
      </c>
    </row>
    <row r="3489" spans="1:4" ht="12.5">
      <c r="A3489" s="186">
        <v>46172</v>
      </c>
      <c r="B3489" s="184">
        <v>7002685290</v>
      </c>
      <c r="C3489" s="184">
        <v>3</v>
      </c>
      <c r="D3489" s="9" t="s">
        <v>751</v>
      </c>
    </row>
    <row r="3490" spans="1:4" ht="12.5">
      <c r="A3490" s="186">
        <v>46172</v>
      </c>
      <c r="B3490" s="184">
        <v>7002685767</v>
      </c>
      <c r="C3490" s="184">
        <v>36</v>
      </c>
      <c r="D3490" s="9" t="s">
        <v>752</v>
      </c>
    </row>
    <row r="3491" spans="1:4" ht="12.5">
      <c r="A3491" s="186">
        <v>46172</v>
      </c>
      <c r="B3491" s="184">
        <v>7002685779</v>
      </c>
      <c r="C3491" s="184">
        <v>1</v>
      </c>
      <c r="D3491" s="9" t="s">
        <v>750</v>
      </c>
    </row>
    <row r="3492" spans="1:4" ht="12.5">
      <c r="A3492" s="186">
        <v>46172</v>
      </c>
      <c r="B3492" s="184">
        <v>7002685798</v>
      </c>
      <c r="C3492" s="184">
        <v>3</v>
      </c>
      <c r="D3492" s="9" t="s">
        <v>751</v>
      </c>
    </row>
    <row r="3493" spans="1:4" ht="12.5">
      <c r="A3493" s="186">
        <v>46172</v>
      </c>
      <c r="B3493" s="184">
        <v>7002685873</v>
      </c>
      <c r="C3493" s="184">
        <v>5</v>
      </c>
      <c r="D3493" s="9" t="s">
        <v>751</v>
      </c>
    </row>
    <row r="3494" spans="1:4" ht="12.5">
      <c r="A3494" s="186">
        <v>46172</v>
      </c>
      <c r="B3494" s="184">
        <v>7002685894</v>
      </c>
      <c r="C3494" s="184">
        <v>1</v>
      </c>
      <c r="D3494" s="9" t="s">
        <v>750</v>
      </c>
    </row>
    <row r="3495" spans="1:4" ht="12.5">
      <c r="A3495" s="186">
        <v>46172</v>
      </c>
      <c r="B3495" s="184">
        <v>7002686007</v>
      </c>
      <c r="C3495" s="184">
        <v>1</v>
      </c>
      <c r="D3495" s="9" t="s">
        <v>750</v>
      </c>
    </row>
    <row r="3496" spans="1:4" ht="12.5">
      <c r="A3496" s="186">
        <v>46172</v>
      </c>
      <c r="B3496" s="184">
        <v>7002686011</v>
      </c>
      <c r="C3496" s="184">
        <v>5</v>
      </c>
      <c r="D3496" s="9" t="s">
        <v>751</v>
      </c>
    </row>
    <row r="3497" spans="1:4" ht="12.5">
      <c r="A3497" s="186">
        <v>46172</v>
      </c>
      <c r="B3497" s="184">
        <v>7002686128</v>
      </c>
      <c r="C3497" s="184">
        <v>3</v>
      </c>
      <c r="D3497" s="9" t="s">
        <v>751</v>
      </c>
    </row>
    <row r="3498" spans="1:4" ht="12.5">
      <c r="A3498" s="186">
        <v>46172</v>
      </c>
      <c r="B3498" s="184">
        <v>7002686171</v>
      </c>
      <c r="C3498" s="184">
        <v>5</v>
      </c>
      <c r="D3498" s="9" t="s">
        <v>751</v>
      </c>
    </row>
    <row r="3499" spans="1:4" ht="12.5">
      <c r="A3499" s="186">
        <v>46172</v>
      </c>
      <c r="B3499" s="184">
        <v>7002686666</v>
      </c>
      <c r="C3499" s="184">
        <v>2</v>
      </c>
      <c r="D3499" s="9" t="s">
        <v>751</v>
      </c>
    </row>
    <row r="3500" spans="1:4" ht="12.5">
      <c r="A3500" s="186">
        <v>46172</v>
      </c>
      <c r="B3500" s="184">
        <v>7002686734</v>
      </c>
      <c r="C3500" s="184">
        <v>4</v>
      </c>
      <c r="D3500" s="9" t="s">
        <v>751</v>
      </c>
    </row>
    <row r="3501" spans="1:4" ht="12.5">
      <c r="A3501" s="186">
        <v>46172</v>
      </c>
      <c r="B3501" s="184">
        <v>7002686799</v>
      </c>
      <c r="C3501" s="184">
        <v>5</v>
      </c>
      <c r="D3501" s="9" t="s">
        <v>751</v>
      </c>
    </row>
    <row r="3502" spans="1:4" ht="12.5">
      <c r="A3502" s="186">
        <v>46172</v>
      </c>
      <c r="B3502" s="184">
        <v>7002686819</v>
      </c>
      <c r="C3502" s="184">
        <v>30</v>
      </c>
      <c r="D3502" s="9" t="s">
        <v>752</v>
      </c>
    </row>
    <row r="3503" spans="1:4" ht="12.5">
      <c r="A3503" s="186">
        <v>46172</v>
      </c>
      <c r="B3503" s="184">
        <v>7002686835</v>
      </c>
      <c r="C3503" s="184">
        <v>2</v>
      </c>
      <c r="D3503" s="9" t="s">
        <v>751</v>
      </c>
    </row>
    <row r="3504" spans="1:4" ht="12.5">
      <c r="A3504" s="186">
        <v>46172</v>
      </c>
      <c r="B3504" s="184">
        <v>7002686842</v>
      </c>
      <c r="C3504" s="184">
        <v>3</v>
      </c>
      <c r="D3504" s="9" t="s">
        <v>751</v>
      </c>
    </row>
    <row r="3505" spans="1:4" ht="12.5">
      <c r="A3505" s="186">
        <v>46172</v>
      </c>
      <c r="B3505" s="184">
        <v>7002686890</v>
      </c>
      <c r="C3505" s="184">
        <v>8</v>
      </c>
      <c r="D3505" s="9" t="s">
        <v>758</v>
      </c>
    </row>
    <row r="3506" spans="1:4" ht="12.5">
      <c r="A3506" s="186">
        <v>46172</v>
      </c>
      <c r="B3506" s="184">
        <v>7002687193</v>
      </c>
      <c r="C3506" s="184">
        <v>1</v>
      </c>
      <c r="D3506" s="9" t="s">
        <v>750</v>
      </c>
    </row>
    <row r="3507" spans="1:4" ht="12.5">
      <c r="A3507" s="186">
        <v>46172</v>
      </c>
      <c r="B3507" s="184">
        <v>7002687228</v>
      </c>
      <c r="C3507" s="184">
        <v>1</v>
      </c>
      <c r="D3507" s="9" t="s">
        <v>750</v>
      </c>
    </row>
    <row r="3508" spans="1:4" ht="12.5">
      <c r="A3508" s="186">
        <v>46172</v>
      </c>
      <c r="B3508" s="184">
        <v>7002687399</v>
      </c>
      <c r="C3508" s="184">
        <v>11</v>
      </c>
      <c r="D3508" s="9" t="s">
        <v>752</v>
      </c>
    </row>
    <row r="3509" spans="1:4" ht="12.5">
      <c r="A3509" s="186">
        <v>46172</v>
      </c>
      <c r="B3509" s="184">
        <v>7002687748</v>
      </c>
      <c r="C3509" s="184">
        <v>1</v>
      </c>
      <c r="D3509" s="9" t="s">
        <v>750</v>
      </c>
    </row>
    <row r="3510" spans="1:4" ht="12.5">
      <c r="A3510" s="186">
        <v>46172</v>
      </c>
      <c r="B3510" s="184">
        <v>7002687769</v>
      </c>
      <c r="C3510" s="184">
        <v>3</v>
      </c>
      <c r="D3510" s="9" t="s">
        <v>751</v>
      </c>
    </row>
    <row r="3511" spans="1:4" ht="12.5">
      <c r="A3511" s="186">
        <v>46172</v>
      </c>
      <c r="B3511" s="184">
        <v>7002687815</v>
      </c>
      <c r="C3511" s="184">
        <v>2</v>
      </c>
      <c r="D3511" s="9" t="s">
        <v>751</v>
      </c>
    </row>
    <row r="3512" spans="1:4" ht="12.5">
      <c r="A3512" s="186">
        <v>46172</v>
      </c>
      <c r="B3512" s="184">
        <v>7002687836</v>
      </c>
      <c r="C3512" s="184">
        <v>1</v>
      </c>
      <c r="D3512" s="9" t="s">
        <v>750</v>
      </c>
    </row>
    <row r="3513" spans="1:4" ht="12.5">
      <c r="A3513" s="186">
        <v>46172</v>
      </c>
      <c r="B3513" s="184">
        <v>7002687889</v>
      </c>
      <c r="C3513" s="184">
        <v>2</v>
      </c>
      <c r="D3513" s="9" t="s">
        <v>751</v>
      </c>
    </row>
    <row r="3514" spans="1:4" ht="12.5">
      <c r="A3514" s="186">
        <v>46172</v>
      </c>
      <c r="B3514" s="184">
        <v>7002687891</v>
      </c>
      <c r="C3514" s="184">
        <v>7</v>
      </c>
      <c r="D3514" s="9" t="s">
        <v>758</v>
      </c>
    </row>
    <row r="3515" spans="1:4" ht="12.5">
      <c r="A3515" s="186">
        <v>46172</v>
      </c>
      <c r="B3515" s="184">
        <v>7002688330</v>
      </c>
      <c r="C3515" s="184">
        <v>3</v>
      </c>
      <c r="D3515" s="9" t="s">
        <v>751</v>
      </c>
    </row>
    <row r="3516" spans="1:4" ht="12.5">
      <c r="A3516" s="186">
        <v>46172</v>
      </c>
      <c r="B3516" s="184">
        <v>7002688652</v>
      </c>
      <c r="C3516" s="184">
        <v>10</v>
      </c>
      <c r="D3516" s="9" t="s">
        <v>758</v>
      </c>
    </row>
    <row r="3517" spans="1:4" ht="12.5">
      <c r="A3517" s="186">
        <v>46172</v>
      </c>
      <c r="B3517" s="184">
        <v>7002688720</v>
      </c>
      <c r="C3517" s="184">
        <v>3</v>
      </c>
      <c r="D3517" s="9" t="s">
        <v>751</v>
      </c>
    </row>
    <row r="3518" spans="1:4" ht="12.5">
      <c r="A3518" s="186">
        <v>46172</v>
      </c>
      <c r="B3518" s="184">
        <v>7002688871</v>
      </c>
      <c r="C3518" s="184">
        <v>2</v>
      </c>
      <c r="D3518" s="9" t="s">
        <v>751</v>
      </c>
    </row>
    <row r="3519" spans="1:4" ht="12.5">
      <c r="A3519" s="186">
        <v>46172</v>
      </c>
      <c r="B3519" s="184">
        <v>7002688927</v>
      </c>
      <c r="C3519" s="184">
        <v>13</v>
      </c>
      <c r="D3519" s="9" t="s">
        <v>752</v>
      </c>
    </row>
    <row r="3520" spans="1:4" ht="12.5">
      <c r="A3520" s="186">
        <v>46172</v>
      </c>
      <c r="B3520" s="184">
        <v>7002688958</v>
      </c>
      <c r="C3520" s="184">
        <v>5</v>
      </c>
      <c r="D3520" s="9" t="s">
        <v>751</v>
      </c>
    </row>
    <row r="3521" spans="1:4" ht="12.5">
      <c r="A3521" s="186">
        <v>46172</v>
      </c>
      <c r="B3521" s="184">
        <v>7002689098</v>
      </c>
      <c r="C3521" s="184">
        <v>3</v>
      </c>
      <c r="D3521" s="9" t="s">
        <v>751</v>
      </c>
    </row>
    <row r="3522" spans="1:4" ht="12.5">
      <c r="A3522" s="186">
        <v>46172</v>
      </c>
      <c r="B3522" s="184">
        <v>7002689225</v>
      </c>
      <c r="C3522" s="184">
        <v>1</v>
      </c>
      <c r="D3522" s="9" t="s">
        <v>750</v>
      </c>
    </row>
    <row r="3523" spans="1:4" ht="12.5">
      <c r="A3523" s="186">
        <v>46172</v>
      </c>
      <c r="B3523" s="184">
        <v>7002689294</v>
      </c>
      <c r="C3523" s="184">
        <v>3</v>
      </c>
      <c r="D3523" s="9" t="s">
        <v>751</v>
      </c>
    </row>
    <row r="3524" spans="1:4" ht="12.5">
      <c r="A3524" s="186">
        <v>46172</v>
      </c>
      <c r="B3524" s="184">
        <v>7002689377</v>
      </c>
      <c r="C3524" s="184">
        <v>2</v>
      </c>
      <c r="D3524" s="9" t="s">
        <v>751</v>
      </c>
    </row>
    <row r="3525" spans="1:4" ht="12.5">
      <c r="A3525" s="186">
        <v>46172</v>
      </c>
      <c r="B3525" s="184">
        <v>7002689855</v>
      </c>
      <c r="C3525" s="184">
        <v>7</v>
      </c>
      <c r="D3525" s="9" t="s">
        <v>758</v>
      </c>
    </row>
    <row r="3526" spans="1:4" ht="12.5">
      <c r="A3526" s="186">
        <v>46172</v>
      </c>
      <c r="B3526" s="184">
        <v>7002689864</v>
      </c>
      <c r="C3526" s="184">
        <v>1</v>
      </c>
      <c r="D3526" s="9" t="s">
        <v>750</v>
      </c>
    </row>
    <row r="3527" spans="1:4" ht="12.5">
      <c r="A3527" s="186">
        <v>46172</v>
      </c>
      <c r="B3527" s="184">
        <v>7002689900</v>
      </c>
      <c r="C3527" s="184">
        <v>1</v>
      </c>
      <c r="D3527" s="9" t="s">
        <v>750</v>
      </c>
    </row>
    <row r="3528" spans="1:4" ht="12.5">
      <c r="A3528" s="186">
        <v>46172</v>
      </c>
      <c r="B3528" s="184">
        <v>7002689959</v>
      </c>
      <c r="C3528" s="184">
        <v>24</v>
      </c>
      <c r="D3528" s="9" t="s">
        <v>752</v>
      </c>
    </row>
    <row r="3529" spans="1:4" ht="12.5">
      <c r="A3529" s="186">
        <v>46172</v>
      </c>
      <c r="B3529" s="184">
        <v>7002690633</v>
      </c>
      <c r="C3529" s="184">
        <v>2</v>
      </c>
      <c r="D3529" s="9" t="s">
        <v>751</v>
      </c>
    </row>
    <row r="3530" spans="1:4" ht="12.5">
      <c r="A3530" s="186">
        <v>46172</v>
      </c>
      <c r="B3530" s="184">
        <v>7002690815</v>
      </c>
      <c r="C3530" s="184">
        <v>3</v>
      </c>
      <c r="D3530" s="9" t="s">
        <v>751</v>
      </c>
    </row>
    <row r="3531" spans="1:4" ht="12.5">
      <c r="A3531" s="186">
        <v>46172</v>
      </c>
      <c r="B3531" s="184">
        <v>7002690870</v>
      </c>
      <c r="C3531" s="184">
        <v>285</v>
      </c>
      <c r="D3531" s="9" t="s">
        <v>752</v>
      </c>
    </row>
    <row r="3532" spans="1:4" ht="12.5">
      <c r="A3532" s="186">
        <v>46172</v>
      </c>
      <c r="B3532" s="184">
        <v>7002691100</v>
      </c>
      <c r="C3532" s="184">
        <v>5</v>
      </c>
      <c r="D3532" s="9" t="s">
        <v>751</v>
      </c>
    </row>
    <row r="3533" spans="1:4" ht="12.5">
      <c r="A3533" s="186">
        <v>46172</v>
      </c>
      <c r="B3533" s="184">
        <v>7002691678</v>
      </c>
      <c r="C3533" s="184">
        <v>6</v>
      </c>
      <c r="D3533" s="9" t="s">
        <v>758</v>
      </c>
    </row>
    <row r="3534" spans="1:4" ht="12.5">
      <c r="A3534" s="186">
        <v>46172</v>
      </c>
      <c r="B3534" s="184">
        <v>7002691684</v>
      </c>
      <c r="C3534" s="184">
        <v>2</v>
      </c>
      <c r="D3534" s="9" t="s">
        <v>751</v>
      </c>
    </row>
    <row r="3535" spans="1:4" ht="12.5">
      <c r="A3535" s="186">
        <v>46172</v>
      </c>
      <c r="B3535" s="184">
        <v>7002692010</v>
      </c>
      <c r="C3535" s="184">
        <v>1</v>
      </c>
      <c r="D3535" s="9" t="s">
        <v>750</v>
      </c>
    </row>
    <row r="3536" spans="1:4" ht="12.5">
      <c r="A3536" s="186">
        <v>46172</v>
      </c>
      <c r="B3536" s="184">
        <v>7002693709</v>
      </c>
      <c r="C3536" s="184">
        <v>2</v>
      </c>
      <c r="D3536" s="9" t="s">
        <v>751</v>
      </c>
    </row>
    <row r="3537" spans="1:4" ht="12.5">
      <c r="A3537" s="186">
        <v>46172</v>
      </c>
      <c r="B3537" s="184">
        <v>7002693745</v>
      </c>
      <c r="C3537" s="184">
        <v>1</v>
      </c>
      <c r="D3537" s="9" t="s">
        <v>750</v>
      </c>
    </row>
    <row r="3538" spans="1:4" ht="12.5">
      <c r="A3538" s="186">
        <v>46172</v>
      </c>
      <c r="B3538" s="184">
        <v>7002693937</v>
      </c>
      <c r="C3538" s="184">
        <v>3</v>
      </c>
      <c r="D3538" s="9" t="s">
        <v>751</v>
      </c>
    </row>
    <row r="3539" spans="1:4" ht="12.5">
      <c r="A3539" s="186">
        <v>46172</v>
      </c>
      <c r="B3539" s="184">
        <v>7002694009</v>
      </c>
      <c r="C3539" s="184">
        <v>17</v>
      </c>
      <c r="D3539" s="9" t="s">
        <v>752</v>
      </c>
    </row>
    <row r="3540" spans="1:4" ht="12.5">
      <c r="A3540" s="186">
        <v>46172</v>
      </c>
      <c r="B3540" s="184">
        <v>7002694623</v>
      </c>
      <c r="C3540" s="184">
        <v>1</v>
      </c>
      <c r="D3540" s="9" t="s">
        <v>750</v>
      </c>
    </row>
    <row r="3541" spans="1:4" ht="12.5">
      <c r="A3541" s="186">
        <v>46172</v>
      </c>
      <c r="B3541" s="184">
        <v>7002694927</v>
      </c>
      <c r="C3541" s="184">
        <v>2</v>
      </c>
      <c r="D3541" s="9" t="s">
        <v>751</v>
      </c>
    </row>
    <row r="3542" spans="1:4" ht="12.5">
      <c r="A3542" s="186">
        <v>46172</v>
      </c>
      <c r="B3542" s="184">
        <v>7002695039</v>
      </c>
      <c r="C3542" s="184">
        <v>3</v>
      </c>
      <c r="D3542" s="9" t="s">
        <v>751</v>
      </c>
    </row>
    <row r="3543" spans="1:4" ht="12.5">
      <c r="A3543" s="186">
        <v>46172</v>
      </c>
      <c r="B3543" s="184">
        <v>7002695637</v>
      </c>
      <c r="C3543" s="184">
        <v>37</v>
      </c>
      <c r="D3543" s="9" t="s">
        <v>752</v>
      </c>
    </row>
    <row r="3544" spans="1:4" ht="12.5">
      <c r="A3544" s="186">
        <v>46172</v>
      </c>
      <c r="B3544" s="184">
        <v>7002695703</v>
      </c>
      <c r="C3544" s="184">
        <v>3</v>
      </c>
      <c r="D3544" s="9" t="s">
        <v>751</v>
      </c>
    </row>
    <row r="3545" spans="1:4" ht="12.5">
      <c r="A3545" s="186">
        <v>46172</v>
      </c>
      <c r="B3545" s="184">
        <v>7002695790</v>
      </c>
      <c r="C3545" s="184">
        <v>1</v>
      </c>
      <c r="D3545" s="9" t="s">
        <v>750</v>
      </c>
    </row>
    <row r="3546" spans="1:4" ht="12.5">
      <c r="A3546" s="186">
        <v>46172</v>
      </c>
      <c r="B3546" s="184">
        <v>7002696573</v>
      </c>
      <c r="C3546" s="184">
        <v>14</v>
      </c>
      <c r="D3546" s="9" t="s">
        <v>752</v>
      </c>
    </row>
    <row r="3547" spans="1:4" ht="12.5">
      <c r="A3547" s="186">
        <v>46172</v>
      </c>
      <c r="B3547" s="184">
        <v>7002696629</v>
      </c>
      <c r="C3547" s="184">
        <v>1</v>
      </c>
      <c r="D3547" s="9" t="s">
        <v>750</v>
      </c>
    </row>
    <row r="3548" spans="1:4" ht="12.5">
      <c r="A3548" s="186">
        <v>46172</v>
      </c>
      <c r="B3548" s="184">
        <v>7002696664</v>
      </c>
      <c r="C3548" s="184">
        <v>33</v>
      </c>
      <c r="D3548" s="9" t="s">
        <v>752</v>
      </c>
    </row>
    <row r="3549" spans="1:4" ht="12.5">
      <c r="A3549" s="186">
        <v>46172</v>
      </c>
      <c r="B3549" s="184">
        <v>7002697588</v>
      </c>
      <c r="C3549" s="184">
        <v>2</v>
      </c>
      <c r="D3549" s="9" t="s">
        <v>751</v>
      </c>
    </row>
    <row r="3550" spans="1:4" ht="12.5">
      <c r="A3550" s="186">
        <v>46172</v>
      </c>
      <c r="B3550" s="184">
        <v>7002697913</v>
      </c>
      <c r="C3550" s="184">
        <v>2</v>
      </c>
      <c r="D3550" s="9" t="s">
        <v>751</v>
      </c>
    </row>
    <row r="3551" spans="1:4" ht="12.5">
      <c r="A3551" s="186">
        <v>46172</v>
      </c>
      <c r="B3551" s="184">
        <v>7002697950</v>
      </c>
      <c r="C3551" s="184">
        <v>1</v>
      </c>
      <c r="D3551" s="9" t="s">
        <v>750</v>
      </c>
    </row>
    <row r="3552" spans="1:4" ht="12.5">
      <c r="A3552" s="186">
        <v>46172</v>
      </c>
      <c r="B3552" s="184">
        <v>7002698059</v>
      </c>
      <c r="C3552" s="184">
        <v>1</v>
      </c>
      <c r="D3552" s="9" t="s">
        <v>750</v>
      </c>
    </row>
    <row r="3553" spans="1:4" ht="12.5">
      <c r="A3553" s="186">
        <v>46172</v>
      </c>
      <c r="B3553" s="184">
        <v>7002699072</v>
      </c>
      <c r="C3553" s="184">
        <v>1</v>
      </c>
      <c r="D3553" s="9" t="s">
        <v>750</v>
      </c>
    </row>
    <row r="3554" spans="1:4" ht="12.5">
      <c r="A3554" s="186">
        <v>46172</v>
      </c>
      <c r="B3554" s="184">
        <v>7002699689</v>
      </c>
      <c r="C3554" s="184">
        <v>1</v>
      </c>
      <c r="D3554" s="9" t="s">
        <v>750</v>
      </c>
    </row>
    <row r="3555" spans="1:4" ht="12.5">
      <c r="A3555" s="186">
        <v>46172</v>
      </c>
      <c r="B3555" s="184">
        <v>7002699760</v>
      </c>
      <c r="C3555" s="184">
        <v>3</v>
      </c>
      <c r="D3555" s="9" t="s">
        <v>751</v>
      </c>
    </row>
    <row r="3556" spans="1:4" ht="12.5">
      <c r="A3556" s="186">
        <v>46172</v>
      </c>
      <c r="B3556" s="184">
        <v>7002699898</v>
      </c>
      <c r="C3556" s="184">
        <v>5</v>
      </c>
      <c r="D3556" s="9" t="s">
        <v>751</v>
      </c>
    </row>
    <row r="3557" spans="1:4" ht="12.5">
      <c r="A3557" s="186">
        <v>46172</v>
      </c>
      <c r="B3557" s="184">
        <v>7002699968</v>
      </c>
      <c r="C3557" s="184">
        <v>39</v>
      </c>
      <c r="D3557" s="9" t="s">
        <v>752</v>
      </c>
    </row>
    <row r="3558" spans="1:4" ht="12.5">
      <c r="A3558" s="186">
        <v>46172</v>
      </c>
      <c r="B3558" s="184">
        <v>7002700192</v>
      </c>
      <c r="C3558" s="184">
        <v>4</v>
      </c>
      <c r="D3558" s="9" t="s">
        <v>751</v>
      </c>
    </row>
    <row r="3559" spans="1:4" ht="12.5">
      <c r="A3559" s="186">
        <v>46172</v>
      </c>
      <c r="B3559" s="184">
        <v>7002700215</v>
      </c>
      <c r="C3559" s="184">
        <v>3</v>
      </c>
      <c r="D3559" s="9" t="s">
        <v>751</v>
      </c>
    </row>
    <row r="3560" spans="1:4" ht="12.5">
      <c r="A3560" s="186">
        <v>46172</v>
      </c>
      <c r="B3560" s="184">
        <v>7002700888</v>
      </c>
      <c r="C3560" s="184">
        <v>5</v>
      </c>
      <c r="D3560" s="9" t="s">
        <v>751</v>
      </c>
    </row>
    <row r="3561" spans="1:4" ht="12.5">
      <c r="A3561" s="186">
        <v>46172</v>
      </c>
      <c r="B3561" s="184">
        <v>7002701219</v>
      </c>
      <c r="C3561" s="184">
        <v>4</v>
      </c>
      <c r="D3561" s="9" t="s">
        <v>751</v>
      </c>
    </row>
    <row r="3562" spans="1:4" ht="12.5">
      <c r="A3562" s="186">
        <v>46172</v>
      </c>
      <c r="B3562" s="184">
        <v>7002702188</v>
      </c>
      <c r="C3562" s="184">
        <v>4</v>
      </c>
      <c r="D3562" s="9" t="s">
        <v>751</v>
      </c>
    </row>
    <row r="3563" spans="1:4" ht="12.5">
      <c r="A3563" s="186">
        <v>46172</v>
      </c>
      <c r="B3563" s="184">
        <v>7002702225</v>
      </c>
      <c r="C3563" s="184">
        <v>5</v>
      </c>
      <c r="D3563" s="9" t="s">
        <v>751</v>
      </c>
    </row>
    <row r="3564" spans="1:4" ht="12.5">
      <c r="A3564" s="186">
        <v>46172</v>
      </c>
      <c r="B3564" s="184">
        <v>7002702470</v>
      </c>
      <c r="C3564" s="184">
        <v>22</v>
      </c>
      <c r="D3564" s="9" t="s">
        <v>752</v>
      </c>
    </row>
    <row r="3565" spans="1:4" ht="12.5">
      <c r="A3565" s="186">
        <v>46172</v>
      </c>
      <c r="B3565" s="184">
        <v>7002702750</v>
      </c>
      <c r="C3565" s="184">
        <v>29</v>
      </c>
      <c r="D3565" s="9" t="s">
        <v>752</v>
      </c>
    </row>
    <row r="3566" spans="1:4" ht="12.5">
      <c r="A3566" s="186">
        <v>46172</v>
      </c>
      <c r="B3566" s="184">
        <v>7002702916</v>
      </c>
      <c r="C3566" s="184">
        <v>1</v>
      </c>
      <c r="D3566" s="9" t="s">
        <v>750</v>
      </c>
    </row>
    <row r="3567" spans="1:4" ht="12.5">
      <c r="A3567" s="186">
        <v>46172</v>
      </c>
      <c r="B3567" s="184">
        <v>7002703021</v>
      </c>
      <c r="C3567" s="184">
        <v>4</v>
      </c>
      <c r="D3567" s="9" t="s">
        <v>751</v>
      </c>
    </row>
    <row r="3568" spans="1:4" ht="12.5">
      <c r="A3568" s="186">
        <v>46172</v>
      </c>
      <c r="B3568" s="184">
        <v>7002703139</v>
      </c>
      <c r="C3568" s="184">
        <v>4</v>
      </c>
      <c r="D3568" s="9" t="s">
        <v>751</v>
      </c>
    </row>
    <row r="3569" spans="1:4" ht="12.5">
      <c r="A3569" s="186">
        <v>46172</v>
      </c>
      <c r="B3569" s="184">
        <v>7002704054</v>
      </c>
      <c r="C3569" s="184">
        <v>6</v>
      </c>
      <c r="D3569" s="9" t="s">
        <v>758</v>
      </c>
    </row>
    <row r="3570" spans="1:4" ht="12.5">
      <c r="A3570" s="186">
        <v>46172</v>
      </c>
      <c r="B3570" s="184">
        <v>7002704172</v>
      </c>
      <c r="C3570" s="184">
        <v>1</v>
      </c>
      <c r="D3570" s="9" t="s">
        <v>750</v>
      </c>
    </row>
    <row r="3571" spans="1:4" ht="12.5">
      <c r="A3571" s="186">
        <v>46172</v>
      </c>
      <c r="B3571" s="184">
        <v>7002704368</v>
      </c>
      <c r="C3571" s="184">
        <v>5</v>
      </c>
      <c r="D3571" s="9" t="s">
        <v>751</v>
      </c>
    </row>
    <row r="3572" spans="1:4" ht="12.5">
      <c r="A3572" s="186">
        <v>46172</v>
      </c>
      <c r="B3572" s="184">
        <v>7002705223</v>
      </c>
      <c r="C3572" s="184">
        <v>3</v>
      </c>
      <c r="D3572" s="9" t="s">
        <v>751</v>
      </c>
    </row>
    <row r="3573" spans="1:4" ht="12.5">
      <c r="A3573" s="186">
        <v>46172</v>
      </c>
      <c r="B3573" s="184">
        <v>7002705316</v>
      </c>
      <c r="C3573" s="184">
        <v>8</v>
      </c>
      <c r="D3573" s="9" t="s">
        <v>758</v>
      </c>
    </row>
    <row r="3574" spans="1:4" ht="12.5">
      <c r="A3574" s="186">
        <v>46172</v>
      </c>
      <c r="B3574" s="184">
        <v>7002705727</v>
      </c>
      <c r="C3574" s="184">
        <v>2</v>
      </c>
      <c r="D3574" s="9" t="s">
        <v>751</v>
      </c>
    </row>
    <row r="3575" spans="1:4" ht="12.5">
      <c r="A3575" s="186">
        <v>46172</v>
      </c>
      <c r="B3575" s="184">
        <v>7002706282</v>
      </c>
      <c r="C3575" s="184">
        <v>4</v>
      </c>
      <c r="D3575" s="9" t="s">
        <v>751</v>
      </c>
    </row>
    <row r="3576" spans="1:4" ht="12.5">
      <c r="A3576" s="186">
        <v>46172</v>
      </c>
      <c r="B3576" s="184">
        <v>7002706588</v>
      </c>
      <c r="C3576" s="184">
        <v>2</v>
      </c>
      <c r="D3576" s="9" t="s">
        <v>751</v>
      </c>
    </row>
    <row r="3577" spans="1:4" ht="12.5">
      <c r="A3577" s="186">
        <v>46172</v>
      </c>
      <c r="B3577" s="184">
        <v>7002706759</v>
      </c>
      <c r="C3577" s="184">
        <v>2</v>
      </c>
      <c r="D3577" s="9" t="s">
        <v>751</v>
      </c>
    </row>
    <row r="3578" spans="1:4" ht="12.5">
      <c r="A3578" s="186">
        <v>46172</v>
      </c>
      <c r="B3578" s="184">
        <v>7002707092</v>
      </c>
      <c r="C3578" s="184">
        <v>3</v>
      </c>
      <c r="D3578" s="9" t="s">
        <v>751</v>
      </c>
    </row>
    <row r="3579" spans="1:4" ht="12.5">
      <c r="A3579" s="186">
        <v>46172</v>
      </c>
      <c r="B3579" s="184">
        <v>7002707182</v>
      </c>
      <c r="C3579" s="184">
        <v>1</v>
      </c>
      <c r="D3579" s="9" t="s">
        <v>750</v>
      </c>
    </row>
    <row r="3580" spans="1:4" ht="12.5">
      <c r="A3580" s="186">
        <v>46172</v>
      </c>
      <c r="B3580" s="184">
        <v>7002707603</v>
      </c>
      <c r="C3580" s="184">
        <v>5</v>
      </c>
      <c r="D3580" s="9" t="s">
        <v>751</v>
      </c>
    </row>
    <row r="3581" spans="1:4" ht="12.5">
      <c r="A3581" s="186">
        <v>46172</v>
      </c>
      <c r="B3581" s="184">
        <v>7002708131</v>
      </c>
      <c r="C3581" s="184">
        <v>2</v>
      </c>
      <c r="D3581" s="9" t="s">
        <v>751</v>
      </c>
    </row>
    <row r="3582" spans="1:4" ht="12.5">
      <c r="A3582" s="186">
        <v>46172</v>
      </c>
      <c r="B3582" s="184">
        <v>7002708177</v>
      </c>
      <c r="C3582" s="184">
        <v>2</v>
      </c>
      <c r="D3582" s="9" t="s">
        <v>751</v>
      </c>
    </row>
    <row r="3583" spans="1:4" ht="12.5">
      <c r="A3583" s="186">
        <v>46172</v>
      </c>
      <c r="B3583" s="184">
        <v>7002708846</v>
      </c>
      <c r="C3583" s="184">
        <v>1</v>
      </c>
      <c r="D3583" s="9" t="s">
        <v>750</v>
      </c>
    </row>
    <row r="3584" spans="1:4" ht="12.5">
      <c r="A3584" s="186">
        <v>46172</v>
      </c>
      <c r="B3584" s="184">
        <v>7002709205</v>
      </c>
      <c r="C3584" s="184">
        <v>3</v>
      </c>
      <c r="D3584" s="9" t="s">
        <v>751</v>
      </c>
    </row>
    <row r="3585" spans="1:4" ht="12.5">
      <c r="A3585" s="186">
        <v>46172</v>
      </c>
      <c r="B3585" s="184">
        <v>7002709233</v>
      </c>
      <c r="C3585" s="184">
        <v>3</v>
      </c>
      <c r="D3585" s="9" t="s">
        <v>751</v>
      </c>
    </row>
    <row r="3586" spans="1:4" ht="12.5">
      <c r="A3586" s="186">
        <v>46172</v>
      </c>
      <c r="B3586" s="184">
        <v>7002709280</v>
      </c>
      <c r="C3586" s="184">
        <v>2</v>
      </c>
      <c r="D3586" s="9" t="s">
        <v>751</v>
      </c>
    </row>
    <row r="3587" spans="1:4" ht="12.5">
      <c r="A3587" s="186">
        <v>46172</v>
      </c>
      <c r="B3587" s="184">
        <v>7002709391</v>
      </c>
      <c r="C3587" s="184">
        <v>7</v>
      </c>
      <c r="D3587" s="9" t="s">
        <v>758</v>
      </c>
    </row>
    <row r="3588" spans="1:4" ht="12.5">
      <c r="A3588" s="186">
        <v>46172</v>
      </c>
      <c r="B3588" s="184">
        <v>7002709834</v>
      </c>
      <c r="C3588" s="184">
        <v>2</v>
      </c>
      <c r="D3588" s="9" t="s">
        <v>751</v>
      </c>
    </row>
    <row r="3589" spans="1:4" ht="12.5">
      <c r="A3589" s="186"/>
      <c r="B3589" s="9"/>
      <c r="C3589" s="9"/>
      <c r="D3589" s="9"/>
    </row>
    <row r="3590" spans="1:4" ht="12.5">
      <c r="A3590" s="186">
        <v>46173</v>
      </c>
      <c r="B3590" s="184">
        <v>7002513445</v>
      </c>
      <c r="C3590" s="184">
        <v>4</v>
      </c>
      <c r="D3590" s="184" t="s">
        <v>751</v>
      </c>
    </row>
    <row r="3591" spans="1:4" ht="12.5">
      <c r="A3591" s="186">
        <v>46173</v>
      </c>
      <c r="B3591" s="184">
        <v>7002531846</v>
      </c>
      <c r="C3591" s="184">
        <v>2</v>
      </c>
      <c r="D3591" s="184" t="s">
        <v>751</v>
      </c>
    </row>
    <row r="3592" spans="1:4" ht="12.5">
      <c r="A3592" s="186">
        <v>46173</v>
      </c>
      <c r="B3592" s="184">
        <v>7002546137</v>
      </c>
      <c r="C3592" s="184">
        <v>6</v>
      </c>
      <c r="D3592" s="184" t="s">
        <v>758</v>
      </c>
    </row>
    <row r="3593" spans="1:4" ht="12.5">
      <c r="A3593" s="186">
        <v>46173</v>
      </c>
      <c r="B3593" s="184">
        <v>7002552347</v>
      </c>
      <c r="C3593" s="184">
        <v>4</v>
      </c>
      <c r="D3593" s="184" t="s">
        <v>751</v>
      </c>
    </row>
    <row r="3594" spans="1:4" ht="12.5">
      <c r="A3594" s="186">
        <v>46173</v>
      </c>
      <c r="B3594" s="184">
        <v>7002556981</v>
      </c>
      <c r="C3594" s="184">
        <v>11</v>
      </c>
      <c r="D3594" s="184" t="s">
        <v>752</v>
      </c>
    </row>
    <row r="3595" spans="1:4" ht="12.5">
      <c r="A3595" s="186">
        <v>46173</v>
      </c>
      <c r="B3595" s="184">
        <v>7002563094</v>
      </c>
      <c r="C3595" s="184">
        <v>7</v>
      </c>
      <c r="D3595" s="184" t="s">
        <v>758</v>
      </c>
    </row>
    <row r="3596" spans="1:4" ht="12.5">
      <c r="A3596" s="186">
        <v>46173</v>
      </c>
      <c r="B3596" s="184">
        <v>7002573427</v>
      </c>
      <c r="C3596" s="184">
        <v>2</v>
      </c>
      <c r="D3596" s="184" t="s">
        <v>751</v>
      </c>
    </row>
    <row r="3597" spans="1:4" ht="12.5">
      <c r="A3597" s="186">
        <v>46173</v>
      </c>
      <c r="B3597" s="184">
        <v>7002574229</v>
      </c>
      <c r="C3597" s="184">
        <v>2</v>
      </c>
      <c r="D3597" s="184" t="s">
        <v>751</v>
      </c>
    </row>
    <row r="3598" spans="1:4" ht="12.5">
      <c r="A3598" s="186">
        <v>46173</v>
      </c>
      <c r="B3598" s="184">
        <v>7002577224</v>
      </c>
      <c r="C3598" s="184">
        <v>1</v>
      </c>
      <c r="D3598" s="184" t="s">
        <v>750</v>
      </c>
    </row>
    <row r="3599" spans="1:4" ht="12.5">
      <c r="A3599" s="186">
        <v>46173</v>
      </c>
      <c r="B3599" s="184">
        <v>7002577230</v>
      </c>
      <c r="C3599" s="184">
        <v>40</v>
      </c>
      <c r="D3599" s="184" t="s">
        <v>752</v>
      </c>
    </row>
    <row r="3600" spans="1:4" ht="12.5">
      <c r="A3600" s="186">
        <v>46173</v>
      </c>
      <c r="B3600" s="184">
        <v>7002578296</v>
      </c>
      <c r="C3600" s="184">
        <v>1</v>
      </c>
      <c r="D3600" s="184" t="s">
        <v>750</v>
      </c>
    </row>
    <row r="3601" spans="1:4" ht="12.5">
      <c r="A3601" s="186">
        <v>46173</v>
      </c>
      <c r="B3601" s="184">
        <v>7002578998</v>
      </c>
      <c r="C3601" s="184">
        <v>2</v>
      </c>
      <c r="D3601" s="184" t="s">
        <v>751</v>
      </c>
    </row>
    <row r="3602" spans="1:4" ht="12.5">
      <c r="A3602" s="186">
        <v>46173</v>
      </c>
      <c r="B3602" s="184">
        <v>7002579563</v>
      </c>
      <c r="C3602" s="184">
        <v>7</v>
      </c>
      <c r="D3602" s="184" t="s">
        <v>758</v>
      </c>
    </row>
    <row r="3603" spans="1:4" ht="12.5">
      <c r="A3603" s="186">
        <v>46173</v>
      </c>
      <c r="B3603" s="184">
        <v>7002580122</v>
      </c>
      <c r="C3603" s="184">
        <v>2</v>
      </c>
      <c r="D3603" s="184" t="s">
        <v>751</v>
      </c>
    </row>
    <row r="3604" spans="1:4" ht="12.5">
      <c r="A3604" s="186">
        <v>46173</v>
      </c>
      <c r="B3604" s="184">
        <v>7002582898</v>
      </c>
      <c r="C3604" s="184">
        <v>1</v>
      </c>
      <c r="D3604" s="184" t="s">
        <v>750</v>
      </c>
    </row>
    <row r="3605" spans="1:4" ht="12.5">
      <c r="A3605" s="186">
        <v>46173</v>
      </c>
      <c r="B3605" s="184">
        <v>7002585024</v>
      </c>
      <c r="C3605" s="184">
        <v>5</v>
      </c>
      <c r="D3605" s="184" t="s">
        <v>751</v>
      </c>
    </row>
    <row r="3606" spans="1:4" ht="12.5">
      <c r="A3606" s="186">
        <v>46173</v>
      </c>
      <c r="B3606" s="184">
        <v>7002585082</v>
      </c>
      <c r="C3606" s="184">
        <v>2</v>
      </c>
      <c r="D3606" s="184" t="s">
        <v>751</v>
      </c>
    </row>
    <row r="3607" spans="1:4" ht="12.5">
      <c r="A3607" s="186">
        <v>46173</v>
      </c>
      <c r="B3607" s="184">
        <v>7002590289</v>
      </c>
      <c r="C3607" s="184">
        <v>2</v>
      </c>
      <c r="D3607" s="184" t="s">
        <v>751</v>
      </c>
    </row>
    <row r="3608" spans="1:4" ht="12.5">
      <c r="A3608" s="186">
        <v>46173</v>
      </c>
      <c r="B3608" s="184">
        <v>7002591115</v>
      </c>
      <c r="C3608" s="184">
        <v>6</v>
      </c>
      <c r="D3608" s="184" t="s">
        <v>758</v>
      </c>
    </row>
    <row r="3609" spans="1:4" ht="12.5">
      <c r="A3609" s="186">
        <v>46173</v>
      </c>
      <c r="B3609" s="184">
        <v>7002591397</v>
      </c>
      <c r="C3609" s="184">
        <v>1</v>
      </c>
      <c r="D3609" s="184" t="s">
        <v>750</v>
      </c>
    </row>
    <row r="3610" spans="1:4" ht="12.5">
      <c r="A3610" s="186">
        <v>46173</v>
      </c>
      <c r="B3610" s="184">
        <v>7002594140</v>
      </c>
      <c r="C3610" s="184">
        <v>13</v>
      </c>
      <c r="D3610" s="184" t="s">
        <v>752</v>
      </c>
    </row>
    <row r="3611" spans="1:4" ht="12.5">
      <c r="A3611" s="186">
        <v>46173</v>
      </c>
      <c r="B3611" s="184">
        <v>7002594402</v>
      </c>
      <c r="C3611" s="184">
        <v>1</v>
      </c>
      <c r="D3611" s="184" t="s">
        <v>750</v>
      </c>
    </row>
    <row r="3612" spans="1:4" ht="12.5">
      <c r="A3612" s="186">
        <v>46173</v>
      </c>
      <c r="B3612" s="184">
        <v>7002601125</v>
      </c>
      <c r="C3612" s="184">
        <v>3</v>
      </c>
      <c r="D3612" s="184" t="s">
        <v>751</v>
      </c>
    </row>
    <row r="3613" spans="1:4" ht="12.5">
      <c r="A3613" s="186">
        <v>46173</v>
      </c>
      <c r="B3613" s="184">
        <v>7002601194</v>
      </c>
      <c r="C3613" s="184">
        <v>1</v>
      </c>
      <c r="D3613" s="184" t="s">
        <v>750</v>
      </c>
    </row>
    <row r="3614" spans="1:4" ht="12.5">
      <c r="A3614" s="186">
        <v>46173</v>
      </c>
      <c r="B3614" s="184">
        <v>7002601240</v>
      </c>
      <c r="C3614" s="184">
        <v>6</v>
      </c>
      <c r="D3614" s="184" t="s">
        <v>758</v>
      </c>
    </row>
    <row r="3615" spans="1:4" ht="12.5">
      <c r="A3615" s="186">
        <v>46173</v>
      </c>
      <c r="B3615" s="184">
        <v>7002602200</v>
      </c>
      <c r="C3615" s="184">
        <v>2</v>
      </c>
      <c r="D3615" s="184" t="s">
        <v>751</v>
      </c>
    </row>
    <row r="3616" spans="1:4" ht="12.5">
      <c r="A3616" s="186">
        <v>46173</v>
      </c>
      <c r="B3616" s="184">
        <v>7002603262</v>
      </c>
      <c r="C3616" s="184">
        <v>1</v>
      </c>
      <c r="D3616" s="184" t="s">
        <v>750</v>
      </c>
    </row>
    <row r="3617" spans="1:4" ht="12.5">
      <c r="A3617" s="186">
        <v>46173</v>
      </c>
      <c r="B3617" s="184">
        <v>7002604378</v>
      </c>
      <c r="C3617" s="184">
        <v>1</v>
      </c>
      <c r="D3617" s="184" t="s">
        <v>750</v>
      </c>
    </row>
    <row r="3618" spans="1:4" ht="12.5">
      <c r="A3618" s="186">
        <v>46173</v>
      </c>
      <c r="B3618" s="184">
        <v>7002604384</v>
      </c>
      <c r="C3618" s="184">
        <v>1</v>
      </c>
      <c r="D3618" s="184" t="s">
        <v>750</v>
      </c>
    </row>
    <row r="3619" spans="1:4" ht="12.5">
      <c r="A3619" s="186">
        <v>46173</v>
      </c>
      <c r="B3619" s="184">
        <v>7002605373</v>
      </c>
      <c r="C3619" s="184">
        <v>3</v>
      </c>
      <c r="D3619" s="184" t="s">
        <v>751</v>
      </c>
    </row>
    <row r="3620" spans="1:4" ht="12.5">
      <c r="A3620" s="186">
        <v>46173</v>
      </c>
      <c r="B3620" s="184">
        <v>7002605394</v>
      </c>
      <c r="C3620" s="184">
        <v>1</v>
      </c>
      <c r="D3620" s="184" t="s">
        <v>750</v>
      </c>
    </row>
    <row r="3621" spans="1:4" ht="12.5">
      <c r="A3621" s="186">
        <v>46173</v>
      </c>
      <c r="B3621" s="184">
        <v>7002617142</v>
      </c>
      <c r="C3621" s="184">
        <v>11</v>
      </c>
      <c r="D3621" s="184" t="s">
        <v>752</v>
      </c>
    </row>
    <row r="3622" spans="1:4" ht="12.5">
      <c r="A3622" s="186">
        <v>46173</v>
      </c>
      <c r="B3622" s="184">
        <v>7002620227</v>
      </c>
      <c r="C3622" s="184">
        <v>6</v>
      </c>
      <c r="D3622" s="184" t="s">
        <v>758</v>
      </c>
    </row>
    <row r="3623" spans="1:4" ht="12.5">
      <c r="A3623" s="186">
        <v>46173</v>
      </c>
      <c r="B3623" s="184">
        <v>7002621242</v>
      </c>
      <c r="C3623" s="184">
        <v>2</v>
      </c>
      <c r="D3623" s="184" t="s">
        <v>751</v>
      </c>
    </row>
    <row r="3624" spans="1:4" ht="12.5">
      <c r="A3624" s="186">
        <v>46173</v>
      </c>
      <c r="B3624" s="184">
        <v>7002621416</v>
      </c>
      <c r="C3624" s="184">
        <v>2</v>
      </c>
      <c r="D3624" s="184" t="s">
        <v>751</v>
      </c>
    </row>
    <row r="3625" spans="1:4" ht="12.5">
      <c r="A3625" s="186">
        <v>46173</v>
      </c>
      <c r="B3625" s="184">
        <v>7002624228</v>
      </c>
      <c r="C3625" s="184">
        <v>2</v>
      </c>
      <c r="D3625" s="184" t="s">
        <v>751</v>
      </c>
    </row>
    <row r="3626" spans="1:4" ht="12.5">
      <c r="A3626" s="186">
        <v>46173</v>
      </c>
      <c r="B3626" s="184">
        <v>7002624418</v>
      </c>
      <c r="C3626" s="184">
        <v>2</v>
      </c>
      <c r="D3626" s="184" t="s">
        <v>751</v>
      </c>
    </row>
    <row r="3627" spans="1:4" ht="12.5">
      <c r="A3627" s="186">
        <v>46173</v>
      </c>
      <c r="B3627" s="184">
        <v>7002625525</v>
      </c>
      <c r="C3627" s="184">
        <v>1</v>
      </c>
      <c r="D3627" s="184" t="s">
        <v>750</v>
      </c>
    </row>
    <row r="3628" spans="1:4" ht="12.5">
      <c r="A3628" s="186">
        <v>46173</v>
      </c>
      <c r="B3628" s="184">
        <v>7002626091</v>
      </c>
      <c r="C3628" s="184">
        <v>99</v>
      </c>
      <c r="D3628" s="184" t="s">
        <v>752</v>
      </c>
    </row>
    <row r="3629" spans="1:4" ht="12.5">
      <c r="A3629" s="186">
        <v>46173</v>
      </c>
      <c r="B3629" s="184">
        <v>7002626433</v>
      </c>
      <c r="C3629" s="184">
        <v>1</v>
      </c>
      <c r="D3629" s="184" t="s">
        <v>750</v>
      </c>
    </row>
    <row r="3630" spans="1:4" ht="12.5">
      <c r="A3630" s="186">
        <v>46173</v>
      </c>
      <c r="B3630" s="184">
        <v>7002627373</v>
      </c>
      <c r="C3630" s="184">
        <v>2</v>
      </c>
      <c r="D3630" s="184" t="s">
        <v>751</v>
      </c>
    </row>
    <row r="3631" spans="1:4" ht="12.5">
      <c r="A3631" s="186">
        <v>46173</v>
      </c>
      <c r="B3631" s="184">
        <v>7002627951</v>
      </c>
      <c r="C3631" s="184">
        <v>1</v>
      </c>
      <c r="D3631" s="184" t="s">
        <v>750</v>
      </c>
    </row>
    <row r="3632" spans="1:4" ht="12.5">
      <c r="A3632" s="186">
        <v>46173</v>
      </c>
      <c r="B3632" s="184">
        <v>7002629412</v>
      </c>
      <c r="C3632" s="184">
        <v>1</v>
      </c>
      <c r="D3632" s="184" t="s">
        <v>750</v>
      </c>
    </row>
    <row r="3633" spans="1:4" ht="12.5">
      <c r="A3633" s="186">
        <v>46173</v>
      </c>
      <c r="B3633" s="184">
        <v>7002630299</v>
      </c>
      <c r="C3633" s="184">
        <v>6</v>
      </c>
      <c r="D3633" s="184" t="s">
        <v>758</v>
      </c>
    </row>
    <row r="3634" spans="1:4" ht="12.5">
      <c r="A3634" s="186">
        <v>46173</v>
      </c>
      <c r="B3634" s="184">
        <v>7002630363</v>
      </c>
      <c r="C3634" s="184">
        <v>3</v>
      </c>
      <c r="D3634" s="184" t="s">
        <v>751</v>
      </c>
    </row>
    <row r="3635" spans="1:4" ht="12.5">
      <c r="A3635" s="186">
        <v>46173</v>
      </c>
      <c r="B3635" s="184">
        <v>7002631025</v>
      </c>
      <c r="C3635" s="184">
        <v>7</v>
      </c>
      <c r="D3635" s="184" t="s">
        <v>758</v>
      </c>
    </row>
    <row r="3636" spans="1:4" ht="12.5">
      <c r="A3636" s="186">
        <v>46173</v>
      </c>
      <c r="B3636" s="184">
        <v>7002631572</v>
      </c>
      <c r="C3636" s="184">
        <v>3</v>
      </c>
      <c r="D3636" s="184" t="s">
        <v>751</v>
      </c>
    </row>
    <row r="3637" spans="1:4" ht="12.5">
      <c r="A3637" s="186">
        <v>46173</v>
      </c>
      <c r="B3637" s="184">
        <v>7002632559</v>
      </c>
      <c r="C3637" s="184">
        <v>3</v>
      </c>
      <c r="D3637" s="184" t="s">
        <v>751</v>
      </c>
    </row>
    <row r="3638" spans="1:4" ht="12.5">
      <c r="A3638" s="186">
        <v>46173</v>
      </c>
      <c r="B3638" s="184">
        <v>7002633452</v>
      </c>
      <c r="C3638" s="184">
        <v>222</v>
      </c>
      <c r="D3638" s="184" t="s">
        <v>752</v>
      </c>
    </row>
    <row r="3639" spans="1:4" ht="12.5">
      <c r="A3639" s="186">
        <v>46173</v>
      </c>
      <c r="B3639" s="184">
        <v>7002633591</v>
      </c>
      <c r="C3639" s="184">
        <v>2</v>
      </c>
      <c r="D3639" s="184" t="s">
        <v>751</v>
      </c>
    </row>
    <row r="3640" spans="1:4" ht="12.5">
      <c r="A3640" s="186">
        <v>46173</v>
      </c>
      <c r="B3640" s="184">
        <v>7002634027</v>
      </c>
      <c r="C3640" s="184">
        <v>1</v>
      </c>
      <c r="D3640" s="184" t="s">
        <v>750</v>
      </c>
    </row>
    <row r="3641" spans="1:4" ht="12.5">
      <c r="A3641" s="186">
        <v>46173</v>
      </c>
      <c r="B3641" s="184">
        <v>7002634338</v>
      </c>
      <c r="C3641" s="184">
        <v>2</v>
      </c>
      <c r="D3641" s="184" t="s">
        <v>751</v>
      </c>
    </row>
    <row r="3642" spans="1:4" ht="12.5">
      <c r="A3642" s="186">
        <v>46173</v>
      </c>
      <c r="B3642" s="184">
        <v>7002635455</v>
      </c>
      <c r="C3642" s="184">
        <v>2</v>
      </c>
      <c r="D3642" s="184" t="s">
        <v>751</v>
      </c>
    </row>
    <row r="3643" spans="1:4" ht="12.5">
      <c r="A3643" s="186">
        <v>46173</v>
      </c>
      <c r="B3643" s="184">
        <v>7002635583</v>
      </c>
      <c r="C3643" s="184">
        <v>3</v>
      </c>
      <c r="D3643" s="184" t="s">
        <v>751</v>
      </c>
    </row>
    <row r="3644" spans="1:4" ht="12.5">
      <c r="A3644" s="186">
        <v>46173</v>
      </c>
      <c r="B3644" s="184">
        <v>7002636381</v>
      </c>
      <c r="C3644" s="184">
        <v>4</v>
      </c>
      <c r="D3644" s="184" t="s">
        <v>751</v>
      </c>
    </row>
    <row r="3645" spans="1:4" ht="12.5">
      <c r="A3645" s="186">
        <v>46173</v>
      </c>
      <c r="B3645" s="184">
        <v>7002636605</v>
      </c>
      <c r="C3645" s="184">
        <v>2</v>
      </c>
      <c r="D3645" s="184" t="s">
        <v>751</v>
      </c>
    </row>
    <row r="3646" spans="1:4" ht="12.5">
      <c r="A3646" s="186">
        <v>46173</v>
      </c>
      <c r="B3646" s="184">
        <v>7002636651</v>
      </c>
      <c r="C3646" s="184">
        <v>3</v>
      </c>
      <c r="D3646" s="184" t="s">
        <v>751</v>
      </c>
    </row>
    <row r="3647" spans="1:4" ht="12.5">
      <c r="A3647" s="186">
        <v>46173</v>
      </c>
      <c r="B3647" s="184">
        <v>7002638033</v>
      </c>
      <c r="C3647" s="184">
        <v>4</v>
      </c>
      <c r="D3647" s="184" t="s">
        <v>751</v>
      </c>
    </row>
    <row r="3648" spans="1:4" ht="12.5">
      <c r="A3648" s="186">
        <v>46173</v>
      </c>
      <c r="B3648" s="184">
        <v>7002639332</v>
      </c>
      <c r="C3648" s="184">
        <v>6</v>
      </c>
      <c r="D3648" s="184" t="s">
        <v>758</v>
      </c>
    </row>
    <row r="3649" spans="1:4" ht="12.5">
      <c r="A3649" s="186">
        <v>46173</v>
      </c>
      <c r="B3649" s="184">
        <v>7002639576</v>
      </c>
      <c r="C3649" s="184">
        <v>4</v>
      </c>
      <c r="D3649" s="184" t="s">
        <v>751</v>
      </c>
    </row>
    <row r="3650" spans="1:4" ht="12.5">
      <c r="A3650" s="186">
        <v>46173</v>
      </c>
      <c r="B3650" s="184">
        <v>7002641089</v>
      </c>
      <c r="C3650" s="184">
        <v>2</v>
      </c>
      <c r="D3650" s="184" t="s">
        <v>751</v>
      </c>
    </row>
    <row r="3651" spans="1:4" ht="12.5">
      <c r="A3651" s="186">
        <v>46173</v>
      </c>
      <c r="B3651" s="184">
        <v>7002641338</v>
      </c>
      <c r="C3651" s="184">
        <v>7</v>
      </c>
      <c r="D3651" s="184" t="s">
        <v>758</v>
      </c>
    </row>
    <row r="3652" spans="1:4" ht="12.5">
      <c r="A3652" s="186">
        <v>46173</v>
      </c>
      <c r="B3652" s="184">
        <v>7002641877</v>
      </c>
      <c r="C3652" s="184">
        <v>3</v>
      </c>
      <c r="D3652" s="184" t="s">
        <v>751</v>
      </c>
    </row>
    <row r="3653" spans="1:4" ht="12.5">
      <c r="A3653" s="186">
        <v>46173</v>
      </c>
      <c r="B3653" s="184">
        <v>7002643995</v>
      </c>
      <c r="C3653" s="184">
        <v>4</v>
      </c>
      <c r="D3653" s="184" t="s">
        <v>751</v>
      </c>
    </row>
    <row r="3654" spans="1:4" ht="12.5">
      <c r="A3654" s="186">
        <v>46173</v>
      </c>
      <c r="B3654" s="184">
        <v>7002644469</v>
      </c>
      <c r="C3654" s="184">
        <v>1</v>
      </c>
      <c r="D3654" s="184" t="s">
        <v>750</v>
      </c>
    </row>
    <row r="3655" spans="1:4" ht="12.5">
      <c r="A3655" s="186">
        <v>46173</v>
      </c>
      <c r="B3655" s="184">
        <v>7002645241</v>
      </c>
      <c r="C3655" s="184">
        <v>5</v>
      </c>
      <c r="D3655" s="184" t="s">
        <v>751</v>
      </c>
    </row>
    <row r="3656" spans="1:4" ht="12.5">
      <c r="A3656" s="186">
        <v>46173</v>
      </c>
      <c r="B3656" s="184">
        <v>7002645607</v>
      </c>
      <c r="C3656" s="184">
        <v>59</v>
      </c>
      <c r="D3656" s="184" t="s">
        <v>752</v>
      </c>
    </row>
    <row r="3657" spans="1:4" ht="12.5">
      <c r="A3657" s="186">
        <v>46173</v>
      </c>
      <c r="B3657" s="184">
        <v>7002646972</v>
      </c>
      <c r="C3657" s="184">
        <v>20</v>
      </c>
      <c r="D3657" s="184" t="s">
        <v>752</v>
      </c>
    </row>
    <row r="3658" spans="1:4" ht="12.5">
      <c r="A3658" s="186">
        <v>46173</v>
      </c>
      <c r="B3658" s="184">
        <v>7002649962</v>
      </c>
      <c r="C3658" s="184">
        <v>3</v>
      </c>
      <c r="D3658" s="184" t="s">
        <v>751</v>
      </c>
    </row>
    <row r="3659" spans="1:4" ht="12.5">
      <c r="A3659" s="186">
        <v>46173</v>
      </c>
      <c r="B3659" s="184">
        <v>7002651067</v>
      </c>
      <c r="C3659" s="184">
        <v>2</v>
      </c>
      <c r="D3659" s="184" t="s">
        <v>751</v>
      </c>
    </row>
    <row r="3660" spans="1:4" ht="12.5">
      <c r="A3660" s="186">
        <v>46173</v>
      </c>
      <c r="B3660" s="184">
        <v>7002651648</v>
      </c>
      <c r="C3660" s="184">
        <v>7</v>
      </c>
      <c r="D3660" s="184" t="s">
        <v>758</v>
      </c>
    </row>
    <row r="3661" spans="1:4" ht="12.5">
      <c r="A3661" s="186">
        <v>46173</v>
      </c>
      <c r="B3661" s="184">
        <v>7002653381</v>
      </c>
      <c r="C3661" s="184">
        <v>1</v>
      </c>
      <c r="D3661" s="184" t="s">
        <v>750</v>
      </c>
    </row>
    <row r="3662" spans="1:4" ht="12.5">
      <c r="A3662" s="186">
        <v>46173</v>
      </c>
      <c r="B3662" s="184">
        <v>7002654137</v>
      </c>
      <c r="C3662" s="184">
        <v>3</v>
      </c>
      <c r="D3662" s="184" t="s">
        <v>751</v>
      </c>
    </row>
    <row r="3663" spans="1:4" ht="12.5">
      <c r="A3663" s="186">
        <v>46173</v>
      </c>
      <c r="B3663" s="184">
        <v>7002654925</v>
      </c>
      <c r="C3663" s="184">
        <v>2</v>
      </c>
      <c r="D3663" s="184" t="s">
        <v>751</v>
      </c>
    </row>
    <row r="3664" spans="1:4" ht="12.5">
      <c r="A3664" s="186">
        <v>46173</v>
      </c>
      <c r="B3664" s="184">
        <v>7002655364</v>
      </c>
      <c r="C3664" s="184">
        <v>4</v>
      </c>
      <c r="D3664" s="184" t="s">
        <v>751</v>
      </c>
    </row>
    <row r="3665" spans="1:4" ht="12.5">
      <c r="A3665" s="186">
        <v>46173</v>
      </c>
      <c r="B3665" s="184">
        <v>7002655561</v>
      </c>
      <c r="C3665" s="184">
        <v>2</v>
      </c>
      <c r="D3665" s="184" t="s">
        <v>751</v>
      </c>
    </row>
    <row r="3666" spans="1:4" ht="12.5">
      <c r="A3666" s="186">
        <v>46173</v>
      </c>
      <c r="B3666" s="184">
        <v>7002656515</v>
      </c>
      <c r="C3666" s="184">
        <v>55</v>
      </c>
      <c r="D3666" s="184" t="s">
        <v>752</v>
      </c>
    </row>
    <row r="3667" spans="1:4" ht="12.5">
      <c r="A3667" s="186">
        <v>46173</v>
      </c>
      <c r="B3667" s="184">
        <v>7002656570</v>
      </c>
      <c r="C3667" s="184">
        <v>1</v>
      </c>
      <c r="D3667" s="184" t="s">
        <v>750</v>
      </c>
    </row>
    <row r="3668" spans="1:4" ht="12.5">
      <c r="A3668" s="186">
        <v>46173</v>
      </c>
      <c r="B3668" s="184">
        <v>7002658477</v>
      </c>
      <c r="C3668" s="184">
        <v>2</v>
      </c>
      <c r="D3668" s="184" t="s">
        <v>751</v>
      </c>
    </row>
    <row r="3669" spans="1:4" ht="12.5">
      <c r="A3669" s="186">
        <v>46173</v>
      </c>
      <c r="B3669" s="184">
        <v>7002658483</v>
      </c>
      <c r="C3669" s="184">
        <v>2</v>
      </c>
      <c r="D3669" s="184" t="s">
        <v>751</v>
      </c>
    </row>
    <row r="3670" spans="1:4" ht="12.5">
      <c r="A3670" s="186">
        <v>46173</v>
      </c>
      <c r="B3670" s="184">
        <v>7002660482</v>
      </c>
      <c r="C3670" s="184">
        <v>1</v>
      </c>
      <c r="D3670" s="184" t="s">
        <v>750</v>
      </c>
    </row>
    <row r="3671" spans="1:4" ht="12.5">
      <c r="A3671" s="186">
        <v>46173</v>
      </c>
      <c r="B3671" s="184">
        <v>7002660898</v>
      </c>
      <c r="C3671" s="184">
        <v>5</v>
      </c>
      <c r="D3671" s="184" t="s">
        <v>751</v>
      </c>
    </row>
    <row r="3672" spans="1:4" ht="12.5">
      <c r="A3672" s="186">
        <v>46173</v>
      </c>
      <c r="B3672" s="184">
        <v>7002661318</v>
      </c>
      <c r="C3672" s="184">
        <v>11</v>
      </c>
      <c r="D3672" s="184" t="s">
        <v>752</v>
      </c>
    </row>
    <row r="3673" spans="1:4" ht="12.5">
      <c r="A3673" s="186">
        <v>46173</v>
      </c>
      <c r="B3673" s="184">
        <v>7002661813</v>
      </c>
      <c r="C3673" s="184">
        <v>6</v>
      </c>
      <c r="D3673" s="184" t="s">
        <v>758</v>
      </c>
    </row>
    <row r="3674" spans="1:4" ht="12.5">
      <c r="A3674" s="186">
        <v>46173</v>
      </c>
      <c r="B3674" s="184">
        <v>7002661850</v>
      </c>
      <c r="C3674" s="184">
        <v>6</v>
      </c>
      <c r="D3674" s="184" t="s">
        <v>758</v>
      </c>
    </row>
    <row r="3675" spans="1:4" ht="12.5">
      <c r="A3675" s="186">
        <v>46173</v>
      </c>
      <c r="B3675" s="184">
        <v>7002662519</v>
      </c>
      <c r="C3675" s="184">
        <v>13</v>
      </c>
      <c r="D3675" s="184" t="s">
        <v>752</v>
      </c>
    </row>
    <row r="3676" spans="1:4" ht="12.5">
      <c r="A3676" s="186">
        <v>46173</v>
      </c>
      <c r="B3676" s="184">
        <v>7002662896</v>
      </c>
      <c r="C3676" s="184">
        <v>1</v>
      </c>
      <c r="D3676" s="184" t="s">
        <v>750</v>
      </c>
    </row>
    <row r="3677" spans="1:4" ht="12.5">
      <c r="A3677" s="186">
        <v>46173</v>
      </c>
      <c r="B3677" s="184">
        <v>7002662909</v>
      </c>
      <c r="C3677" s="184">
        <v>1</v>
      </c>
      <c r="D3677" s="184" t="s">
        <v>750</v>
      </c>
    </row>
    <row r="3678" spans="1:4" ht="12.5">
      <c r="A3678" s="186">
        <v>46173</v>
      </c>
      <c r="B3678" s="184">
        <v>7002663421</v>
      </c>
      <c r="C3678" s="184">
        <v>1</v>
      </c>
      <c r="D3678" s="184" t="s">
        <v>750</v>
      </c>
    </row>
    <row r="3679" spans="1:4" ht="12.5">
      <c r="A3679" s="186">
        <v>46173</v>
      </c>
      <c r="B3679" s="184">
        <v>7002663876</v>
      </c>
      <c r="C3679" s="184">
        <v>9</v>
      </c>
      <c r="D3679" s="184" t="s">
        <v>758</v>
      </c>
    </row>
    <row r="3680" spans="1:4" ht="12.5">
      <c r="A3680" s="186">
        <v>46173</v>
      </c>
      <c r="B3680" s="184">
        <v>7002664847</v>
      </c>
      <c r="C3680" s="184">
        <v>4</v>
      </c>
      <c r="D3680" s="184" t="s">
        <v>751</v>
      </c>
    </row>
    <row r="3681" spans="1:4" ht="12.5">
      <c r="A3681" s="186">
        <v>46173</v>
      </c>
      <c r="B3681" s="184">
        <v>7002664852</v>
      </c>
      <c r="C3681" s="184">
        <v>3</v>
      </c>
      <c r="D3681" s="184" t="s">
        <v>751</v>
      </c>
    </row>
    <row r="3682" spans="1:4" ht="12.5">
      <c r="A3682" s="186">
        <v>46173</v>
      </c>
      <c r="B3682" s="184">
        <v>7002664875</v>
      </c>
      <c r="C3682" s="184">
        <v>7</v>
      </c>
      <c r="D3682" s="184" t="s">
        <v>758</v>
      </c>
    </row>
    <row r="3683" spans="1:4" ht="12.5">
      <c r="A3683" s="186">
        <v>46173</v>
      </c>
      <c r="B3683" s="184">
        <v>7002664881</v>
      </c>
      <c r="C3683" s="184">
        <v>4</v>
      </c>
      <c r="D3683" s="184" t="s">
        <v>751</v>
      </c>
    </row>
    <row r="3684" spans="1:4" ht="12.5">
      <c r="A3684" s="186">
        <v>46173</v>
      </c>
      <c r="B3684" s="184">
        <v>7002664948</v>
      </c>
      <c r="C3684" s="184">
        <v>3</v>
      </c>
      <c r="D3684" s="184" t="s">
        <v>751</v>
      </c>
    </row>
    <row r="3685" spans="1:4" ht="12.5">
      <c r="A3685" s="186">
        <v>46173</v>
      </c>
      <c r="B3685" s="184">
        <v>7002664953</v>
      </c>
      <c r="C3685" s="184">
        <v>2</v>
      </c>
      <c r="D3685" s="184" t="s">
        <v>751</v>
      </c>
    </row>
    <row r="3686" spans="1:4" ht="12.5">
      <c r="A3686" s="186">
        <v>46173</v>
      </c>
      <c r="B3686" s="184">
        <v>7002665522</v>
      </c>
      <c r="C3686" s="184">
        <v>1</v>
      </c>
      <c r="D3686" s="184" t="s">
        <v>750</v>
      </c>
    </row>
    <row r="3687" spans="1:4" ht="12.5">
      <c r="A3687" s="186">
        <v>46173</v>
      </c>
      <c r="B3687" s="184">
        <v>7002665777</v>
      </c>
      <c r="C3687" s="184">
        <v>22</v>
      </c>
      <c r="D3687" s="184" t="s">
        <v>752</v>
      </c>
    </row>
    <row r="3688" spans="1:4" ht="12.5">
      <c r="A3688" s="186">
        <v>46173</v>
      </c>
      <c r="B3688" s="184">
        <v>7002665970</v>
      </c>
      <c r="C3688" s="184">
        <v>4</v>
      </c>
      <c r="D3688" s="184" t="s">
        <v>751</v>
      </c>
    </row>
    <row r="3689" spans="1:4" ht="12.5">
      <c r="A3689" s="186">
        <v>46173</v>
      </c>
      <c r="B3689" s="184">
        <v>7002666900</v>
      </c>
      <c r="C3689" s="184">
        <v>5</v>
      </c>
      <c r="D3689" s="184" t="s">
        <v>751</v>
      </c>
    </row>
    <row r="3690" spans="1:4" ht="12.5">
      <c r="A3690" s="186">
        <v>46173</v>
      </c>
      <c r="B3690" s="184">
        <v>7002667290</v>
      </c>
      <c r="C3690" s="184">
        <v>2</v>
      </c>
      <c r="D3690" s="184" t="s">
        <v>751</v>
      </c>
    </row>
    <row r="3691" spans="1:4" ht="12.5">
      <c r="A3691" s="186">
        <v>46173</v>
      </c>
      <c r="B3691" s="184">
        <v>7002667780</v>
      </c>
      <c r="C3691" s="184">
        <v>1</v>
      </c>
      <c r="D3691" s="184" t="s">
        <v>750</v>
      </c>
    </row>
    <row r="3692" spans="1:4" ht="12.5">
      <c r="A3692" s="186">
        <v>46173</v>
      </c>
      <c r="B3692" s="184">
        <v>7002667818</v>
      </c>
      <c r="C3692" s="184">
        <v>7</v>
      </c>
      <c r="D3692" s="184" t="s">
        <v>758</v>
      </c>
    </row>
    <row r="3693" spans="1:4" ht="12.5">
      <c r="A3693" s="186">
        <v>46173</v>
      </c>
      <c r="B3693" s="184">
        <v>7002667839</v>
      </c>
      <c r="C3693" s="184">
        <v>16</v>
      </c>
      <c r="D3693" s="184" t="s">
        <v>752</v>
      </c>
    </row>
    <row r="3694" spans="1:4" ht="12.5">
      <c r="A3694" s="186">
        <v>46173</v>
      </c>
      <c r="B3694" s="184">
        <v>7002667917</v>
      </c>
      <c r="C3694" s="184">
        <v>2</v>
      </c>
      <c r="D3694" s="184" t="s">
        <v>751</v>
      </c>
    </row>
    <row r="3695" spans="1:4" ht="12.5">
      <c r="A3695" s="186">
        <v>46173</v>
      </c>
      <c r="B3695" s="184">
        <v>7002667940</v>
      </c>
      <c r="C3695" s="184">
        <v>1</v>
      </c>
      <c r="D3695" s="184" t="s">
        <v>750</v>
      </c>
    </row>
    <row r="3696" spans="1:4" ht="12.5">
      <c r="A3696" s="186">
        <v>46173</v>
      </c>
      <c r="B3696" s="184">
        <v>7002668803</v>
      </c>
      <c r="C3696" s="184">
        <v>5</v>
      </c>
      <c r="D3696" s="184" t="s">
        <v>751</v>
      </c>
    </row>
    <row r="3697" spans="1:4" ht="12.5">
      <c r="A3697" s="186">
        <v>46173</v>
      </c>
      <c r="B3697" s="184">
        <v>7002668857</v>
      </c>
      <c r="C3697" s="184">
        <v>4</v>
      </c>
      <c r="D3697" s="184" t="s">
        <v>751</v>
      </c>
    </row>
    <row r="3698" spans="1:4" ht="12.5">
      <c r="A3698" s="186">
        <v>46173</v>
      </c>
      <c r="B3698" s="184">
        <v>7002669782</v>
      </c>
      <c r="C3698" s="184">
        <v>2</v>
      </c>
      <c r="D3698" s="184" t="s">
        <v>751</v>
      </c>
    </row>
    <row r="3699" spans="1:4" ht="12.5">
      <c r="A3699" s="186">
        <v>46173</v>
      </c>
      <c r="B3699" s="184">
        <v>7002669836</v>
      </c>
      <c r="C3699" s="184">
        <v>2</v>
      </c>
      <c r="D3699" s="184" t="s">
        <v>751</v>
      </c>
    </row>
    <row r="3700" spans="1:4" ht="12.5">
      <c r="A3700" s="186">
        <v>46173</v>
      </c>
      <c r="B3700" s="184">
        <v>7002669870</v>
      </c>
      <c r="C3700" s="184">
        <v>4</v>
      </c>
      <c r="D3700" s="184" t="s">
        <v>751</v>
      </c>
    </row>
    <row r="3701" spans="1:4" ht="12.5">
      <c r="A3701" s="186">
        <v>46173</v>
      </c>
      <c r="B3701" s="184">
        <v>7002670461</v>
      </c>
      <c r="C3701" s="184">
        <v>1</v>
      </c>
      <c r="D3701" s="184" t="s">
        <v>750</v>
      </c>
    </row>
    <row r="3702" spans="1:4" ht="12.5">
      <c r="A3702" s="186">
        <v>46173</v>
      </c>
      <c r="B3702" s="184">
        <v>7002670904</v>
      </c>
      <c r="C3702" s="184">
        <v>13</v>
      </c>
      <c r="D3702" s="184" t="s">
        <v>752</v>
      </c>
    </row>
    <row r="3703" spans="1:4" ht="12.5">
      <c r="A3703" s="186">
        <v>46173</v>
      </c>
      <c r="B3703" s="184">
        <v>7002671292</v>
      </c>
      <c r="C3703" s="184">
        <v>5</v>
      </c>
      <c r="D3703" s="184" t="s">
        <v>751</v>
      </c>
    </row>
    <row r="3704" spans="1:4" ht="12.5">
      <c r="A3704" s="186">
        <v>46173</v>
      </c>
      <c r="B3704" s="184">
        <v>7002671306</v>
      </c>
      <c r="C3704" s="184">
        <v>5</v>
      </c>
      <c r="D3704" s="184" t="s">
        <v>751</v>
      </c>
    </row>
    <row r="3705" spans="1:4" ht="12.5">
      <c r="A3705" s="186">
        <v>46173</v>
      </c>
      <c r="B3705" s="184">
        <v>7002671399</v>
      </c>
      <c r="C3705" s="184">
        <v>12</v>
      </c>
      <c r="D3705" s="184" t="s">
        <v>752</v>
      </c>
    </row>
    <row r="3706" spans="1:4" ht="12.5">
      <c r="A3706" s="186">
        <v>46173</v>
      </c>
      <c r="B3706" s="184">
        <v>7002671862</v>
      </c>
      <c r="C3706" s="184">
        <v>29</v>
      </c>
      <c r="D3706" s="184" t="s">
        <v>752</v>
      </c>
    </row>
    <row r="3707" spans="1:4" ht="12.5">
      <c r="A3707" s="186">
        <v>46173</v>
      </c>
      <c r="B3707" s="184">
        <v>7002672289</v>
      </c>
      <c r="C3707" s="184">
        <v>5</v>
      </c>
      <c r="D3707" s="184" t="s">
        <v>751</v>
      </c>
    </row>
    <row r="3708" spans="1:4" ht="12.5">
      <c r="A3708" s="186">
        <v>46173</v>
      </c>
      <c r="B3708" s="184">
        <v>7002672291</v>
      </c>
      <c r="C3708" s="184">
        <v>5</v>
      </c>
      <c r="D3708" s="184" t="s">
        <v>751</v>
      </c>
    </row>
    <row r="3709" spans="1:4" ht="12.5">
      <c r="A3709" s="186">
        <v>46173</v>
      </c>
      <c r="B3709" s="184">
        <v>7002673416</v>
      </c>
      <c r="C3709" s="184">
        <v>2</v>
      </c>
      <c r="D3709" s="184" t="s">
        <v>751</v>
      </c>
    </row>
    <row r="3710" spans="1:4" ht="12.5">
      <c r="A3710" s="186">
        <v>46173</v>
      </c>
      <c r="B3710" s="184">
        <v>7002674552</v>
      </c>
      <c r="C3710" s="184">
        <v>2</v>
      </c>
      <c r="D3710" s="184" t="s">
        <v>751</v>
      </c>
    </row>
    <row r="3711" spans="1:4" ht="12.5">
      <c r="A3711" s="186">
        <v>46173</v>
      </c>
      <c r="B3711" s="184">
        <v>7002675064</v>
      </c>
      <c r="C3711" s="184">
        <v>1</v>
      </c>
      <c r="D3711" s="184" t="s">
        <v>750</v>
      </c>
    </row>
    <row r="3712" spans="1:4" ht="12.5">
      <c r="A3712" s="186">
        <v>46173</v>
      </c>
      <c r="B3712" s="184">
        <v>7002675923</v>
      </c>
      <c r="C3712" s="184">
        <v>1</v>
      </c>
      <c r="D3712" s="184" t="s">
        <v>750</v>
      </c>
    </row>
    <row r="3713" spans="1:4" ht="12.5">
      <c r="A3713" s="186">
        <v>46173</v>
      </c>
      <c r="B3713" s="184">
        <v>7002675934</v>
      </c>
      <c r="C3713" s="184">
        <v>1</v>
      </c>
      <c r="D3713" s="184" t="s">
        <v>750</v>
      </c>
    </row>
    <row r="3714" spans="1:4" ht="12.5">
      <c r="A3714" s="186">
        <v>46173</v>
      </c>
      <c r="B3714" s="184">
        <v>7002676823</v>
      </c>
      <c r="C3714" s="184">
        <v>49</v>
      </c>
      <c r="D3714" s="184" t="s">
        <v>752</v>
      </c>
    </row>
    <row r="3715" spans="1:4" ht="12.5">
      <c r="A3715" s="186">
        <v>46173</v>
      </c>
      <c r="B3715" s="184">
        <v>7002677061</v>
      </c>
      <c r="C3715" s="184">
        <v>7</v>
      </c>
      <c r="D3715" s="184" t="s">
        <v>758</v>
      </c>
    </row>
    <row r="3716" spans="1:4" ht="12.5">
      <c r="A3716" s="186">
        <v>46173</v>
      </c>
      <c r="B3716" s="184">
        <v>7002677977</v>
      </c>
      <c r="C3716" s="184">
        <v>3</v>
      </c>
      <c r="D3716" s="184" t="s">
        <v>751</v>
      </c>
    </row>
    <row r="3717" spans="1:4" ht="12.5">
      <c r="A3717" s="186">
        <v>46173</v>
      </c>
      <c r="B3717" s="184">
        <v>7002678921</v>
      </c>
      <c r="C3717" s="184">
        <v>2</v>
      </c>
      <c r="D3717" s="184" t="s">
        <v>751</v>
      </c>
    </row>
    <row r="3718" spans="1:4" ht="12.5">
      <c r="A3718" s="186">
        <v>46173</v>
      </c>
      <c r="B3718" s="184">
        <v>7002679016</v>
      </c>
      <c r="C3718" s="184">
        <v>4</v>
      </c>
      <c r="D3718" s="184" t="s">
        <v>751</v>
      </c>
    </row>
    <row r="3719" spans="1:4" ht="12.5">
      <c r="A3719" s="186">
        <v>46173</v>
      </c>
      <c r="B3719" s="184">
        <v>7002679946</v>
      </c>
      <c r="C3719" s="184">
        <v>6</v>
      </c>
      <c r="D3719" s="184" t="s">
        <v>758</v>
      </c>
    </row>
    <row r="3720" spans="1:4" ht="12.5">
      <c r="A3720" s="186">
        <v>46173</v>
      </c>
      <c r="B3720" s="184">
        <v>7002680027</v>
      </c>
      <c r="C3720" s="184">
        <v>13</v>
      </c>
      <c r="D3720" s="184" t="s">
        <v>752</v>
      </c>
    </row>
    <row r="3721" spans="1:4" ht="12.5">
      <c r="A3721" s="186">
        <v>46173</v>
      </c>
      <c r="B3721" s="184">
        <v>7002680036</v>
      </c>
      <c r="C3721" s="184">
        <v>1</v>
      </c>
      <c r="D3721" s="184" t="s">
        <v>750</v>
      </c>
    </row>
    <row r="3722" spans="1:4" ht="12.5">
      <c r="A3722" s="186">
        <v>46173</v>
      </c>
      <c r="B3722" s="184">
        <v>7002680386</v>
      </c>
      <c r="C3722" s="184">
        <v>9</v>
      </c>
      <c r="D3722" s="184" t="s">
        <v>758</v>
      </c>
    </row>
    <row r="3723" spans="1:4" ht="12.5">
      <c r="A3723" s="186">
        <v>46173</v>
      </c>
      <c r="B3723" s="184">
        <v>7002680737</v>
      </c>
      <c r="C3723" s="184">
        <v>1</v>
      </c>
      <c r="D3723" s="184" t="s">
        <v>750</v>
      </c>
    </row>
    <row r="3724" spans="1:4" ht="12.5">
      <c r="A3724" s="186">
        <v>46173</v>
      </c>
      <c r="B3724" s="184">
        <v>7002680759</v>
      </c>
      <c r="C3724" s="184">
        <v>189</v>
      </c>
      <c r="D3724" s="184" t="s">
        <v>752</v>
      </c>
    </row>
    <row r="3725" spans="1:4" ht="12.5">
      <c r="A3725" s="186">
        <v>46173</v>
      </c>
      <c r="B3725" s="184">
        <v>7002680771</v>
      </c>
      <c r="C3725" s="184">
        <v>2</v>
      </c>
      <c r="D3725" s="184" t="s">
        <v>751</v>
      </c>
    </row>
    <row r="3726" spans="1:4" ht="12.5">
      <c r="A3726" s="186">
        <v>46173</v>
      </c>
      <c r="B3726" s="184">
        <v>7002680785</v>
      </c>
      <c r="C3726" s="184">
        <v>33</v>
      </c>
      <c r="D3726" s="184" t="s">
        <v>752</v>
      </c>
    </row>
    <row r="3727" spans="1:4" ht="12.5">
      <c r="A3727" s="186">
        <v>46173</v>
      </c>
      <c r="B3727" s="184">
        <v>7002680808</v>
      </c>
      <c r="C3727" s="184">
        <v>78</v>
      </c>
      <c r="D3727" s="184" t="s">
        <v>752</v>
      </c>
    </row>
    <row r="3728" spans="1:4" ht="12.5">
      <c r="A3728" s="186">
        <v>46173</v>
      </c>
      <c r="B3728" s="184">
        <v>7002681247</v>
      </c>
      <c r="C3728" s="184">
        <v>1</v>
      </c>
      <c r="D3728" s="184" t="s">
        <v>750</v>
      </c>
    </row>
    <row r="3729" spans="1:4" ht="12.5">
      <c r="A3729" s="186">
        <v>46173</v>
      </c>
      <c r="B3729" s="184">
        <v>7002681300</v>
      </c>
      <c r="C3729" s="184">
        <v>1</v>
      </c>
      <c r="D3729" s="184" t="s">
        <v>750</v>
      </c>
    </row>
    <row r="3730" spans="1:4" ht="12.5">
      <c r="A3730" s="186">
        <v>46173</v>
      </c>
      <c r="B3730" s="184">
        <v>7002681409</v>
      </c>
      <c r="C3730" s="184">
        <v>1</v>
      </c>
      <c r="D3730" s="184" t="s">
        <v>750</v>
      </c>
    </row>
    <row r="3731" spans="1:4" ht="12.5">
      <c r="A3731" s="186">
        <v>46173</v>
      </c>
      <c r="B3731" s="184">
        <v>7002681664</v>
      </c>
      <c r="C3731" s="184">
        <v>10</v>
      </c>
      <c r="D3731" s="184" t="s">
        <v>758</v>
      </c>
    </row>
    <row r="3732" spans="1:4" ht="12.5">
      <c r="A3732" s="186">
        <v>46173</v>
      </c>
      <c r="B3732" s="184">
        <v>7002681715</v>
      </c>
      <c r="C3732" s="184">
        <v>63</v>
      </c>
      <c r="D3732" s="184" t="s">
        <v>752</v>
      </c>
    </row>
    <row r="3733" spans="1:4" ht="12.5">
      <c r="A3733" s="186">
        <v>46173</v>
      </c>
      <c r="B3733" s="184">
        <v>7002681758</v>
      </c>
      <c r="C3733" s="184">
        <v>12</v>
      </c>
      <c r="D3733" s="184" t="s">
        <v>752</v>
      </c>
    </row>
    <row r="3734" spans="1:4" ht="12.5">
      <c r="A3734" s="186">
        <v>46173</v>
      </c>
      <c r="B3734" s="184">
        <v>7002681762</v>
      </c>
      <c r="C3734" s="184">
        <v>5</v>
      </c>
      <c r="D3734" s="184" t="s">
        <v>751</v>
      </c>
    </row>
    <row r="3735" spans="1:4" ht="12.5">
      <c r="A3735" s="186">
        <v>46173</v>
      </c>
      <c r="B3735" s="184">
        <v>7002681789</v>
      </c>
      <c r="C3735" s="184">
        <v>7</v>
      </c>
      <c r="D3735" s="184" t="s">
        <v>758</v>
      </c>
    </row>
    <row r="3736" spans="1:4" ht="12.5">
      <c r="A3736" s="186">
        <v>46173</v>
      </c>
      <c r="B3736" s="184">
        <v>7002681830</v>
      </c>
      <c r="C3736" s="184">
        <v>2</v>
      </c>
      <c r="D3736" s="184" t="s">
        <v>751</v>
      </c>
    </row>
    <row r="3737" spans="1:4" ht="12.5">
      <c r="A3737" s="186">
        <v>46173</v>
      </c>
      <c r="B3737" s="184">
        <v>7002681876</v>
      </c>
      <c r="C3737" s="184">
        <v>2</v>
      </c>
      <c r="D3737" s="184" t="s">
        <v>751</v>
      </c>
    </row>
    <row r="3738" spans="1:4" ht="12.5">
      <c r="A3738" s="186">
        <v>46173</v>
      </c>
      <c r="B3738" s="184">
        <v>7002681895</v>
      </c>
      <c r="C3738" s="184">
        <v>1</v>
      </c>
      <c r="D3738" s="184" t="s">
        <v>750</v>
      </c>
    </row>
    <row r="3739" spans="1:4" ht="12.5">
      <c r="A3739" s="186">
        <v>46173</v>
      </c>
      <c r="B3739" s="184">
        <v>7002682267</v>
      </c>
      <c r="C3739" s="184">
        <v>4</v>
      </c>
      <c r="D3739" s="184" t="s">
        <v>751</v>
      </c>
    </row>
    <row r="3740" spans="1:4" ht="12.5">
      <c r="A3740" s="186">
        <v>46173</v>
      </c>
      <c r="B3740" s="184">
        <v>7002682408</v>
      </c>
      <c r="C3740" s="184">
        <v>6</v>
      </c>
      <c r="D3740" s="184" t="s">
        <v>758</v>
      </c>
    </row>
    <row r="3741" spans="1:4" ht="12.5">
      <c r="A3741" s="186">
        <v>46173</v>
      </c>
      <c r="B3741" s="184">
        <v>7002682663</v>
      </c>
      <c r="C3741" s="184">
        <v>7</v>
      </c>
      <c r="D3741" s="184" t="s">
        <v>758</v>
      </c>
    </row>
    <row r="3742" spans="1:4" ht="12.5">
      <c r="A3742" s="186">
        <v>46173</v>
      </c>
      <c r="B3742" s="184">
        <v>7002682703</v>
      </c>
      <c r="C3742" s="184">
        <v>12</v>
      </c>
      <c r="D3742" s="184" t="s">
        <v>752</v>
      </c>
    </row>
    <row r="3743" spans="1:4" ht="12.5">
      <c r="A3743" s="186">
        <v>46173</v>
      </c>
      <c r="B3743" s="184">
        <v>7002682790</v>
      </c>
      <c r="C3743" s="184">
        <v>1</v>
      </c>
      <c r="D3743" s="184" t="s">
        <v>750</v>
      </c>
    </row>
    <row r="3744" spans="1:4" ht="12.5">
      <c r="A3744" s="186">
        <v>46173</v>
      </c>
      <c r="B3744" s="184">
        <v>7002682881</v>
      </c>
      <c r="C3744" s="184">
        <v>6</v>
      </c>
      <c r="D3744" s="184" t="s">
        <v>758</v>
      </c>
    </row>
    <row r="3745" spans="1:4" ht="12.5">
      <c r="A3745" s="186">
        <v>46173</v>
      </c>
      <c r="B3745" s="184">
        <v>7002682911</v>
      </c>
      <c r="C3745" s="184">
        <v>28</v>
      </c>
      <c r="D3745" s="184" t="s">
        <v>752</v>
      </c>
    </row>
    <row r="3746" spans="1:4" ht="12.5">
      <c r="A3746" s="186">
        <v>46173</v>
      </c>
      <c r="B3746" s="184">
        <v>7002683453</v>
      </c>
      <c r="C3746" s="184">
        <v>2</v>
      </c>
      <c r="D3746" s="184" t="s">
        <v>751</v>
      </c>
    </row>
    <row r="3747" spans="1:4" ht="12.5">
      <c r="A3747" s="186">
        <v>46173</v>
      </c>
      <c r="B3747" s="184">
        <v>7002683756</v>
      </c>
      <c r="C3747" s="184">
        <v>1</v>
      </c>
      <c r="D3747" s="184" t="s">
        <v>750</v>
      </c>
    </row>
    <row r="3748" spans="1:4" ht="12.5">
      <c r="A3748" s="186">
        <v>46173</v>
      </c>
      <c r="B3748" s="184">
        <v>7002683773</v>
      </c>
      <c r="C3748" s="184">
        <v>2</v>
      </c>
      <c r="D3748" s="184" t="s">
        <v>751</v>
      </c>
    </row>
    <row r="3749" spans="1:4" ht="12.5">
      <c r="A3749" s="186">
        <v>46173</v>
      </c>
      <c r="B3749" s="184">
        <v>7002683794</v>
      </c>
      <c r="C3749" s="184">
        <v>140</v>
      </c>
      <c r="D3749" s="184" t="s">
        <v>752</v>
      </c>
    </row>
    <row r="3750" spans="1:4" ht="12.5">
      <c r="A3750" s="186">
        <v>46173</v>
      </c>
      <c r="B3750" s="184">
        <v>7002683805</v>
      </c>
      <c r="C3750" s="184">
        <v>17</v>
      </c>
      <c r="D3750" s="184" t="s">
        <v>752</v>
      </c>
    </row>
    <row r="3751" spans="1:4" ht="12.5">
      <c r="A3751" s="186">
        <v>46173</v>
      </c>
      <c r="B3751" s="184">
        <v>7002683822</v>
      </c>
      <c r="C3751" s="184">
        <v>3</v>
      </c>
      <c r="D3751" s="184" t="s">
        <v>751</v>
      </c>
    </row>
    <row r="3752" spans="1:4" ht="12.5">
      <c r="A3752" s="186">
        <v>46173</v>
      </c>
      <c r="B3752" s="184">
        <v>7002683947</v>
      </c>
      <c r="C3752" s="184">
        <v>16</v>
      </c>
      <c r="D3752" s="184" t="s">
        <v>752</v>
      </c>
    </row>
    <row r="3753" spans="1:4" ht="12.5">
      <c r="A3753" s="186">
        <v>46173</v>
      </c>
      <c r="B3753" s="184">
        <v>7002683952</v>
      </c>
      <c r="C3753" s="184">
        <v>1</v>
      </c>
      <c r="D3753" s="184" t="s">
        <v>750</v>
      </c>
    </row>
    <row r="3754" spans="1:4" ht="12.5">
      <c r="A3754" s="186">
        <v>46173</v>
      </c>
      <c r="B3754" s="184">
        <v>7002683968</v>
      </c>
      <c r="C3754" s="184">
        <v>16</v>
      </c>
      <c r="D3754" s="184" t="s">
        <v>752</v>
      </c>
    </row>
    <row r="3755" spans="1:4" ht="12.5">
      <c r="A3755" s="186">
        <v>46173</v>
      </c>
      <c r="B3755" s="184">
        <v>7002684124</v>
      </c>
      <c r="C3755" s="184">
        <v>1</v>
      </c>
      <c r="D3755" s="184" t="s">
        <v>750</v>
      </c>
    </row>
    <row r="3756" spans="1:4" ht="12.5">
      <c r="A3756" s="186">
        <v>46173</v>
      </c>
      <c r="B3756" s="184">
        <v>7002684265</v>
      </c>
      <c r="C3756" s="184">
        <v>1</v>
      </c>
      <c r="D3756" s="184" t="s">
        <v>750</v>
      </c>
    </row>
    <row r="3757" spans="1:4" ht="12.5">
      <c r="A3757" s="186">
        <v>46173</v>
      </c>
      <c r="B3757" s="184">
        <v>7002684878</v>
      </c>
      <c r="C3757" s="184">
        <v>1</v>
      </c>
      <c r="D3757" s="184" t="s">
        <v>750</v>
      </c>
    </row>
    <row r="3758" spans="1:4" ht="12.5">
      <c r="A3758" s="186">
        <v>46173</v>
      </c>
      <c r="B3758" s="184">
        <v>7002684998</v>
      </c>
      <c r="C3758" s="184">
        <v>7</v>
      </c>
      <c r="D3758" s="184" t="s">
        <v>758</v>
      </c>
    </row>
    <row r="3759" spans="1:4" ht="12.5">
      <c r="A3759" s="186">
        <v>46173</v>
      </c>
      <c r="B3759" s="184">
        <v>7002685189</v>
      </c>
      <c r="C3759" s="184">
        <v>2</v>
      </c>
      <c r="D3759" s="184" t="s">
        <v>751</v>
      </c>
    </row>
    <row r="3760" spans="1:4" ht="12.5">
      <c r="A3760" s="186">
        <v>46173</v>
      </c>
      <c r="B3760" s="184">
        <v>7002685779</v>
      </c>
      <c r="C3760" s="184">
        <v>1</v>
      </c>
      <c r="D3760" s="184" t="s">
        <v>750</v>
      </c>
    </row>
    <row r="3761" spans="1:4" ht="12.5">
      <c r="A3761" s="186">
        <v>46173</v>
      </c>
      <c r="B3761" s="184">
        <v>7002685780</v>
      </c>
      <c r="C3761" s="184">
        <v>189</v>
      </c>
      <c r="D3761" s="184" t="s">
        <v>752</v>
      </c>
    </row>
    <row r="3762" spans="1:4" ht="12.5">
      <c r="A3762" s="186">
        <v>46173</v>
      </c>
      <c r="B3762" s="184">
        <v>7002685798</v>
      </c>
      <c r="C3762" s="184">
        <v>3</v>
      </c>
      <c r="D3762" s="184" t="s">
        <v>751</v>
      </c>
    </row>
    <row r="3763" spans="1:4" ht="12.5">
      <c r="A3763" s="186">
        <v>46173</v>
      </c>
      <c r="B3763" s="184">
        <v>7002685873</v>
      </c>
      <c r="C3763" s="184">
        <v>5</v>
      </c>
      <c r="D3763" s="184" t="s">
        <v>751</v>
      </c>
    </row>
    <row r="3764" spans="1:4" ht="12.5">
      <c r="A3764" s="186">
        <v>46173</v>
      </c>
      <c r="B3764" s="184">
        <v>7002685894</v>
      </c>
      <c r="C3764" s="184">
        <v>1</v>
      </c>
      <c r="D3764" s="184" t="s">
        <v>750</v>
      </c>
    </row>
    <row r="3765" spans="1:4" ht="12.5">
      <c r="A3765" s="186">
        <v>46173</v>
      </c>
      <c r="B3765" s="184">
        <v>7002686011</v>
      </c>
      <c r="C3765" s="184">
        <v>5</v>
      </c>
      <c r="D3765" s="184" t="s">
        <v>751</v>
      </c>
    </row>
    <row r="3766" spans="1:4" ht="12.5">
      <c r="A3766" s="186">
        <v>46173</v>
      </c>
      <c r="B3766" s="184">
        <v>7002686128</v>
      </c>
      <c r="C3766" s="184">
        <v>3</v>
      </c>
      <c r="D3766" s="184" t="s">
        <v>751</v>
      </c>
    </row>
    <row r="3767" spans="1:4" ht="12.5">
      <c r="A3767" s="186">
        <v>46173</v>
      </c>
      <c r="B3767" s="184">
        <v>7002686171</v>
      </c>
      <c r="C3767" s="184">
        <v>5</v>
      </c>
      <c r="D3767" s="184" t="s">
        <v>751</v>
      </c>
    </row>
    <row r="3768" spans="1:4" ht="12.5">
      <c r="A3768" s="186">
        <v>46173</v>
      </c>
      <c r="B3768" s="184">
        <v>7002686666</v>
      </c>
      <c r="C3768" s="184">
        <v>2</v>
      </c>
      <c r="D3768" s="184" t="s">
        <v>751</v>
      </c>
    </row>
    <row r="3769" spans="1:4" ht="12.5">
      <c r="A3769" s="186">
        <v>46173</v>
      </c>
      <c r="B3769" s="184">
        <v>7002686799</v>
      </c>
      <c r="C3769" s="184">
        <v>5</v>
      </c>
      <c r="D3769" s="184" t="s">
        <v>751</v>
      </c>
    </row>
    <row r="3770" spans="1:4" ht="12.5">
      <c r="A3770" s="186">
        <v>46173</v>
      </c>
      <c r="B3770" s="184">
        <v>7002686890</v>
      </c>
      <c r="C3770" s="184">
        <v>8</v>
      </c>
      <c r="D3770" s="184" t="s">
        <v>758</v>
      </c>
    </row>
    <row r="3771" spans="1:4" ht="12.5">
      <c r="A3771" s="186">
        <v>46173</v>
      </c>
      <c r="B3771" s="184">
        <v>7002687748</v>
      </c>
      <c r="C3771" s="184">
        <v>1</v>
      </c>
      <c r="D3771" s="184" t="s">
        <v>750</v>
      </c>
    </row>
    <row r="3772" spans="1:4" ht="12.5">
      <c r="A3772" s="186">
        <v>46173</v>
      </c>
      <c r="B3772" s="184">
        <v>7002687769</v>
      </c>
      <c r="C3772" s="184">
        <v>3</v>
      </c>
      <c r="D3772" s="184" t="s">
        <v>751</v>
      </c>
    </row>
    <row r="3773" spans="1:4" ht="12.5">
      <c r="A3773" s="186">
        <v>46173</v>
      </c>
      <c r="B3773" s="184">
        <v>7002687815</v>
      </c>
      <c r="C3773" s="184">
        <v>2</v>
      </c>
      <c r="D3773" s="184" t="s">
        <v>751</v>
      </c>
    </row>
    <row r="3774" spans="1:4" ht="12.5">
      <c r="A3774" s="186">
        <v>46173</v>
      </c>
      <c r="B3774" s="184">
        <v>7002687889</v>
      </c>
      <c r="C3774" s="184">
        <v>2</v>
      </c>
      <c r="D3774" s="184" t="s">
        <v>751</v>
      </c>
    </row>
    <row r="3775" spans="1:4" ht="12.5">
      <c r="A3775" s="186">
        <v>46173</v>
      </c>
      <c r="B3775" s="184">
        <v>7002687891</v>
      </c>
      <c r="C3775" s="184">
        <v>7</v>
      </c>
      <c r="D3775" s="184" t="s">
        <v>758</v>
      </c>
    </row>
    <row r="3776" spans="1:4" ht="12.5">
      <c r="A3776" s="186">
        <v>46173</v>
      </c>
      <c r="B3776" s="184">
        <v>7002688720</v>
      </c>
      <c r="C3776" s="184">
        <v>3</v>
      </c>
      <c r="D3776" s="184" t="s">
        <v>751</v>
      </c>
    </row>
    <row r="3777" spans="1:4" ht="12.5">
      <c r="A3777" s="186">
        <v>46173</v>
      </c>
      <c r="B3777" s="184">
        <v>7002688731</v>
      </c>
      <c r="C3777" s="184">
        <v>12</v>
      </c>
      <c r="D3777" s="184" t="s">
        <v>752</v>
      </c>
    </row>
    <row r="3778" spans="1:4" ht="12.5">
      <c r="A3778" s="186">
        <v>46173</v>
      </c>
      <c r="B3778" s="184">
        <v>7002688816</v>
      </c>
      <c r="C3778" s="184">
        <v>25</v>
      </c>
      <c r="D3778" s="184" t="s">
        <v>752</v>
      </c>
    </row>
    <row r="3779" spans="1:4" ht="12.5">
      <c r="A3779" s="186">
        <v>46173</v>
      </c>
      <c r="B3779" s="184">
        <v>7002688859</v>
      </c>
      <c r="C3779" s="184">
        <v>1</v>
      </c>
      <c r="D3779" s="184" t="s">
        <v>750</v>
      </c>
    </row>
    <row r="3780" spans="1:4" ht="12.5">
      <c r="A3780" s="186">
        <v>46173</v>
      </c>
      <c r="B3780" s="184">
        <v>7002688871</v>
      </c>
      <c r="C3780" s="184">
        <v>2</v>
      </c>
      <c r="D3780" s="184" t="s">
        <v>751</v>
      </c>
    </row>
    <row r="3781" spans="1:4" ht="12.5">
      <c r="A3781" s="186">
        <v>46173</v>
      </c>
      <c r="B3781" s="184">
        <v>7002688927</v>
      </c>
      <c r="C3781" s="184">
        <v>13</v>
      </c>
      <c r="D3781" s="184" t="s">
        <v>752</v>
      </c>
    </row>
    <row r="3782" spans="1:4" ht="12.5">
      <c r="A3782" s="186">
        <v>46173</v>
      </c>
      <c r="B3782" s="184">
        <v>7002688958</v>
      </c>
      <c r="C3782" s="184">
        <v>5</v>
      </c>
      <c r="D3782" s="184" t="s">
        <v>751</v>
      </c>
    </row>
    <row r="3783" spans="1:4" ht="12.5">
      <c r="A3783" s="186">
        <v>46173</v>
      </c>
      <c r="B3783" s="184">
        <v>7002689745</v>
      </c>
      <c r="C3783" s="184">
        <v>46</v>
      </c>
      <c r="D3783" s="184" t="s">
        <v>752</v>
      </c>
    </row>
    <row r="3784" spans="1:4" ht="12.5">
      <c r="A3784" s="186">
        <v>46173</v>
      </c>
      <c r="B3784" s="184">
        <v>7002689855</v>
      </c>
      <c r="C3784" s="184">
        <v>7</v>
      </c>
      <c r="D3784" s="184" t="s">
        <v>758</v>
      </c>
    </row>
    <row r="3785" spans="1:4" ht="12.5">
      <c r="A3785" s="186">
        <v>46173</v>
      </c>
      <c r="B3785" s="184">
        <v>7002689864</v>
      </c>
      <c r="C3785" s="184">
        <v>1</v>
      </c>
      <c r="D3785" s="184" t="s">
        <v>750</v>
      </c>
    </row>
    <row r="3786" spans="1:4" ht="12.5">
      <c r="A3786" s="186">
        <v>46173</v>
      </c>
      <c r="B3786" s="184">
        <v>7002689900</v>
      </c>
      <c r="C3786" s="184">
        <v>1</v>
      </c>
      <c r="D3786" s="184" t="s">
        <v>750</v>
      </c>
    </row>
    <row r="3787" spans="1:4" ht="12.5">
      <c r="A3787" s="186">
        <v>46173</v>
      </c>
      <c r="B3787" s="184">
        <v>7002689959</v>
      </c>
      <c r="C3787" s="184">
        <v>24</v>
      </c>
      <c r="D3787" s="184" t="s">
        <v>752</v>
      </c>
    </row>
    <row r="3788" spans="1:4" ht="12.5">
      <c r="A3788" s="186">
        <v>46173</v>
      </c>
      <c r="B3788" s="184">
        <v>7002690237</v>
      </c>
      <c r="C3788" s="184">
        <v>2</v>
      </c>
      <c r="D3788" s="184" t="s">
        <v>751</v>
      </c>
    </row>
    <row r="3789" spans="1:4" ht="12.5">
      <c r="A3789" s="186">
        <v>46173</v>
      </c>
      <c r="B3789" s="184">
        <v>7002690633</v>
      </c>
      <c r="C3789" s="184">
        <v>2</v>
      </c>
      <c r="D3789" s="184" t="s">
        <v>751</v>
      </c>
    </row>
    <row r="3790" spans="1:4" ht="12.5">
      <c r="A3790" s="186">
        <v>46173</v>
      </c>
      <c r="B3790" s="184">
        <v>7002690815</v>
      </c>
      <c r="C3790" s="184">
        <v>3</v>
      </c>
      <c r="D3790" s="184" t="s">
        <v>751</v>
      </c>
    </row>
    <row r="3791" spans="1:4" ht="12.5">
      <c r="A3791" s="186">
        <v>46173</v>
      </c>
      <c r="B3791" s="184">
        <v>7002691100</v>
      </c>
      <c r="C3791" s="184">
        <v>5</v>
      </c>
      <c r="D3791" s="184" t="s">
        <v>751</v>
      </c>
    </row>
    <row r="3792" spans="1:4" ht="12.5">
      <c r="A3792" s="186">
        <v>46173</v>
      </c>
      <c r="B3792" s="184">
        <v>7002691678</v>
      </c>
      <c r="C3792" s="184">
        <v>6</v>
      </c>
      <c r="D3792" s="184" t="s">
        <v>758</v>
      </c>
    </row>
    <row r="3793" spans="1:4" ht="12.5">
      <c r="A3793" s="186">
        <v>46173</v>
      </c>
      <c r="B3793" s="184">
        <v>7002691684</v>
      </c>
      <c r="C3793" s="184">
        <v>2</v>
      </c>
      <c r="D3793" s="184" t="s">
        <v>751</v>
      </c>
    </row>
    <row r="3794" spans="1:4" ht="12.5">
      <c r="A3794" s="186">
        <v>46173</v>
      </c>
      <c r="B3794" s="184">
        <v>7002692010</v>
      </c>
      <c r="C3794" s="184">
        <v>1</v>
      </c>
      <c r="D3794" s="184" t="s">
        <v>750</v>
      </c>
    </row>
    <row r="3795" spans="1:4" ht="12.5">
      <c r="A3795" s="186">
        <v>46173</v>
      </c>
      <c r="B3795" s="184">
        <v>7002693709</v>
      </c>
      <c r="C3795" s="184">
        <v>2</v>
      </c>
      <c r="D3795" s="184" t="s">
        <v>751</v>
      </c>
    </row>
    <row r="3796" spans="1:4" ht="12.5">
      <c r="A3796" s="186">
        <v>46173</v>
      </c>
      <c r="B3796" s="184">
        <v>7002693745</v>
      </c>
      <c r="C3796" s="184">
        <v>1</v>
      </c>
      <c r="D3796" s="184" t="s">
        <v>750</v>
      </c>
    </row>
    <row r="3797" spans="1:4" ht="12.5">
      <c r="A3797" s="186">
        <v>46173</v>
      </c>
      <c r="B3797" s="184">
        <v>7002693937</v>
      </c>
      <c r="C3797" s="184">
        <v>3</v>
      </c>
      <c r="D3797" s="184" t="s">
        <v>751</v>
      </c>
    </row>
    <row r="3798" spans="1:4" ht="12.5">
      <c r="A3798" s="186">
        <v>46173</v>
      </c>
      <c r="B3798" s="184">
        <v>7002694009</v>
      </c>
      <c r="C3798" s="184">
        <v>17</v>
      </c>
      <c r="D3798" s="184" t="s">
        <v>752</v>
      </c>
    </row>
    <row r="3799" spans="1:4" ht="12.5">
      <c r="A3799" s="186">
        <v>46173</v>
      </c>
      <c r="B3799" s="184">
        <v>7002694623</v>
      </c>
      <c r="C3799" s="184">
        <v>1</v>
      </c>
      <c r="D3799" s="184" t="s">
        <v>750</v>
      </c>
    </row>
    <row r="3800" spans="1:4" ht="12.5">
      <c r="A3800" s="186">
        <v>46173</v>
      </c>
      <c r="B3800" s="184">
        <v>7002694927</v>
      </c>
      <c r="C3800" s="184">
        <v>2</v>
      </c>
      <c r="D3800" s="184" t="s">
        <v>751</v>
      </c>
    </row>
    <row r="3801" spans="1:4" ht="12.5">
      <c r="A3801" s="186">
        <v>46173</v>
      </c>
      <c r="B3801" s="184">
        <v>7002695039</v>
      </c>
      <c r="C3801" s="184">
        <v>3</v>
      </c>
      <c r="D3801" s="184" t="s">
        <v>751</v>
      </c>
    </row>
    <row r="3802" spans="1:4" ht="12.5">
      <c r="A3802" s="186">
        <v>46173</v>
      </c>
      <c r="B3802" s="184">
        <v>7002695637</v>
      </c>
      <c r="C3802" s="184">
        <v>37</v>
      </c>
      <c r="D3802" s="184" t="s">
        <v>752</v>
      </c>
    </row>
    <row r="3803" spans="1:4" ht="12.5">
      <c r="A3803" s="186">
        <v>46173</v>
      </c>
      <c r="B3803" s="184">
        <v>7002695703</v>
      </c>
      <c r="C3803" s="184">
        <v>3</v>
      </c>
      <c r="D3803" s="184" t="s">
        <v>751</v>
      </c>
    </row>
    <row r="3804" spans="1:4" ht="12.5">
      <c r="A3804" s="186">
        <v>46173</v>
      </c>
      <c r="B3804" s="184">
        <v>7002695790</v>
      </c>
      <c r="C3804" s="184">
        <v>1</v>
      </c>
      <c r="D3804" s="184" t="s">
        <v>750</v>
      </c>
    </row>
    <row r="3805" spans="1:4" ht="12.5">
      <c r="A3805" s="186">
        <v>46173</v>
      </c>
      <c r="B3805" s="184">
        <v>7002696573</v>
      </c>
      <c r="C3805" s="184">
        <v>14</v>
      </c>
      <c r="D3805" s="184" t="s">
        <v>752</v>
      </c>
    </row>
    <row r="3806" spans="1:4" ht="12.5">
      <c r="A3806" s="186">
        <v>46173</v>
      </c>
      <c r="B3806" s="184">
        <v>7002696629</v>
      </c>
      <c r="C3806" s="184">
        <v>1</v>
      </c>
      <c r="D3806" s="184" t="s">
        <v>750</v>
      </c>
    </row>
    <row r="3807" spans="1:4" ht="12.5">
      <c r="A3807" s="186">
        <v>46173</v>
      </c>
      <c r="B3807" s="184">
        <v>7002696736</v>
      </c>
      <c r="C3807" s="184">
        <v>5</v>
      </c>
      <c r="D3807" s="184" t="s">
        <v>751</v>
      </c>
    </row>
    <row r="3808" spans="1:4" ht="12.5">
      <c r="A3808" s="186">
        <v>46173</v>
      </c>
      <c r="B3808" s="184">
        <v>7002697588</v>
      </c>
      <c r="C3808" s="184">
        <v>2</v>
      </c>
      <c r="D3808" s="184" t="s">
        <v>751</v>
      </c>
    </row>
    <row r="3809" spans="1:4" ht="12.5">
      <c r="A3809" s="186">
        <v>46173</v>
      </c>
      <c r="B3809" s="184">
        <v>7002697913</v>
      </c>
      <c r="C3809" s="184">
        <v>2</v>
      </c>
      <c r="D3809" s="184" t="s">
        <v>751</v>
      </c>
    </row>
    <row r="3810" spans="1:4" ht="12.5">
      <c r="A3810" s="186">
        <v>46173</v>
      </c>
      <c r="B3810" s="184">
        <v>7002699072</v>
      </c>
      <c r="C3810" s="184">
        <v>1</v>
      </c>
      <c r="D3810" s="184" t="s">
        <v>750</v>
      </c>
    </row>
    <row r="3811" spans="1:4" ht="12.5">
      <c r="A3811" s="186">
        <v>46173</v>
      </c>
      <c r="B3811" s="184">
        <v>7002699453</v>
      </c>
      <c r="C3811" s="184">
        <v>1</v>
      </c>
      <c r="D3811" s="184" t="s">
        <v>750</v>
      </c>
    </row>
    <row r="3812" spans="1:4" ht="12.5">
      <c r="A3812" s="186">
        <v>46173</v>
      </c>
      <c r="B3812" s="184">
        <v>7002699760</v>
      </c>
      <c r="C3812" s="184">
        <v>3</v>
      </c>
      <c r="D3812" s="184" t="s">
        <v>751</v>
      </c>
    </row>
    <row r="3813" spans="1:4" ht="12.5">
      <c r="A3813" s="186">
        <v>46173</v>
      </c>
      <c r="B3813" s="184">
        <v>7002699898</v>
      </c>
      <c r="C3813" s="184">
        <v>5</v>
      </c>
      <c r="D3813" s="184" t="s">
        <v>751</v>
      </c>
    </row>
    <row r="3814" spans="1:4" ht="12.5">
      <c r="A3814" s="186">
        <v>46173</v>
      </c>
      <c r="B3814" s="184">
        <v>7002700192</v>
      </c>
      <c r="C3814" s="184">
        <v>4</v>
      </c>
      <c r="D3814" s="184" t="s">
        <v>751</v>
      </c>
    </row>
    <row r="3815" spans="1:4" ht="12.5">
      <c r="A3815" s="186">
        <v>46173</v>
      </c>
      <c r="B3815" s="184">
        <v>7002700215</v>
      </c>
      <c r="C3815" s="184">
        <v>3</v>
      </c>
      <c r="D3815" s="184" t="s">
        <v>751</v>
      </c>
    </row>
    <row r="3816" spans="1:4" ht="12.5">
      <c r="A3816" s="186">
        <v>46173</v>
      </c>
      <c r="B3816" s="184">
        <v>7002700768</v>
      </c>
      <c r="C3816" s="184">
        <v>3</v>
      </c>
      <c r="D3816" s="184" t="s">
        <v>751</v>
      </c>
    </row>
    <row r="3817" spans="1:4" ht="12.5">
      <c r="A3817" s="186">
        <v>46173</v>
      </c>
      <c r="B3817" s="184">
        <v>7002700888</v>
      </c>
      <c r="C3817" s="184">
        <v>5</v>
      </c>
      <c r="D3817" s="184" t="s">
        <v>751</v>
      </c>
    </row>
    <row r="3818" spans="1:4" ht="12.5">
      <c r="A3818" s="186">
        <v>46173</v>
      </c>
      <c r="B3818" s="184">
        <v>7002701219</v>
      </c>
      <c r="C3818" s="184">
        <v>4</v>
      </c>
      <c r="D3818" s="184" t="s">
        <v>751</v>
      </c>
    </row>
    <row r="3819" spans="1:4" ht="12.5">
      <c r="A3819" s="186">
        <v>46173</v>
      </c>
      <c r="B3819" s="184">
        <v>7002702126</v>
      </c>
      <c r="C3819" s="184">
        <v>1</v>
      </c>
      <c r="D3819" s="184" t="s">
        <v>750</v>
      </c>
    </row>
    <row r="3820" spans="1:4" ht="12.5">
      <c r="A3820" s="186">
        <v>46173</v>
      </c>
      <c r="B3820" s="184">
        <v>7002702188</v>
      </c>
      <c r="C3820" s="184">
        <v>4</v>
      </c>
      <c r="D3820" s="184" t="s">
        <v>751</v>
      </c>
    </row>
    <row r="3821" spans="1:4" ht="12.5">
      <c r="A3821" s="186">
        <v>46173</v>
      </c>
      <c r="B3821" s="184">
        <v>7002702225</v>
      </c>
      <c r="C3821" s="184">
        <v>5</v>
      </c>
      <c r="D3821" s="184" t="s">
        <v>751</v>
      </c>
    </row>
    <row r="3822" spans="1:4" ht="12.5">
      <c r="A3822" s="186">
        <v>46173</v>
      </c>
      <c r="B3822" s="184">
        <v>7002702732</v>
      </c>
      <c r="C3822" s="184">
        <v>37</v>
      </c>
      <c r="D3822" s="184" t="s">
        <v>752</v>
      </c>
    </row>
    <row r="3823" spans="1:4" ht="12.5">
      <c r="A3823" s="186">
        <v>46173</v>
      </c>
      <c r="B3823" s="184">
        <v>7002702750</v>
      </c>
      <c r="C3823" s="184">
        <v>29</v>
      </c>
      <c r="D3823" s="184" t="s">
        <v>752</v>
      </c>
    </row>
    <row r="3824" spans="1:4" ht="12.5">
      <c r="A3824" s="186">
        <v>46173</v>
      </c>
      <c r="B3824" s="184">
        <v>7002702916</v>
      </c>
      <c r="C3824" s="184">
        <v>1</v>
      </c>
      <c r="D3824" s="184" t="s">
        <v>750</v>
      </c>
    </row>
    <row r="3825" spans="1:4" ht="12.5">
      <c r="A3825" s="186">
        <v>46173</v>
      </c>
      <c r="B3825" s="184">
        <v>7002703021</v>
      </c>
      <c r="C3825" s="184">
        <v>4</v>
      </c>
      <c r="D3825" s="184" t="s">
        <v>751</v>
      </c>
    </row>
    <row r="3826" spans="1:4" ht="12.5">
      <c r="A3826" s="186">
        <v>46173</v>
      </c>
      <c r="B3826" s="184">
        <v>7002703139</v>
      </c>
      <c r="C3826" s="184">
        <v>4</v>
      </c>
      <c r="D3826" s="184" t="s">
        <v>751</v>
      </c>
    </row>
    <row r="3827" spans="1:4" ht="12.5">
      <c r="A3827" s="186">
        <v>46173</v>
      </c>
      <c r="B3827" s="184">
        <v>7002704054</v>
      </c>
      <c r="C3827" s="184">
        <v>6</v>
      </c>
      <c r="D3827" s="184" t="s">
        <v>758</v>
      </c>
    </row>
    <row r="3828" spans="1:4" ht="12.5">
      <c r="A3828" s="186">
        <v>46173</v>
      </c>
      <c r="B3828" s="184">
        <v>7002704164</v>
      </c>
      <c r="C3828" s="184">
        <v>6</v>
      </c>
      <c r="D3828" s="184" t="s">
        <v>758</v>
      </c>
    </row>
    <row r="3829" spans="1:4" ht="12.5">
      <c r="A3829" s="186">
        <v>46173</v>
      </c>
      <c r="B3829" s="184">
        <v>7002704172</v>
      </c>
      <c r="C3829" s="184">
        <v>1</v>
      </c>
      <c r="D3829" s="184" t="s">
        <v>750</v>
      </c>
    </row>
    <row r="3830" spans="1:4" ht="12.5">
      <c r="A3830" s="186">
        <v>46173</v>
      </c>
      <c r="B3830" s="184">
        <v>7002704368</v>
      </c>
      <c r="C3830" s="184">
        <v>5</v>
      </c>
      <c r="D3830" s="184" t="s">
        <v>751</v>
      </c>
    </row>
    <row r="3831" spans="1:4" ht="12.5">
      <c r="A3831" s="186">
        <v>46173</v>
      </c>
      <c r="B3831" s="184">
        <v>7002704532</v>
      </c>
      <c r="C3831" s="184">
        <v>2</v>
      </c>
      <c r="D3831" s="184" t="s">
        <v>751</v>
      </c>
    </row>
    <row r="3832" spans="1:4" ht="12.5">
      <c r="A3832" s="186">
        <v>46173</v>
      </c>
      <c r="B3832" s="184">
        <v>7002705223</v>
      </c>
      <c r="C3832" s="184">
        <v>3</v>
      </c>
      <c r="D3832" s="184" t="s">
        <v>751</v>
      </c>
    </row>
    <row r="3833" spans="1:4" ht="12.5">
      <c r="A3833" s="186">
        <v>46173</v>
      </c>
      <c r="B3833" s="184">
        <v>7002705316</v>
      </c>
      <c r="C3833" s="184">
        <v>8</v>
      </c>
      <c r="D3833" s="184" t="s">
        <v>758</v>
      </c>
    </row>
    <row r="3834" spans="1:4" ht="12.5">
      <c r="A3834" s="186">
        <v>46173</v>
      </c>
      <c r="B3834" s="184">
        <v>7002705727</v>
      </c>
      <c r="C3834" s="184">
        <v>2</v>
      </c>
      <c r="D3834" s="184" t="s">
        <v>751</v>
      </c>
    </row>
    <row r="3835" spans="1:4" ht="12.5">
      <c r="A3835" s="186">
        <v>46173</v>
      </c>
      <c r="B3835" s="184">
        <v>7002706282</v>
      </c>
      <c r="C3835" s="184">
        <v>4</v>
      </c>
      <c r="D3835" s="184" t="s">
        <v>751</v>
      </c>
    </row>
    <row r="3836" spans="1:4" ht="12.5">
      <c r="A3836" s="186">
        <v>46173</v>
      </c>
      <c r="B3836" s="184">
        <v>7002706588</v>
      </c>
      <c r="C3836" s="184">
        <v>2</v>
      </c>
      <c r="D3836" s="184" t="s">
        <v>751</v>
      </c>
    </row>
    <row r="3837" spans="1:4" ht="12.5">
      <c r="A3837" s="186">
        <v>46173</v>
      </c>
      <c r="B3837" s="184">
        <v>7002706759</v>
      </c>
      <c r="C3837" s="184">
        <v>2</v>
      </c>
      <c r="D3837" s="184" t="s">
        <v>751</v>
      </c>
    </row>
    <row r="3838" spans="1:4" ht="12.5">
      <c r="A3838" s="186">
        <v>46173</v>
      </c>
      <c r="B3838" s="184">
        <v>7002707092</v>
      </c>
      <c r="C3838" s="184">
        <v>3</v>
      </c>
      <c r="D3838" s="184" t="s">
        <v>751</v>
      </c>
    </row>
    <row r="3839" spans="1:4" ht="12.5">
      <c r="A3839" s="186">
        <v>46173</v>
      </c>
      <c r="B3839" s="184">
        <v>7002707182</v>
      </c>
      <c r="C3839" s="184">
        <v>1</v>
      </c>
      <c r="D3839" s="184" t="s">
        <v>750</v>
      </c>
    </row>
    <row r="3840" spans="1:4" ht="12.5">
      <c r="A3840" s="186">
        <v>46173</v>
      </c>
      <c r="B3840" s="184">
        <v>7002707603</v>
      </c>
      <c r="C3840" s="184">
        <v>5</v>
      </c>
      <c r="D3840" s="184" t="s">
        <v>751</v>
      </c>
    </row>
    <row r="3841" spans="1:4" ht="12.5">
      <c r="A3841" s="186">
        <v>46173</v>
      </c>
      <c r="B3841" s="184">
        <v>7002708131</v>
      </c>
      <c r="C3841" s="184">
        <v>2</v>
      </c>
      <c r="D3841" s="184" t="s">
        <v>751</v>
      </c>
    </row>
    <row r="3842" spans="1:4" ht="12.5">
      <c r="A3842" s="186">
        <v>46173</v>
      </c>
      <c r="B3842" s="184">
        <v>7002708177</v>
      </c>
      <c r="C3842" s="184">
        <v>2</v>
      </c>
      <c r="D3842" s="184" t="s">
        <v>751</v>
      </c>
    </row>
    <row r="3843" spans="1:4" ht="12.5">
      <c r="A3843" s="186">
        <v>46173</v>
      </c>
      <c r="B3843" s="184">
        <v>7002708846</v>
      </c>
      <c r="C3843" s="184">
        <v>1</v>
      </c>
      <c r="D3843" s="184" t="s">
        <v>750</v>
      </c>
    </row>
    <row r="3844" spans="1:4" ht="12.5">
      <c r="A3844" s="186">
        <v>46173</v>
      </c>
      <c r="B3844" s="184">
        <v>7002709205</v>
      </c>
      <c r="C3844" s="184">
        <v>3</v>
      </c>
      <c r="D3844" s="184" t="s">
        <v>751</v>
      </c>
    </row>
    <row r="3845" spans="1:4" ht="12.5">
      <c r="A3845" s="186">
        <v>46173</v>
      </c>
      <c r="B3845" s="184">
        <v>7002709233</v>
      </c>
      <c r="C3845" s="184">
        <v>3</v>
      </c>
      <c r="D3845" s="184" t="s">
        <v>751</v>
      </c>
    </row>
    <row r="3846" spans="1:4" ht="12.5">
      <c r="A3846" s="186">
        <v>46173</v>
      </c>
      <c r="B3846" s="184">
        <v>7002709280</v>
      </c>
      <c r="C3846" s="184">
        <v>2</v>
      </c>
      <c r="D3846" s="184" t="s">
        <v>751</v>
      </c>
    </row>
    <row r="3847" spans="1:4" ht="12.5">
      <c r="A3847" s="186">
        <v>46173</v>
      </c>
      <c r="B3847" s="184">
        <v>7002709391</v>
      </c>
      <c r="C3847" s="184">
        <v>7</v>
      </c>
      <c r="D3847" s="184" t="s">
        <v>758</v>
      </c>
    </row>
    <row r="3848" spans="1:4" ht="12.5">
      <c r="A3848" s="186">
        <v>46173</v>
      </c>
      <c r="B3848" s="184">
        <v>7002709834</v>
      </c>
      <c r="C3848" s="184">
        <v>2</v>
      </c>
      <c r="D3848" s="184" t="s">
        <v>751</v>
      </c>
    </row>
    <row r="3849" spans="1:4" ht="12.5">
      <c r="A3849" s="186">
        <v>46173</v>
      </c>
      <c r="B3849" s="184">
        <v>7002710700</v>
      </c>
      <c r="C3849" s="184">
        <v>5</v>
      </c>
      <c r="D3849" s="184" t="s">
        <v>751</v>
      </c>
    </row>
    <row r="3850" spans="1:4" ht="12.5">
      <c r="A3850" s="186">
        <v>46173</v>
      </c>
      <c r="B3850" s="184">
        <v>7002710728</v>
      </c>
      <c r="C3850" s="184">
        <v>1</v>
      </c>
      <c r="D3850" s="184" t="s">
        <v>750</v>
      </c>
    </row>
    <row r="3851" spans="1:4" ht="12.5">
      <c r="A3851" s="186">
        <v>46173</v>
      </c>
      <c r="B3851" s="184">
        <v>7002710737</v>
      </c>
      <c r="C3851" s="184">
        <v>6</v>
      </c>
      <c r="D3851" s="184" t="s">
        <v>758</v>
      </c>
    </row>
    <row r="3852" spans="1:4" ht="12.5">
      <c r="A3852" s="186">
        <v>46173</v>
      </c>
      <c r="B3852" s="184">
        <v>7002710771</v>
      </c>
      <c r="C3852" s="184">
        <v>5</v>
      </c>
      <c r="D3852" s="184" t="s">
        <v>751</v>
      </c>
    </row>
    <row r="3853" spans="1:4" ht="12.5">
      <c r="A3853" s="186">
        <v>46173</v>
      </c>
      <c r="B3853" s="184">
        <v>7002710877</v>
      </c>
      <c r="C3853" s="184">
        <v>1</v>
      </c>
      <c r="D3853" s="184" t="s">
        <v>750</v>
      </c>
    </row>
    <row r="3854" spans="1:4" ht="12.5">
      <c r="A3854" s="186">
        <v>46173</v>
      </c>
      <c r="B3854" s="184">
        <v>7002710896</v>
      </c>
      <c r="C3854" s="184">
        <v>234</v>
      </c>
      <c r="D3854" s="184" t="s">
        <v>752</v>
      </c>
    </row>
    <row r="3855" spans="1:4" ht="12.5">
      <c r="A3855" s="186">
        <v>46173</v>
      </c>
      <c r="B3855" s="184">
        <v>7002710978</v>
      </c>
      <c r="C3855" s="184">
        <v>3</v>
      </c>
      <c r="D3855" s="184" t="s">
        <v>751</v>
      </c>
    </row>
    <row r="3856" spans="1:4" ht="12.5">
      <c r="A3856" s="186">
        <v>46173</v>
      </c>
      <c r="B3856" s="184">
        <v>7002711715</v>
      </c>
      <c r="C3856" s="184">
        <v>30</v>
      </c>
      <c r="D3856" s="184" t="s">
        <v>752</v>
      </c>
    </row>
    <row r="3857" spans="1:4" ht="12.5">
      <c r="A3857" s="186">
        <v>46173</v>
      </c>
      <c r="B3857" s="184">
        <v>7002712703</v>
      </c>
      <c r="C3857" s="184">
        <v>20</v>
      </c>
      <c r="D3857" s="184" t="s">
        <v>752</v>
      </c>
    </row>
    <row r="3858" spans="1:4" ht="12.5">
      <c r="A3858" s="186">
        <v>46173</v>
      </c>
      <c r="B3858" s="184">
        <v>7002712719</v>
      </c>
      <c r="C3858" s="184">
        <v>30</v>
      </c>
      <c r="D3858" s="184" t="s">
        <v>752</v>
      </c>
    </row>
    <row r="3859" spans="1:4" ht="12.5">
      <c r="A3859" s="186">
        <v>46173</v>
      </c>
      <c r="B3859" s="184">
        <v>7002712726</v>
      </c>
      <c r="C3859" s="184">
        <v>5</v>
      </c>
      <c r="D3859" s="184" t="s">
        <v>751</v>
      </c>
    </row>
    <row r="3860" spans="1:4" ht="12.5">
      <c r="A3860" s="186">
        <v>46173</v>
      </c>
      <c r="B3860" s="184">
        <v>7002712735</v>
      </c>
      <c r="C3860" s="184">
        <v>18</v>
      </c>
      <c r="D3860" s="184" t="s">
        <v>752</v>
      </c>
    </row>
    <row r="3861" spans="1:4" ht="12.5">
      <c r="A3861" s="186">
        <v>46173</v>
      </c>
      <c r="B3861" s="184">
        <v>7002712788</v>
      </c>
      <c r="C3861" s="184">
        <v>46</v>
      </c>
      <c r="D3861" s="184" t="s">
        <v>752</v>
      </c>
    </row>
    <row r="3862" spans="1:4" ht="12.5">
      <c r="A3862" s="186">
        <v>46173</v>
      </c>
      <c r="B3862" s="184">
        <v>7002712868</v>
      </c>
      <c r="C3862" s="184">
        <v>2</v>
      </c>
      <c r="D3862" s="184" t="s">
        <v>751</v>
      </c>
    </row>
    <row r="3863" spans="1:4" ht="12.5">
      <c r="A3863" s="186">
        <v>46173</v>
      </c>
      <c r="B3863" s="184">
        <v>7002712875</v>
      </c>
      <c r="C3863" s="184">
        <v>1</v>
      </c>
      <c r="D3863" s="184" t="s">
        <v>750</v>
      </c>
    </row>
    <row r="3864" spans="1:4" ht="12.5">
      <c r="A3864" s="186">
        <v>46173</v>
      </c>
      <c r="B3864" s="184">
        <v>7002713725</v>
      </c>
      <c r="C3864" s="184">
        <v>14</v>
      </c>
      <c r="D3864" s="184" t="s">
        <v>752</v>
      </c>
    </row>
    <row r="3865" spans="1:4" ht="12.5">
      <c r="A3865" s="186">
        <v>46173</v>
      </c>
      <c r="B3865" s="184">
        <v>7002713773</v>
      </c>
      <c r="C3865" s="184">
        <v>120</v>
      </c>
      <c r="D3865" s="184" t="s">
        <v>752</v>
      </c>
    </row>
    <row r="3866" spans="1:4" ht="12.5">
      <c r="A3866" s="186">
        <v>46173</v>
      </c>
      <c r="B3866" s="184">
        <v>7002713787</v>
      </c>
      <c r="C3866" s="184">
        <v>1</v>
      </c>
      <c r="D3866" s="184" t="s">
        <v>750</v>
      </c>
    </row>
    <row r="3867" spans="1:4" ht="12.5">
      <c r="A3867" s="186">
        <v>46173</v>
      </c>
      <c r="B3867" s="184">
        <v>7002713910</v>
      </c>
      <c r="C3867" s="184">
        <v>1</v>
      </c>
      <c r="D3867" s="184" t="s">
        <v>750</v>
      </c>
    </row>
    <row r="3868" spans="1:4" ht="12.5">
      <c r="A3868" s="186">
        <v>46173</v>
      </c>
      <c r="B3868" s="184">
        <v>7002714786</v>
      </c>
      <c r="C3868" s="184">
        <v>15</v>
      </c>
      <c r="D3868" s="184" t="s">
        <v>752</v>
      </c>
    </row>
    <row r="3869" spans="1:4" ht="12.5">
      <c r="A3869" s="186">
        <v>46173</v>
      </c>
      <c r="B3869" s="184">
        <v>7002716710</v>
      </c>
      <c r="C3869" s="184">
        <v>1</v>
      </c>
      <c r="D3869" s="184" t="s">
        <v>750</v>
      </c>
    </row>
    <row r="3870" spans="1:4" ht="12.5">
      <c r="A3870" s="186">
        <v>46173</v>
      </c>
      <c r="B3870" s="184">
        <v>7002716723</v>
      </c>
      <c r="C3870" s="184">
        <v>10</v>
      </c>
      <c r="D3870" s="184" t="s">
        <v>758</v>
      </c>
    </row>
    <row r="3871" spans="1:4" ht="12.5">
      <c r="A3871" s="186">
        <v>46173</v>
      </c>
      <c r="B3871" s="184">
        <v>7002716747</v>
      </c>
      <c r="C3871" s="184">
        <v>25</v>
      </c>
      <c r="D3871" s="184" t="s">
        <v>752</v>
      </c>
    </row>
    <row r="3872" spans="1:4" ht="12.5">
      <c r="A3872" s="186">
        <v>46173</v>
      </c>
      <c r="B3872" s="184">
        <v>7002716752</v>
      </c>
      <c r="C3872" s="184">
        <v>6</v>
      </c>
      <c r="D3872" s="184" t="s">
        <v>758</v>
      </c>
    </row>
    <row r="3873" spans="1:4" ht="12.5">
      <c r="A3873" s="186">
        <v>46173</v>
      </c>
      <c r="B3873" s="184">
        <v>7002716781</v>
      </c>
      <c r="C3873" s="184">
        <v>6</v>
      </c>
      <c r="D3873" s="184" t="s">
        <v>758</v>
      </c>
    </row>
    <row r="3874" spans="1:4" ht="12.5">
      <c r="A3874" s="186">
        <v>46173</v>
      </c>
      <c r="B3874" s="184">
        <v>7002717730</v>
      </c>
      <c r="C3874" s="184">
        <v>6</v>
      </c>
      <c r="D3874" s="184" t="s">
        <v>758</v>
      </c>
    </row>
    <row r="3875" spans="1:4" ht="12.5">
      <c r="A3875" s="186">
        <v>46173</v>
      </c>
      <c r="B3875" s="184">
        <v>7002717748</v>
      </c>
      <c r="C3875" s="184">
        <v>15</v>
      </c>
      <c r="D3875" s="184" t="s">
        <v>752</v>
      </c>
    </row>
    <row r="3876" spans="1:4" ht="12.5">
      <c r="A3876" s="186">
        <v>46173</v>
      </c>
      <c r="B3876" s="184">
        <v>7002718712</v>
      </c>
      <c r="C3876" s="184">
        <v>1</v>
      </c>
      <c r="D3876" s="184" t="s">
        <v>750</v>
      </c>
    </row>
    <row r="3877" spans="1:4" ht="12.5">
      <c r="A3877" s="186">
        <v>46173</v>
      </c>
      <c r="B3877" s="184">
        <v>7002718720</v>
      </c>
      <c r="C3877" s="184">
        <v>111</v>
      </c>
      <c r="D3877" s="184" t="s">
        <v>752</v>
      </c>
    </row>
    <row r="3878" spans="1:4" ht="12.5">
      <c r="A3878" s="186">
        <v>46173</v>
      </c>
      <c r="B3878" s="184">
        <v>7002719648</v>
      </c>
      <c r="C3878" s="184">
        <v>1</v>
      </c>
      <c r="D3878" s="184" t="s">
        <v>750</v>
      </c>
    </row>
    <row r="3879" spans="1:4" ht="12.5">
      <c r="A3879" s="186">
        <v>46173</v>
      </c>
      <c r="B3879" s="184">
        <v>7002719709</v>
      </c>
      <c r="C3879" s="184">
        <v>10</v>
      </c>
      <c r="D3879" s="184" t="s">
        <v>758</v>
      </c>
    </row>
    <row r="3880" spans="1:4" ht="12.5">
      <c r="A3880" s="186">
        <v>46173</v>
      </c>
      <c r="B3880" s="184">
        <v>7002719713</v>
      </c>
      <c r="C3880" s="184">
        <v>2</v>
      </c>
      <c r="D3880" s="184" t="s">
        <v>751</v>
      </c>
    </row>
    <row r="3881" spans="1:4" ht="12.5">
      <c r="A3881" s="186">
        <v>46173</v>
      </c>
      <c r="B3881" s="184">
        <v>7002719721</v>
      </c>
      <c r="C3881" s="184">
        <v>1</v>
      </c>
      <c r="D3881" s="184" t="s">
        <v>750</v>
      </c>
    </row>
    <row r="3882" spans="1:4" ht="12.5">
      <c r="A3882" s="186">
        <v>46173</v>
      </c>
      <c r="B3882" s="184">
        <v>7002719750</v>
      </c>
      <c r="C3882" s="184">
        <v>12</v>
      </c>
      <c r="D3882" s="184" t="s">
        <v>752</v>
      </c>
    </row>
    <row r="3883" spans="1:4" ht="12.5">
      <c r="A3883" s="186">
        <v>46173</v>
      </c>
      <c r="B3883" s="184">
        <v>7002719766</v>
      </c>
      <c r="C3883" s="184">
        <v>18</v>
      </c>
      <c r="D3883" s="184" t="s">
        <v>752</v>
      </c>
    </row>
    <row r="3884" spans="1:4" ht="12.5">
      <c r="A3884" s="186">
        <v>46173</v>
      </c>
      <c r="B3884" s="184">
        <v>7002719784</v>
      </c>
      <c r="C3884" s="184">
        <v>12</v>
      </c>
      <c r="D3884" s="184" t="s">
        <v>752</v>
      </c>
    </row>
    <row r="3885" spans="1:4" ht="12.5">
      <c r="A3885" s="186">
        <v>46173</v>
      </c>
      <c r="B3885" s="184">
        <v>7002719900</v>
      </c>
      <c r="C3885" s="184">
        <v>2</v>
      </c>
      <c r="D3885" s="184" t="s">
        <v>751</v>
      </c>
    </row>
    <row r="3886" spans="1:4" ht="12.5">
      <c r="A3886" s="186">
        <v>46173</v>
      </c>
      <c r="B3886" s="184">
        <v>7002719944</v>
      </c>
      <c r="C3886" s="184">
        <v>13</v>
      </c>
      <c r="D3886" s="184" t="s">
        <v>752</v>
      </c>
    </row>
    <row r="3887" spans="1:4" ht="12.5">
      <c r="A3887" s="186">
        <v>46173</v>
      </c>
      <c r="B3887" s="184">
        <v>7002720118</v>
      </c>
      <c r="C3887" s="184">
        <v>1</v>
      </c>
      <c r="D3887" s="184" t="s">
        <v>750</v>
      </c>
    </row>
    <row r="3888" spans="1:4" ht="12.5">
      <c r="A3888" s="186">
        <v>46173</v>
      </c>
      <c r="B3888" s="184">
        <v>7002720255</v>
      </c>
      <c r="C3888" s="184">
        <v>2</v>
      </c>
      <c r="D3888" s="184" t="s">
        <v>751</v>
      </c>
    </row>
    <row r="3889" spans="1:4" ht="12.5">
      <c r="A3889" s="186">
        <v>46173</v>
      </c>
      <c r="B3889" s="184">
        <v>7002720461</v>
      </c>
      <c r="C3889" s="184">
        <v>10</v>
      </c>
      <c r="D3889" s="184" t="s">
        <v>758</v>
      </c>
    </row>
    <row r="3890" spans="1:4" ht="12.5">
      <c r="A3890" s="186">
        <v>46173</v>
      </c>
      <c r="B3890" s="184">
        <v>7002721155</v>
      </c>
      <c r="C3890" s="184">
        <v>27</v>
      </c>
      <c r="D3890" s="184" t="s">
        <v>752</v>
      </c>
    </row>
    <row r="3891" spans="1:4" ht="12.5">
      <c r="A3891" s="186">
        <v>46173</v>
      </c>
      <c r="B3891" s="184">
        <v>7002721375</v>
      </c>
      <c r="C3891" s="184">
        <v>11</v>
      </c>
      <c r="D3891" s="184" t="s">
        <v>752</v>
      </c>
    </row>
    <row r="3892" spans="1:4" ht="12.5">
      <c r="A3892" s="186">
        <v>46173</v>
      </c>
      <c r="B3892" s="184">
        <v>7002721439</v>
      </c>
      <c r="C3892" s="184">
        <v>10</v>
      </c>
      <c r="D3892" s="184" t="s">
        <v>758</v>
      </c>
    </row>
    <row r="3893" spans="1:4" ht="12.5">
      <c r="A3893" s="186">
        <v>46173</v>
      </c>
      <c r="B3893" s="184">
        <v>7002722262</v>
      </c>
      <c r="C3893" s="184">
        <v>1</v>
      </c>
      <c r="D3893" s="184" t="s">
        <v>750</v>
      </c>
    </row>
    <row r="3894" spans="1:4" ht="12.5">
      <c r="A3894" s="186">
        <v>46173</v>
      </c>
      <c r="B3894" s="184">
        <v>7002722380</v>
      </c>
      <c r="C3894" s="184">
        <v>1</v>
      </c>
      <c r="D3894" s="184" t="s">
        <v>750</v>
      </c>
    </row>
    <row r="3895" spans="1:4" ht="12.5">
      <c r="A3895" s="186">
        <v>46173</v>
      </c>
      <c r="B3895" s="184">
        <v>7002722429</v>
      </c>
      <c r="C3895" s="184">
        <v>9</v>
      </c>
      <c r="D3895" s="184" t="s">
        <v>758</v>
      </c>
    </row>
    <row r="3896" spans="1:4" ht="12.5">
      <c r="A3896" s="186">
        <v>46173</v>
      </c>
      <c r="B3896" s="184">
        <v>7002722684</v>
      </c>
      <c r="C3896" s="184">
        <v>4</v>
      </c>
      <c r="D3896" s="184" t="s">
        <v>751</v>
      </c>
    </row>
    <row r="3897" spans="1:4" ht="12.5">
      <c r="A3897" s="186">
        <v>46173</v>
      </c>
      <c r="B3897" s="184">
        <v>7002722706</v>
      </c>
      <c r="C3897" s="184">
        <v>4</v>
      </c>
      <c r="D3897" s="184" t="s">
        <v>751</v>
      </c>
    </row>
    <row r="3898" spans="1:4" ht="12.5">
      <c r="A3898" s="186">
        <v>46173</v>
      </c>
      <c r="B3898" s="184">
        <v>7002723397</v>
      </c>
      <c r="C3898" s="184">
        <v>1</v>
      </c>
      <c r="D3898" s="184" t="s">
        <v>750</v>
      </c>
    </row>
    <row r="3899" spans="1:4" ht="12.5">
      <c r="A3899" s="186">
        <v>46173</v>
      </c>
      <c r="B3899" s="184">
        <v>7002723612</v>
      </c>
      <c r="C3899" s="184">
        <v>10</v>
      </c>
      <c r="D3899" s="184" t="s">
        <v>758</v>
      </c>
    </row>
    <row r="3900" spans="1:4" ht="12.5">
      <c r="A3900" s="186">
        <v>46173</v>
      </c>
      <c r="B3900" s="184">
        <v>7002723722</v>
      </c>
      <c r="C3900" s="184">
        <v>1</v>
      </c>
      <c r="D3900" s="184" t="s">
        <v>750</v>
      </c>
    </row>
    <row r="3901" spans="1:4" ht="12.5">
      <c r="A3901" s="186">
        <v>46173</v>
      </c>
      <c r="B3901" s="184">
        <v>7002723917</v>
      </c>
      <c r="C3901" s="184">
        <v>1</v>
      </c>
      <c r="D3901" s="184" t="s">
        <v>750</v>
      </c>
    </row>
    <row r="3902" spans="1:4" ht="12.5">
      <c r="A3902" s="186">
        <v>46173</v>
      </c>
      <c r="B3902" s="184">
        <v>7002724383</v>
      </c>
      <c r="C3902" s="184">
        <v>10</v>
      </c>
      <c r="D3902" s="184" t="s">
        <v>758</v>
      </c>
    </row>
    <row r="3903" spans="1:4" ht="12.5">
      <c r="A3903" s="186">
        <v>46173</v>
      </c>
      <c r="B3903" s="184">
        <v>7002724611</v>
      </c>
      <c r="C3903" s="184">
        <v>4</v>
      </c>
      <c r="D3903" s="184" t="s">
        <v>751</v>
      </c>
    </row>
    <row r="3904" spans="1:4" ht="12.5">
      <c r="A3904" s="186">
        <v>46173</v>
      </c>
      <c r="B3904" s="184">
        <v>7002724695</v>
      </c>
      <c r="C3904" s="184">
        <v>5</v>
      </c>
      <c r="D3904" s="184" t="s">
        <v>751</v>
      </c>
    </row>
    <row r="3905" spans="1:4" ht="12.5">
      <c r="A3905" s="186">
        <v>46173</v>
      </c>
      <c r="B3905" s="184">
        <v>7002724721</v>
      </c>
      <c r="C3905" s="184">
        <v>1</v>
      </c>
      <c r="D3905" s="184" t="s">
        <v>750</v>
      </c>
    </row>
    <row r="3906" spans="1:4" ht="12.5">
      <c r="A3906" s="186">
        <v>46173</v>
      </c>
      <c r="B3906" s="184">
        <v>7002725357</v>
      </c>
      <c r="C3906" s="184">
        <v>6</v>
      </c>
      <c r="D3906" s="184" t="s">
        <v>758</v>
      </c>
    </row>
    <row r="3907" spans="1:4" ht="12.5">
      <c r="A3907" s="186">
        <v>46173</v>
      </c>
      <c r="B3907" s="184">
        <v>7002725388</v>
      </c>
      <c r="C3907" s="184">
        <v>4</v>
      </c>
      <c r="D3907" s="184" t="s">
        <v>751</v>
      </c>
    </row>
    <row r="3908" spans="1:4" ht="12.5">
      <c r="A3908" s="186">
        <v>46173</v>
      </c>
      <c r="B3908" s="184">
        <v>7002725390</v>
      </c>
      <c r="C3908" s="184">
        <v>11</v>
      </c>
      <c r="D3908" s="184" t="s">
        <v>752</v>
      </c>
    </row>
    <row r="3909" spans="1:4" ht="12.5">
      <c r="A3909" s="186">
        <v>46173</v>
      </c>
      <c r="B3909" s="184">
        <v>7002725424</v>
      </c>
      <c r="C3909" s="184">
        <v>7</v>
      </c>
      <c r="D3909" s="184" t="s">
        <v>758</v>
      </c>
    </row>
    <row r="3910" spans="1:4" ht="12.5">
      <c r="A3910" s="186">
        <v>46173</v>
      </c>
      <c r="B3910" s="184">
        <v>7002725718</v>
      </c>
      <c r="C3910" s="184">
        <v>4</v>
      </c>
      <c r="D3910" s="184" t="s">
        <v>751</v>
      </c>
    </row>
    <row r="3911" spans="1:4" ht="12.5">
      <c r="A3911" s="186">
        <v>46173</v>
      </c>
      <c r="B3911" s="184">
        <v>7002726358</v>
      </c>
      <c r="C3911" s="184">
        <v>3</v>
      </c>
      <c r="D3911" s="184" t="s">
        <v>751</v>
      </c>
    </row>
    <row r="3912" spans="1:4" ht="12.5">
      <c r="A3912" s="186">
        <v>46173</v>
      </c>
      <c r="B3912" s="184">
        <v>7002726477</v>
      </c>
      <c r="C3912" s="184">
        <v>2</v>
      </c>
      <c r="D3912" s="184" t="s">
        <v>751</v>
      </c>
    </row>
    <row r="3913" spans="1:4" ht="12.5">
      <c r="A3913" s="186">
        <v>46173</v>
      </c>
      <c r="B3913" s="184">
        <v>7002726616</v>
      </c>
      <c r="C3913" s="184">
        <v>1</v>
      </c>
      <c r="D3913" s="184" t="s">
        <v>750</v>
      </c>
    </row>
    <row r="3914" spans="1:4" ht="12.5">
      <c r="A3914" s="186">
        <v>46173</v>
      </c>
      <c r="B3914" s="184">
        <v>7002726719</v>
      </c>
      <c r="C3914" s="184">
        <v>4</v>
      </c>
      <c r="D3914" s="184" t="s">
        <v>751</v>
      </c>
    </row>
    <row r="3915" spans="1:4" ht="12.5">
      <c r="A3915" s="186">
        <v>46173</v>
      </c>
      <c r="B3915" s="184">
        <v>7002727210</v>
      </c>
      <c r="C3915" s="184">
        <v>4</v>
      </c>
      <c r="D3915" s="184" t="s">
        <v>751</v>
      </c>
    </row>
    <row r="3916" spans="1:4" ht="12.5">
      <c r="A3916" s="186">
        <v>46173</v>
      </c>
      <c r="B3916" s="184">
        <v>7002727344</v>
      </c>
      <c r="C3916" s="184">
        <v>4</v>
      </c>
      <c r="D3916" s="184" t="s">
        <v>751</v>
      </c>
    </row>
    <row r="3917" spans="1:4" ht="12.5">
      <c r="A3917" s="186">
        <v>46173</v>
      </c>
      <c r="B3917" s="184">
        <v>7002727413</v>
      </c>
      <c r="C3917" s="184">
        <v>5</v>
      </c>
      <c r="D3917" s="184" t="s">
        <v>751</v>
      </c>
    </row>
    <row r="3918" spans="1:4" ht="12.5">
      <c r="A3918" s="186">
        <v>46173</v>
      </c>
      <c r="B3918" s="184">
        <v>7002727617</v>
      </c>
      <c r="C3918" s="184">
        <v>1</v>
      </c>
      <c r="D3918" s="184" t="s">
        <v>750</v>
      </c>
    </row>
    <row r="3919" spans="1:4" ht="12.5">
      <c r="A3919" s="186">
        <v>46173</v>
      </c>
      <c r="B3919" s="184">
        <v>7002727693</v>
      </c>
      <c r="C3919" s="184">
        <v>3</v>
      </c>
      <c r="D3919" s="184" t="s">
        <v>751</v>
      </c>
    </row>
    <row r="3920" spans="1:4" ht="12.5">
      <c r="A3920" s="186">
        <v>46173</v>
      </c>
      <c r="B3920" s="184">
        <v>7002728211</v>
      </c>
      <c r="C3920" s="184">
        <v>4</v>
      </c>
      <c r="D3920" s="184" t="s">
        <v>751</v>
      </c>
    </row>
    <row r="3921" spans="1:4" ht="12.5">
      <c r="A3921" s="186">
        <v>46173</v>
      </c>
      <c r="B3921" s="184">
        <v>7002728479</v>
      </c>
      <c r="C3921" s="184">
        <v>3</v>
      </c>
      <c r="D3921" s="184" t="s">
        <v>751</v>
      </c>
    </row>
    <row r="3922" spans="1:4" ht="12.5">
      <c r="A3922" s="186">
        <v>46173</v>
      </c>
      <c r="B3922" s="184">
        <v>7002728700</v>
      </c>
      <c r="C3922" s="184">
        <v>5</v>
      </c>
      <c r="D3922" s="184" t="s">
        <v>751</v>
      </c>
    </row>
    <row r="3923" spans="1:4" ht="12.5">
      <c r="A3923" s="186">
        <v>46173</v>
      </c>
      <c r="B3923" s="184">
        <v>7002728716</v>
      </c>
      <c r="C3923" s="184">
        <v>3</v>
      </c>
      <c r="D3923" s="184" t="s">
        <v>751</v>
      </c>
    </row>
    <row r="3924" spans="1:4" ht="12.5">
      <c r="A3924" s="186">
        <v>46173</v>
      </c>
      <c r="B3924" s="184">
        <v>7002728950</v>
      </c>
      <c r="C3924" s="184">
        <v>6</v>
      </c>
      <c r="D3924" s="184" t="s">
        <v>758</v>
      </c>
    </row>
    <row r="3925" spans="1:4" ht="12.5">
      <c r="A3925" s="186">
        <v>46173</v>
      </c>
      <c r="B3925" s="184">
        <v>7002729265</v>
      </c>
      <c r="C3925" s="184">
        <v>116</v>
      </c>
      <c r="D3925" s="184" t="s">
        <v>752</v>
      </c>
    </row>
    <row r="3926" spans="1:4" ht="12.5">
      <c r="A3926" s="186">
        <v>46173</v>
      </c>
      <c r="B3926" s="184">
        <v>7002729591</v>
      </c>
      <c r="C3926" s="184">
        <v>1</v>
      </c>
      <c r="D3926" s="184" t="s">
        <v>750</v>
      </c>
    </row>
    <row r="3927" spans="1:4" ht="12.5">
      <c r="A3927" s="186">
        <v>46173</v>
      </c>
      <c r="B3927" s="184">
        <v>7002729657</v>
      </c>
      <c r="C3927" s="184">
        <v>4</v>
      </c>
      <c r="D3927" s="184" t="s">
        <v>751</v>
      </c>
    </row>
    <row r="3928" spans="1:4" ht="12.5">
      <c r="A3928" s="186">
        <v>46173</v>
      </c>
      <c r="B3928" s="184">
        <v>7002729914</v>
      </c>
      <c r="C3928" s="184">
        <v>13</v>
      </c>
      <c r="D3928" s="184" t="s">
        <v>752</v>
      </c>
    </row>
    <row r="3929" spans="1:4" ht="12.5">
      <c r="A3929" s="186">
        <v>46173</v>
      </c>
      <c r="B3929" s="184">
        <v>7002729979</v>
      </c>
      <c r="C3929" s="184">
        <v>13</v>
      </c>
      <c r="D3929" s="184" t="s">
        <v>752</v>
      </c>
    </row>
    <row r="3930" spans="1:4" ht="12.5">
      <c r="A3930" s="186">
        <v>46173</v>
      </c>
      <c r="B3930" s="184">
        <v>7002730481</v>
      </c>
      <c r="C3930" s="184">
        <v>1</v>
      </c>
      <c r="D3930" s="184" t="s">
        <v>750</v>
      </c>
    </row>
    <row r="3931" spans="1:4" ht="12.5">
      <c r="A3931" s="186">
        <v>46173</v>
      </c>
      <c r="B3931" s="184">
        <v>7002731526</v>
      </c>
      <c r="C3931" s="184">
        <v>1</v>
      </c>
      <c r="D3931" s="184" t="s">
        <v>750</v>
      </c>
    </row>
    <row r="3932" spans="1:4" ht="12.5">
      <c r="A3932" s="186">
        <v>46173</v>
      </c>
      <c r="B3932" s="184">
        <v>7002731590</v>
      </c>
      <c r="C3932" s="184">
        <v>1</v>
      </c>
      <c r="D3932" s="184" t="s">
        <v>750</v>
      </c>
    </row>
    <row r="3933" spans="1:4" ht="12.5">
      <c r="A3933" s="186">
        <v>46173</v>
      </c>
      <c r="B3933" s="184">
        <v>7002732573</v>
      </c>
      <c r="C3933" s="184">
        <v>12</v>
      </c>
      <c r="D3933" s="184" t="s">
        <v>752</v>
      </c>
    </row>
    <row r="3934" spans="1:4" ht="12.5">
      <c r="A3934" s="186">
        <v>46173</v>
      </c>
      <c r="B3934" s="184">
        <v>7002734476</v>
      </c>
      <c r="C3934" s="184">
        <v>1</v>
      </c>
      <c r="D3934" s="184" t="s">
        <v>750</v>
      </c>
    </row>
    <row r="3935" spans="1:4" ht="12.5">
      <c r="A3935" s="186">
        <v>46173</v>
      </c>
      <c r="B3935" s="184">
        <v>7002734615</v>
      </c>
      <c r="C3935" s="184">
        <v>2</v>
      </c>
      <c r="D3935" s="184" t="s">
        <v>751</v>
      </c>
    </row>
    <row r="3936" spans="1:4" ht="12.5">
      <c r="A3936" s="186">
        <v>46173</v>
      </c>
      <c r="B3936" s="184">
        <v>7002735415</v>
      </c>
      <c r="C3936" s="184">
        <v>2</v>
      </c>
      <c r="D3936" s="184" t="s">
        <v>751</v>
      </c>
    </row>
    <row r="3937" spans="1:4" ht="12.5">
      <c r="A3937" s="186">
        <v>46173</v>
      </c>
      <c r="B3937" s="184">
        <v>7002735491</v>
      </c>
      <c r="C3937" s="184">
        <v>3</v>
      </c>
      <c r="D3937" s="184" t="s">
        <v>751</v>
      </c>
    </row>
    <row r="3938" spans="1:4" ht="12.5">
      <c r="A3938" s="186">
        <v>46173</v>
      </c>
      <c r="B3938" s="184">
        <v>7002736416</v>
      </c>
      <c r="C3938" s="184">
        <v>4</v>
      </c>
      <c r="D3938" s="184" t="s">
        <v>751</v>
      </c>
    </row>
    <row r="3939" spans="1:4" ht="12.5">
      <c r="A3939" s="186">
        <v>46173</v>
      </c>
      <c r="B3939" s="184">
        <v>7002737531</v>
      </c>
      <c r="C3939" s="184">
        <v>2</v>
      </c>
      <c r="D3939" s="184" t="s">
        <v>751</v>
      </c>
    </row>
    <row r="3940" spans="1:4" ht="12.5">
      <c r="A3940" s="186">
        <v>46173</v>
      </c>
      <c r="B3940" s="184">
        <v>7002739066</v>
      </c>
      <c r="C3940" s="184">
        <v>1</v>
      </c>
      <c r="D3940" s="184" t="s">
        <v>750</v>
      </c>
    </row>
    <row r="3941" spans="1:4" ht="12.5">
      <c r="A3941" s="186">
        <v>46173</v>
      </c>
      <c r="B3941" s="184">
        <v>7002739272</v>
      </c>
      <c r="C3941" s="184">
        <v>1</v>
      </c>
      <c r="D3941" s="184" t="s">
        <v>750</v>
      </c>
    </row>
    <row r="3942" spans="1:4" ht="12.5">
      <c r="A3942" s="186">
        <v>46173</v>
      </c>
      <c r="B3942" s="184">
        <v>7002739488</v>
      </c>
      <c r="C3942" s="184">
        <v>16</v>
      </c>
      <c r="D3942" s="184" t="s">
        <v>752</v>
      </c>
    </row>
    <row r="3943" spans="1:4" ht="12.5">
      <c r="A3943" s="191"/>
      <c r="B3943" s="136"/>
      <c r="C3943" s="136"/>
      <c r="D3943" s="136"/>
    </row>
    <row r="3944" spans="1:4" ht="12.5">
      <c r="A3944" s="186">
        <v>46174</v>
      </c>
      <c r="B3944" s="184">
        <v>7001727096</v>
      </c>
      <c r="C3944" s="184">
        <v>2</v>
      </c>
      <c r="D3944" s="184" t="s">
        <v>751</v>
      </c>
    </row>
    <row r="3945" spans="1:4" ht="12.5">
      <c r="A3945" s="186">
        <v>46174</v>
      </c>
      <c r="B3945" s="184">
        <v>7002513445</v>
      </c>
      <c r="C3945" s="184">
        <v>4</v>
      </c>
      <c r="D3945" s="184" t="s">
        <v>751</v>
      </c>
    </row>
    <row r="3946" spans="1:4" ht="12.5">
      <c r="A3946" s="186">
        <v>46174</v>
      </c>
      <c r="B3946" s="184">
        <v>7002522201</v>
      </c>
      <c r="C3946" s="184">
        <v>9</v>
      </c>
      <c r="D3946" s="184" t="s">
        <v>758</v>
      </c>
    </row>
    <row r="3947" spans="1:4" ht="12.5">
      <c r="A3947" s="186">
        <v>46174</v>
      </c>
      <c r="B3947" s="184">
        <v>7002595359</v>
      </c>
      <c r="C3947" s="184">
        <v>5</v>
      </c>
      <c r="D3947" s="184" t="s">
        <v>751</v>
      </c>
    </row>
    <row r="3948" spans="1:4" ht="12.5">
      <c r="A3948" s="186">
        <v>46174</v>
      </c>
      <c r="B3948" s="184">
        <v>7002601201</v>
      </c>
      <c r="C3948" s="184">
        <v>1</v>
      </c>
      <c r="D3948" s="184" t="s">
        <v>762</v>
      </c>
    </row>
    <row r="3949" spans="1:4" ht="12.5">
      <c r="A3949" s="186">
        <v>46174</v>
      </c>
      <c r="B3949" s="184">
        <v>7002603429</v>
      </c>
      <c r="C3949" s="184">
        <v>32</v>
      </c>
      <c r="D3949" s="184" t="s">
        <v>752</v>
      </c>
    </row>
    <row r="3950" spans="1:4" ht="12.5">
      <c r="A3950" s="186">
        <v>46174</v>
      </c>
      <c r="B3950" s="184">
        <v>7002612850</v>
      </c>
      <c r="C3950" s="184">
        <v>4</v>
      </c>
      <c r="D3950" s="184" t="s">
        <v>751</v>
      </c>
    </row>
    <row r="3951" spans="1:4" ht="12.5">
      <c r="A3951" s="186">
        <v>46174</v>
      </c>
      <c r="B3951" s="184">
        <v>7002613602</v>
      </c>
      <c r="C3951" s="184">
        <v>1</v>
      </c>
      <c r="D3951" s="184" t="s">
        <v>762</v>
      </c>
    </row>
    <row r="3952" spans="1:4" ht="12.5">
      <c r="A3952" s="186">
        <v>46174</v>
      </c>
      <c r="B3952" s="184">
        <v>7002617142</v>
      </c>
      <c r="C3952" s="184">
        <v>11</v>
      </c>
      <c r="D3952" s="184" t="s">
        <v>752</v>
      </c>
    </row>
    <row r="3953" spans="1:4" ht="12.5">
      <c r="A3953" s="186">
        <v>46174</v>
      </c>
      <c r="B3953" s="184">
        <v>7002620227</v>
      </c>
      <c r="C3953" s="184">
        <v>6</v>
      </c>
      <c r="D3953" s="184" t="s">
        <v>758</v>
      </c>
    </row>
    <row r="3954" spans="1:4" ht="12.5">
      <c r="A3954" s="186">
        <v>46174</v>
      </c>
      <c r="B3954" s="184">
        <v>7002621242</v>
      </c>
      <c r="C3954" s="184">
        <v>2</v>
      </c>
      <c r="D3954" s="184" t="s">
        <v>751</v>
      </c>
    </row>
    <row r="3955" spans="1:4" ht="12.5">
      <c r="A3955" s="186">
        <v>46174</v>
      </c>
      <c r="B3955" s="184">
        <v>7002621416</v>
      </c>
      <c r="C3955" s="184">
        <v>2</v>
      </c>
      <c r="D3955" s="184" t="s">
        <v>751</v>
      </c>
    </row>
    <row r="3956" spans="1:4" ht="12.5">
      <c r="A3956" s="186">
        <v>46174</v>
      </c>
      <c r="B3956" s="184">
        <v>7002624228</v>
      </c>
      <c r="C3956" s="184">
        <v>2</v>
      </c>
      <c r="D3956" s="184" t="s">
        <v>751</v>
      </c>
    </row>
    <row r="3957" spans="1:4" ht="12.5">
      <c r="A3957" s="186">
        <v>46174</v>
      </c>
      <c r="B3957" s="184">
        <v>7002624418</v>
      </c>
      <c r="C3957" s="184">
        <v>2</v>
      </c>
      <c r="D3957" s="184" t="s">
        <v>751</v>
      </c>
    </row>
    <row r="3958" spans="1:4" ht="12.5">
      <c r="A3958" s="186">
        <v>46174</v>
      </c>
      <c r="B3958" s="184">
        <v>7002624614</v>
      </c>
      <c r="C3958" s="184">
        <v>1</v>
      </c>
      <c r="D3958" s="184" t="s">
        <v>762</v>
      </c>
    </row>
    <row r="3959" spans="1:4" ht="12.5">
      <c r="A3959" s="186">
        <v>46174</v>
      </c>
      <c r="B3959" s="184">
        <v>7002626091</v>
      </c>
      <c r="C3959" s="184">
        <v>99</v>
      </c>
      <c r="D3959" s="184" t="s">
        <v>752</v>
      </c>
    </row>
    <row r="3960" spans="1:4" ht="12.5">
      <c r="A3960" s="186">
        <v>46174</v>
      </c>
      <c r="B3960" s="184">
        <v>7002626433</v>
      </c>
      <c r="C3960" s="184">
        <v>1</v>
      </c>
      <c r="D3960" s="184" t="s">
        <v>762</v>
      </c>
    </row>
    <row r="3961" spans="1:4" ht="12.5">
      <c r="A3961" s="186">
        <v>46174</v>
      </c>
      <c r="B3961" s="184">
        <v>7002627373</v>
      </c>
      <c r="C3961" s="184">
        <v>2</v>
      </c>
      <c r="D3961" s="184" t="s">
        <v>751</v>
      </c>
    </row>
    <row r="3962" spans="1:4" ht="12.5">
      <c r="A3962" s="186">
        <v>46174</v>
      </c>
      <c r="B3962" s="184">
        <v>7002627951</v>
      </c>
      <c r="C3962" s="184">
        <v>1</v>
      </c>
      <c r="D3962" s="184" t="s">
        <v>762</v>
      </c>
    </row>
    <row r="3963" spans="1:4" ht="12.5">
      <c r="A3963" s="186">
        <v>46174</v>
      </c>
      <c r="B3963" s="184">
        <v>7002629412</v>
      </c>
      <c r="C3963" s="184">
        <v>1</v>
      </c>
      <c r="D3963" s="184" t="s">
        <v>762</v>
      </c>
    </row>
    <row r="3964" spans="1:4" ht="12.5">
      <c r="A3964" s="186">
        <v>46174</v>
      </c>
      <c r="B3964" s="184">
        <v>7002631025</v>
      </c>
      <c r="C3964" s="184">
        <v>7</v>
      </c>
      <c r="D3964" s="184" t="s">
        <v>758</v>
      </c>
    </row>
    <row r="3965" spans="1:4" ht="12.5">
      <c r="A3965" s="186">
        <v>46174</v>
      </c>
      <c r="B3965" s="184">
        <v>7002633452</v>
      </c>
      <c r="C3965" s="184">
        <v>222</v>
      </c>
      <c r="D3965" s="184" t="s">
        <v>752</v>
      </c>
    </row>
    <row r="3966" spans="1:4" ht="12.5">
      <c r="A3966" s="186">
        <v>46174</v>
      </c>
      <c r="B3966" s="184">
        <v>7002634027</v>
      </c>
      <c r="C3966" s="184">
        <v>1</v>
      </c>
      <c r="D3966" s="184" t="s">
        <v>762</v>
      </c>
    </row>
    <row r="3967" spans="1:4" ht="12.5">
      <c r="A3967" s="186">
        <v>46174</v>
      </c>
      <c r="B3967" s="184">
        <v>7002635455</v>
      </c>
      <c r="C3967" s="184">
        <v>2</v>
      </c>
      <c r="D3967" s="184" t="s">
        <v>751</v>
      </c>
    </row>
    <row r="3968" spans="1:4" ht="12.5">
      <c r="A3968" s="186">
        <v>46174</v>
      </c>
      <c r="B3968" s="184">
        <v>7002638033</v>
      </c>
      <c r="C3968" s="184">
        <v>4</v>
      </c>
      <c r="D3968" s="184" t="s">
        <v>751</v>
      </c>
    </row>
    <row r="3969" spans="1:4" ht="12.5">
      <c r="A3969" s="186">
        <v>46174</v>
      </c>
      <c r="B3969" s="184">
        <v>7002650894</v>
      </c>
      <c r="C3969" s="184">
        <v>11</v>
      </c>
      <c r="D3969" s="184" t="s">
        <v>752</v>
      </c>
    </row>
    <row r="3970" spans="1:4" ht="12.5">
      <c r="A3970" s="186">
        <v>46174</v>
      </c>
      <c r="B3970" s="184">
        <v>7002667839</v>
      </c>
      <c r="C3970" s="184">
        <v>16</v>
      </c>
      <c r="D3970" s="184" t="s">
        <v>752</v>
      </c>
    </row>
    <row r="3971" spans="1:4" ht="12.5">
      <c r="A3971" s="186">
        <v>46174</v>
      </c>
      <c r="B3971" s="184">
        <v>7002669862</v>
      </c>
      <c r="C3971" s="184">
        <v>43</v>
      </c>
      <c r="D3971" s="184" t="s">
        <v>752</v>
      </c>
    </row>
    <row r="3972" spans="1:4" ht="12.5">
      <c r="A3972" s="186">
        <v>46174</v>
      </c>
      <c r="B3972" s="184">
        <v>7002680792</v>
      </c>
      <c r="C3972" s="184">
        <v>2</v>
      </c>
      <c r="D3972" s="184" t="s">
        <v>751</v>
      </c>
    </row>
    <row r="3973" spans="1:4" ht="12.5">
      <c r="A3973" s="186">
        <v>46174</v>
      </c>
      <c r="B3973" s="184">
        <v>7002680831</v>
      </c>
      <c r="C3973" s="184">
        <v>3</v>
      </c>
      <c r="D3973" s="184" t="s">
        <v>751</v>
      </c>
    </row>
    <row r="3974" spans="1:4" ht="12.5">
      <c r="A3974" s="186">
        <v>46174</v>
      </c>
      <c r="B3974" s="184">
        <v>7002680849</v>
      </c>
      <c r="C3974" s="184">
        <v>5</v>
      </c>
      <c r="D3974" s="184" t="s">
        <v>751</v>
      </c>
    </row>
    <row r="3975" spans="1:4" ht="12.5">
      <c r="A3975" s="186">
        <v>46174</v>
      </c>
      <c r="B3975" s="184">
        <v>7002680854</v>
      </c>
      <c r="C3975" s="184">
        <v>4</v>
      </c>
      <c r="D3975" s="184" t="s">
        <v>751</v>
      </c>
    </row>
    <row r="3976" spans="1:4" ht="12.5">
      <c r="A3976" s="186">
        <v>46174</v>
      </c>
      <c r="B3976" s="184">
        <v>7002681762</v>
      </c>
      <c r="C3976" s="184">
        <v>5</v>
      </c>
      <c r="D3976" s="184" t="s">
        <v>751</v>
      </c>
    </row>
    <row r="3977" spans="1:4" ht="12.5">
      <c r="A3977" s="186">
        <v>46174</v>
      </c>
      <c r="B3977" s="184">
        <v>7002681807</v>
      </c>
      <c r="C3977" s="184">
        <v>1</v>
      </c>
      <c r="D3977" s="184" t="s">
        <v>762</v>
      </c>
    </row>
    <row r="3978" spans="1:4" ht="12.5">
      <c r="A3978" s="186">
        <v>46174</v>
      </c>
      <c r="B3978" s="184">
        <v>7002681895</v>
      </c>
      <c r="C3978" s="184">
        <v>1</v>
      </c>
      <c r="D3978" s="184" t="s">
        <v>762</v>
      </c>
    </row>
    <row r="3979" spans="1:4" ht="12.5">
      <c r="A3979" s="186">
        <v>46174</v>
      </c>
      <c r="B3979" s="184">
        <v>7002681912</v>
      </c>
      <c r="C3979" s="184">
        <v>1</v>
      </c>
      <c r="D3979" s="184" t="s">
        <v>762</v>
      </c>
    </row>
    <row r="3980" spans="1:4" ht="12.5">
      <c r="A3980" s="186">
        <v>46174</v>
      </c>
      <c r="B3980" s="184">
        <v>7002682806</v>
      </c>
      <c r="C3980" s="184">
        <v>5</v>
      </c>
      <c r="D3980" s="184" t="s">
        <v>751</v>
      </c>
    </row>
    <row r="3981" spans="1:4" ht="12.5">
      <c r="A3981" s="186">
        <v>46174</v>
      </c>
      <c r="B3981" s="184">
        <v>7002682868</v>
      </c>
      <c r="C3981" s="184">
        <v>4</v>
      </c>
      <c r="D3981" s="184" t="s">
        <v>751</v>
      </c>
    </row>
    <row r="3982" spans="1:4" ht="12.5">
      <c r="A3982" s="186">
        <v>46174</v>
      </c>
      <c r="B3982" s="184">
        <v>7002684265</v>
      </c>
      <c r="C3982" s="184">
        <v>1</v>
      </c>
      <c r="D3982" s="184" t="s">
        <v>762</v>
      </c>
    </row>
    <row r="3983" spans="1:4" ht="12.5">
      <c r="A3983" s="186">
        <v>46174</v>
      </c>
      <c r="B3983" s="184">
        <v>7002685825</v>
      </c>
      <c r="C3983" s="184">
        <v>2</v>
      </c>
      <c r="D3983" s="184" t="s">
        <v>751</v>
      </c>
    </row>
    <row r="3984" spans="1:4" ht="12.5">
      <c r="A3984" s="186">
        <v>46174</v>
      </c>
      <c r="B3984" s="184">
        <v>7002685856</v>
      </c>
      <c r="C3984" s="184">
        <v>2</v>
      </c>
      <c r="D3984" s="184" t="s">
        <v>751</v>
      </c>
    </row>
    <row r="3985" spans="1:4" ht="12.5">
      <c r="A3985" s="186">
        <v>46174</v>
      </c>
      <c r="B3985" s="184">
        <v>7002686768</v>
      </c>
      <c r="C3985" s="184">
        <v>2</v>
      </c>
      <c r="D3985" s="184" t="s">
        <v>751</v>
      </c>
    </row>
    <row r="3986" spans="1:4" ht="12.5">
      <c r="A3986" s="186">
        <v>46174</v>
      </c>
      <c r="B3986" s="184">
        <v>7002686803</v>
      </c>
      <c r="C3986" s="184">
        <v>20</v>
      </c>
      <c r="D3986" s="184" t="s">
        <v>752</v>
      </c>
    </row>
    <row r="3987" spans="1:4" ht="12.5">
      <c r="A3987" s="186">
        <v>46174</v>
      </c>
      <c r="B3987" s="184">
        <v>7002686826</v>
      </c>
      <c r="C3987" s="184">
        <v>7</v>
      </c>
      <c r="D3987" s="184" t="s">
        <v>758</v>
      </c>
    </row>
    <row r="3988" spans="1:4" ht="12.5">
      <c r="A3988" s="186">
        <v>46174</v>
      </c>
      <c r="B3988" s="184">
        <v>7002686857</v>
      </c>
      <c r="C3988" s="184">
        <v>1</v>
      </c>
      <c r="D3988" s="184" t="s">
        <v>762</v>
      </c>
    </row>
    <row r="3989" spans="1:4" ht="12.5">
      <c r="A3989" s="186">
        <v>46174</v>
      </c>
      <c r="B3989" s="184">
        <v>7002686861</v>
      </c>
      <c r="C3989" s="184">
        <v>1</v>
      </c>
      <c r="D3989" s="184" t="s">
        <v>762</v>
      </c>
    </row>
    <row r="3990" spans="1:4" ht="12.5">
      <c r="A3990" s="186">
        <v>46174</v>
      </c>
      <c r="B3990" s="184">
        <v>7002687827</v>
      </c>
      <c r="C3990" s="184">
        <v>6</v>
      </c>
      <c r="D3990" s="184" t="s">
        <v>758</v>
      </c>
    </row>
    <row r="3991" spans="1:4" ht="12.5">
      <c r="A3991" s="186">
        <v>46174</v>
      </c>
      <c r="B3991" s="184">
        <v>7002688731</v>
      </c>
      <c r="C3991" s="184">
        <v>12</v>
      </c>
      <c r="D3991" s="184" t="s">
        <v>752</v>
      </c>
    </row>
    <row r="3992" spans="1:4" ht="12.5">
      <c r="A3992" s="186">
        <v>46174</v>
      </c>
      <c r="B3992" s="184">
        <v>7002688800</v>
      </c>
      <c r="C3992" s="184">
        <v>6</v>
      </c>
      <c r="D3992" s="184" t="s">
        <v>758</v>
      </c>
    </row>
    <row r="3993" spans="1:4" ht="12.5">
      <c r="A3993" s="186">
        <v>46174</v>
      </c>
      <c r="B3993" s="184">
        <v>7002688837</v>
      </c>
      <c r="C3993" s="184">
        <v>8</v>
      </c>
      <c r="D3993" s="184" t="s">
        <v>758</v>
      </c>
    </row>
    <row r="3994" spans="1:4" ht="12.5">
      <c r="A3994" s="186">
        <v>46174</v>
      </c>
      <c r="B3994" s="184">
        <v>7002688859</v>
      </c>
      <c r="C3994" s="184">
        <v>1</v>
      </c>
      <c r="D3994" s="184" t="s">
        <v>762</v>
      </c>
    </row>
    <row r="3995" spans="1:4" ht="12.5">
      <c r="A3995" s="186">
        <v>46174</v>
      </c>
      <c r="B3995" s="184">
        <v>7002689797</v>
      </c>
      <c r="C3995" s="184">
        <v>3</v>
      </c>
      <c r="D3995" s="184" t="s">
        <v>751</v>
      </c>
    </row>
    <row r="3996" spans="1:4" ht="12.5">
      <c r="A3996" s="186">
        <v>46174</v>
      </c>
      <c r="B3996" s="184">
        <v>7002689817</v>
      </c>
      <c r="C3996" s="184">
        <v>2</v>
      </c>
      <c r="D3996" s="184" t="s">
        <v>751</v>
      </c>
    </row>
    <row r="3997" spans="1:4" ht="12.5">
      <c r="A3997" s="186">
        <v>46174</v>
      </c>
      <c r="B3997" s="184">
        <v>7002690237</v>
      </c>
      <c r="C3997" s="184">
        <v>2</v>
      </c>
      <c r="D3997" s="184" t="s">
        <v>751</v>
      </c>
    </row>
    <row r="3998" spans="1:4" ht="12.5">
      <c r="A3998" s="186">
        <v>46174</v>
      </c>
      <c r="B3998" s="184">
        <v>7002690578</v>
      </c>
      <c r="C3998" s="184">
        <v>49</v>
      </c>
      <c r="D3998" s="184" t="s">
        <v>752</v>
      </c>
    </row>
    <row r="3999" spans="1:4" ht="12.5">
      <c r="A3999" s="186">
        <v>46174</v>
      </c>
      <c r="B3999" s="184">
        <v>7002690942</v>
      </c>
      <c r="C3999" s="184">
        <v>2</v>
      </c>
      <c r="D3999" s="184" t="s">
        <v>751</v>
      </c>
    </row>
    <row r="4000" spans="1:4" ht="12.5">
      <c r="A4000" s="186">
        <v>46174</v>
      </c>
      <c r="B4000" s="184">
        <v>7002691472</v>
      </c>
      <c r="C4000" s="184">
        <v>32</v>
      </c>
      <c r="D4000" s="184" t="s">
        <v>752</v>
      </c>
    </row>
    <row r="4001" spans="1:4" ht="12.5">
      <c r="A4001" s="186">
        <v>46174</v>
      </c>
      <c r="B4001" s="184">
        <v>7002691925</v>
      </c>
      <c r="C4001" s="184">
        <v>2</v>
      </c>
      <c r="D4001" s="184" t="s">
        <v>751</v>
      </c>
    </row>
    <row r="4002" spans="1:4" ht="12.5">
      <c r="A4002" s="186">
        <v>46174</v>
      </c>
      <c r="B4002" s="184">
        <v>7002692191</v>
      </c>
      <c r="C4002" s="184">
        <v>5</v>
      </c>
      <c r="D4002" s="184" t="s">
        <v>751</v>
      </c>
    </row>
    <row r="4003" spans="1:4" ht="12.5">
      <c r="A4003" s="186">
        <v>46174</v>
      </c>
      <c r="B4003" s="184">
        <v>7002692471</v>
      </c>
      <c r="C4003" s="184">
        <v>7</v>
      </c>
      <c r="D4003" s="184" t="s">
        <v>758</v>
      </c>
    </row>
    <row r="4004" spans="1:4" ht="12.5">
      <c r="A4004" s="186">
        <v>46174</v>
      </c>
      <c r="B4004" s="184">
        <v>7002692595</v>
      </c>
      <c r="C4004" s="184">
        <v>1</v>
      </c>
      <c r="D4004" s="184" t="s">
        <v>762</v>
      </c>
    </row>
    <row r="4005" spans="1:4" ht="12.5">
      <c r="A4005" s="186">
        <v>46174</v>
      </c>
      <c r="B4005" s="184">
        <v>7002692955</v>
      </c>
      <c r="C4005" s="184">
        <v>1</v>
      </c>
      <c r="D4005" s="184" t="s">
        <v>762</v>
      </c>
    </row>
    <row r="4006" spans="1:4" ht="12.5">
      <c r="A4006" s="186">
        <v>46174</v>
      </c>
      <c r="B4006" s="184">
        <v>7002693119</v>
      </c>
      <c r="C4006" s="184">
        <v>5</v>
      </c>
      <c r="D4006" s="184" t="s">
        <v>751</v>
      </c>
    </row>
    <row r="4007" spans="1:4" ht="12.5">
      <c r="A4007" s="186">
        <v>46174</v>
      </c>
      <c r="B4007" s="184">
        <v>7002693320</v>
      </c>
      <c r="C4007" s="184">
        <v>8</v>
      </c>
      <c r="D4007" s="184" t="s">
        <v>758</v>
      </c>
    </row>
    <row r="4008" spans="1:4" ht="12.5">
      <c r="A4008" s="186">
        <v>46174</v>
      </c>
      <c r="B4008" s="184">
        <v>7002693354</v>
      </c>
      <c r="C4008" s="184">
        <v>4</v>
      </c>
      <c r="D4008" s="184" t="s">
        <v>751</v>
      </c>
    </row>
    <row r="4009" spans="1:4" ht="12.5">
      <c r="A4009" s="186">
        <v>46174</v>
      </c>
      <c r="B4009" s="184">
        <v>7002693365</v>
      </c>
      <c r="C4009" s="184">
        <v>78</v>
      </c>
      <c r="D4009" s="184" t="s">
        <v>752</v>
      </c>
    </row>
    <row r="4010" spans="1:4" ht="12.5">
      <c r="A4010" s="186">
        <v>46174</v>
      </c>
      <c r="B4010" s="184">
        <v>7002693695</v>
      </c>
      <c r="C4010" s="184">
        <v>356</v>
      </c>
      <c r="D4010" s="184" t="s">
        <v>752</v>
      </c>
    </row>
    <row r="4011" spans="1:4" ht="12.5">
      <c r="A4011" s="186">
        <v>46174</v>
      </c>
      <c r="B4011" s="184">
        <v>7002694238</v>
      </c>
      <c r="C4011" s="184">
        <v>1</v>
      </c>
      <c r="D4011" s="184" t="s">
        <v>762</v>
      </c>
    </row>
    <row r="4012" spans="1:4" ht="12.5">
      <c r="A4012" s="186">
        <v>46174</v>
      </c>
      <c r="B4012" s="184">
        <v>7002695628</v>
      </c>
      <c r="C4012" s="184">
        <v>2</v>
      </c>
      <c r="D4012" s="184" t="s">
        <v>751</v>
      </c>
    </row>
    <row r="4013" spans="1:4" ht="12.5">
      <c r="A4013" s="186">
        <v>46174</v>
      </c>
      <c r="B4013" s="184">
        <v>7002696133</v>
      </c>
      <c r="C4013" s="184">
        <v>1</v>
      </c>
      <c r="D4013" s="184" t="s">
        <v>762</v>
      </c>
    </row>
    <row r="4014" spans="1:4" ht="12.5">
      <c r="A4014" s="186">
        <v>46174</v>
      </c>
      <c r="B4014" s="184">
        <v>7002696180</v>
      </c>
      <c r="C4014" s="184">
        <v>5</v>
      </c>
      <c r="D4014" s="184" t="s">
        <v>751</v>
      </c>
    </row>
    <row r="4015" spans="1:4" ht="12.5">
      <c r="A4015" s="186">
        <v>46174</v>
      </c>
      <c r="B4015" s="184">
        <v>7002696234</v>
      </c>
      <c r="C4015" s="184">
        <v>3</v>
      </c>
      <c r="D4015" s="184" t="s">
        <v>751</v>
      </c>
    </row>
    <row r="4016" spans="1:4" ht="12.5">
      <c r="A4016" s="186">
        <v>46174</v>
      </c>
      <c r="B4016" s="184">
        <v>7002696247</v>
      </c>
      <c r="C4016" s="184">
        <v>8</v>
      </c>
      <c r="D4016" s="184" t="s">
        <v>758</v>
      </c>
    </row>
    <row r="4017" spans="1:4" ht="12.5">
      <c r="A4017" s="186">
        <v>46174</v>
      </c>
      <c r="B4017" s="184">
        <v>7002696736</v>
      </c>
      <c r="C4017" s="184">
        <v>5</v>
      </c>
      <c r="D4017" s="184" t="s">
        <v>751</v>
      </c>
    </row>
    <row r="4018" spans="1:4" ht="12.5">
      <c r="A4018" s="186">
        <v>46174</v>
      </c>
      <c r="B4018" s="184">
        <v>7002697276</v>
      </c>
      <c r="C4018" s="184">
        <v>12</v>
      </c>
      <c r="D4018" s="184" t="s">
        <v>752</v>
      </c>
    </row>
    <row r="4019" spans="1:4" ht="12.5">
      <c r="A4019" s="186">
        <v>46174</v>
      </c>
      <c r="B4019" s="184">
        <v>7002698182</v>
      </c>
      <c r="C4019" s="184">
        <v>5</v>
      </c>
      <c r="D4019" s="184" t="s">
        <v>751</v>
      </c>
    </row>
    <row r="4020" spans="1:4" ht="12.5">
      <c r="A4020" s="186">
        <v>46174</v>
      </c>
      <c r="B4020" s="184">
        <v>7002698231</v>
      </c>
      <c r="C4020" s="184">
        <v>4</v>
      </c>
      <c r="D4020" s="184" t="s">
        <v>751</v>
      </c>
    </row>
    <row r="4021" spans="1:4" ht="12.5">
      <c r="A4021" s="186">
        <v>46174</v>
      </c>
      <c r="B4021" s="184">
        <v>7002698562</v>
      </c>
      <c r="C4021" s="184">
        <v>4</v>
      </c>
      <c r="D4021" s="184" t="s">
        <v>751</v>
      </c>
    </row>
    <row r="4022" spans="1:4" ht="12.5">
      <c r="A4022" s="186">
        <v>46174</v>
      </c>
      <c r="B4022" s="184">
        <v>7002698980</v>
      </c>
      <c r="C4022" s="184">
        <v>8</v>
      </c>
      <c r="D4022" s="184" t="s">
        <v>758</v>
      </c>
    </row>
    <row r="4023" spans="1:4" ht="12.5">
      <c r="A4023" s="186">
        <v>46174</v>
      </c>
      <c r="B4023" s="184">
        <v>7002699177</v>
      </c>
      <c r="C4023" s="184">
        <v>5</v>
      </c>
      <c r="D4023" s="184" t="s">
        <v>751</v>
      </c>
    </row>
    <row r="4024" spans="1:4" ht="12.5">
      <c r="A4024" s="186">
        <v>46174</v>
      </c>
      <c r="B4024" s="184">
        <v>7002699453</v>
      </c>
      <c r="C4024" s="184">
        <v>1</v>
      </c>
      <c r="D4024" s="184" t="s">
        <v>762</v>
      </c>
    </row>
    <row r="4025" spans="1:4" ht="12.5">
      <c r="A4025" s="186">
        <v>46174</v>
      </c>
      <c r="B4025" s="184">
        <v>7002699571</v>
      </c>
      <c r="C4025" s="184">
        <v>3</v>
      </c>
      <c r="D4025" s="184" t="s">
        <v>751</v>
      </c>
    </row>
    <row r="4026" spans="1:4" ht="12.5">
      <c r="A4026" s="186">
        <v>46174</v>
      </c>
      <c r="B4026" s="184">
        <v>7002700768</v>
      </c>
      <c r="C4026" s="184">
        <v>3</v>
      </c>
      <c r="D4026" s="184" t="s">
        <v>751</v>
      </c>
    </row>
    <row r="4027" spans="1:4" ht="12.5">
      <c r="A4027" s="186">
        <v>46174</v>
      </c>
      <c r="B4027" s="184">
        <v>7002700803</v>
      </c>
      <c r="C4027" s="184">
        <v>20</v>
      </c>
      <c r="D4027" s="184" t="s">
        <v>752</v>
      </c>
    </row>
    <row r="4028" spans="1:4" ht="12.5">
      <c r="A4028" s="186">
        <v>46174</v>
      </c>
      <c r="B4028" s="184">
        <v>7002702732</v>
      </c>
      <c r="C4028" s="184">
        <v>37</v>
      </c>
      <c r="D4028" s="184" t="s">
        <v>752</v>
      </c>
    </row>
    <row r="4029" spans="1:4" ht="12.5">
      <c r="A4029" s="186">
        <v>46174</v>
      </c>
      <c r="B4029" s="184">
        <v>7002703084</v>
      </c>
      <c r="C4029" s="184">
        <v>4</v>
      </c>
      <c r="D4029" s="184" t="s">
        <v>751</v>
      </c>
    </row>
    <row r="4030" spans="1:4" ht="12.5">
      <c r="A4030" s="186">
        <v>46174</v>
      </c>
      <c r="B4030" s="184">
        <v>7002704164</v>
      </c>
      <c r="C4030" s="184">
        <v>6</v>
      </c>
      <c r="D4030" s="184" t="s">
        <v>758</v>
      </c>
    </row>
    <row r="4031" spans="1:4" ht="12.5">
      <c r="A4031" s="186">
        <v>46174</v>
      </c>
      <c r="B4031" s="184">
        <v>7002704456</v>
      </c>
      <c r="C4031" s="184">
        <v>3</v>
      </c>
      <c r="D4031" s="184" t="s">
        <v>751</v>
      </c>
    </row>
    <row r="4032" spans="1:4" ht="12.5">
      <c r="A4032" s="186">
        <v>46174</v>
      </c>
      <c r="B4032" s="184">
        <v>7002707657</v>
      </c>
      <c r="C4032" s="184">
        <v>22</v>
      </c>
      <c r="D4032" s="184" t="s">
        <v>752</v>
      </c>
    </row>
    <row r="4033" spans="1:4" ht="12.5">
      <c r="A4033" s="186">
        <v>46174</v>
      </c>
      <c r="B4033" s="184">
        <v>7002709018</v>
      </c>
      <c r="C4033" s="184">
        <v>1</v>
      </c>
      <c r="D4033" s="184" t="s">
        <v>762</v>
      </c>
    </row>
    <row r="4034" spans="1:4" ht="12.5">
      <c r="A4034" s="186">
        <v>46174</v>
      </c>
      <c r="B4034" s="184">
        <v>7002709184</v>
      </c>
      <c r="C4034" s="184">
        <v>9</v>
      </c>
      <c r="D4034" s="184" t="s">
        <v>758</v>
      </c>
    </row>
    <row r="4035" spans="1:4" ht="12.5">
      <c r="A4035" s="186">
        <v>46174</v>
      </c>
      <c r="B4035" s="184">
        <v>7002709703</v>
      </c>
      <c r="C4035" s="184">
        <v>4</v>
      </c>
      <c r="D4035" s="184" t="s">
        <v>751</v>
      </c>
    </row>
    <row r="4036" spans="1:4" ht="12.5">
      <c r="A4036" s="186">
        <v>46174</v>
      </c>
      <c r="B4036" s="184">
        <v>7002710700</v>
      </c>
      <c r="C4036" s="184">
        <v>5</v>
      </c>
      <c r="D4036" s="184" t="s">
        <v>751</v>
      </c>
    </row>
    <row r="4037" spans="1:4" ht="12.5">
      <c r="A4037" s="186">
        <v>46174</v>
      </c>
      <c r="B4037" s="184">
        <v>7002710728</v>
      </c>
      <c r="C4037" s="184">
        <v>1</v>
      </c>
      <c r="D4037" s="184" t="s">
        <v>762</v>
      </c>
    </row>
    <row r="4038" spans="1:4" ht="12.5">
      <c r="A4038" s="186">
        <v>46174</v>
      </c>
      <c r="B4038" s="184">
        <v>7002710737</v>
      </c>
      <c r="C4038" s="184">
        <v>6</v>
      </c>
      <c r="D4038" s="184" t="s">
        <v>758</v>
      </c>
    </row>
    <row r="4039" spans="1:4" ht="12.5">
      <c r="A4039" s="186">
        <v>46174</v>
      </c>
      <c r="B4039" s="184">
        <v>7002710771</v>
      </c>
      <c r="C4039" s="184">
        <v>5</v>
      </c>
      <c r="D4039" s="184" t="s">
        <v>751</v>
      </c>
    </row>
    <row r="4040" spans="1:4" ht="12.5">
      <c r="A4040" s="186">
        <v>46174</v>
      </c>
      <c r="B4040" s="184">
        <v>7002710877</v>
      </c>
      <c r="C4040" s="184">
        <v>1</v>
      </c>
      <c r="D4040" s="184" t="s">
        <v>762</v>
      </c>
    </row>
    <row r="4041" spans="1:4" ht="12.5">
      <c r="A4041" s="186">
        <v>46174</v>
      </c>
      <c r="B4041" s="184">
        <v>7002710945</v>
      </c>
      <c r="C4041" s="184">
        <v>35</v>
      </c>
      <c r="D4041" s="184" t="s">
        <v>752</v>
      </c>
    </row>
    <row r="4042" spans="1:4" ht="12.5">
      <c r="A4042" s="186">
        <v>46174</v>
      </c>
      <c r="B4042" s="184">
        <v>7002710978</v>
      </c>
      <c r="C4042" s="184">
        <v>3</v>
      </c>
      <c r="D4042" s="184" t="s">
        <v>751</v>
      </c>
    </row>
    <row r="4043" spans="1:4" ht="12.5">
      <c r="A4043" s="186">
        <v>46174</v>
      </c>
      <c r="B4043" s="184">
        <v>7002711762</v>
      </c>
      <c r="C4043" s="184">
        <v>44</v>
      </c>
      <c r="D4043" s="184" t="s">
        <v>752</v>
      </c>
    </row>
    <row r="4044" spans="1:4" ht="12.5">
      <c r="A4044" s="186">
        <v>46174</v>
      </c>
      <c r="B4044" s="184">
        <v>7002712703</v>
      </c>
      <c r="C4044" s="184">
        <v>20</v>
      </c>
      <c r="D4044" s="184" t="s">
        <v>752</v>
      </c>
    </row>
    <row r="4045" spans="1:4" ht="12.5">
      <c r="A4045" s="186">
        <v>46174</v>
      </c>
      <c r="B4045" s="184">
        <v>7002712726</v>
      </c>
      <c r="C4045" s="184">
        <v>5</v>
      </c>
      <c r="D4045" s="184" t="s">
        <v>751</v>
      </c>
    </row>
    <row r="4046" spans="1:4" ht="12.5">
      <c r="A4046" s="186">
        <v>46174</v>
      </c>
      <c r="B4046" s="184">
        <v>7002712788</v>
      </c>
      <c r="C4046" s="184">
        <v>46</v>
      </c>
      <c r="D4046" s="184" t="s">
        <v>752</v>
      </c>
    </row>
    <row r="4047" spans="1:4" ht="12.5">
      <c r="A4047" s="186">
        <v>46174</v>
      </c>
      <c r="B4047" s="184">
        <v>7002712868</v>
      </c>
      <c r="C4047" s="184">
        <v>2</v>
      </c>
      <c r="D4047" s="184" t="s">
        <v>751</v>
      </c>
    </row>
    <row r="4048" spans="1:4" ht="12.5">
      <c r="A4048" s="186">
        <v>46174</v>
      </c>
      <c r="B4048" s="184">
        <v>7002712875</v>
      </c>
      <c r="C4048" s="184">
        <v>1</v>
      </c>
      <c r="D4048" s="184" t="s">
        <v>762</v>
      </c>
    </row>
    <row r="4049" spans="1:4" ht="12.5">
      <c r="A4049" s="186">
        <v>46174</v>
      </c>
      <c r="B4049" s="184">
        <v>7002712953</v>
      </c>
      <c r="C4049" s="184">
        <v>7</v>
      </c>
      <c r="D4049" s="184" t="s">
        <v>758</v>
      </c>
    </row>
    <row r="4050" spans="1:4" ht="12.5">
      <c r="A4050" s="186">
        <v>46174</v>
      </c>
      <c r="B4050" s="184">
        <v>7002713718</v>
      </c>
      <c r="C4050" s="184">
        <v>15</v>
      </c>
      <c r="D4050" s="184" t="s">
        <v>752</v>
      </c>
    </row>
    <row r="4051" spans="1:4" ht="12.5">
      <c r="A4051" s="186">
        <v>46174</v>
      </c>
      <c r="B4051" s="184">
        <v>7002713773</v>
      </c>
      <c r="C4051" s="184">
        <v>120</v>
      </c>
      <c r="D4051" s="184" t="s">
        <v>752</v>
      </c>
    </row>
    <row r="4052" spans="1:4" ht="12.5">
      <c r="A4052" s="186">
        <v>46174</v>
      </c>
      <c r="B4052" s="184">
        <v>7002713787</v>
      </c>
      <c r="C4052" s="184">
        <v>1</v>
      </c>
      <c r="D4052" s="184" t="s">
        <v>762</v>
      </c>
    </row>
    <row r="4053" spans="1:4" ht="12.5">
      <c r="A4053" s="186">
        <v>46174</v>
      </c>
      <c r="B4053" s="184">
        <v>7002713910</v>
      </c>
      <c r="C4053" s="184">
        <v>1</v>
      </c>
      <c r="D4053" s="184" t="s">
        <v>762</v>
      </c>
    </row>
    <row r="4054" spans="1:4" ht="12.5">
      <c r="A4054" s="186">
        <v>46174</v>
      </c>
      <c r="B4054" s="184">
        <v>7002713923</v>
      </c>
      <c r="C4054" s="184">
        <v>3</v>
      </c>
      <c r="D4054" s="184" t="s">
        <v>751</v>
      </c>
    </row>
    <row r="4055" spans="1:4" ht="12.5">
      <c r="A4055" s="186">
        <v>46174</v>
      </c>
      <c r="B4055" s="184">
        <v>7002714793</v>
      </c>
      <c r="C4055" s="184">
        <v>1</v>
      </c>
      <c r="D4055" s="184" t="s">
        <v>762</v>
      </c>
    </row>
    <row r="4056" spans="1:4" ht="12.5">
      <c r="A4056" s="186">
        <v>46174</v>
      </c>
      <c r="B4056" s="184">
        <v>7002714914</v>
      </c>
      <c r="C4056" s="184">
        <v>1</v>
      </c>
      <c r="D4056" s="184" t="s">
        <v>762</v>
      </c>
    </row>
    <row r="4057" spans="1:4" ht="12.5">
      <c r="A4057" s="186">
        <v>46174</v>
      </c>
      <c r="B4057" s="184">
        <v>7002715733</v>
      </c>
      <c r="C4057" s="184">
        <v>5</v>
      </c>
      <c r="D4057" s="184" t="s">
        <v>751</v>
      </c>
    </row>
    <row r="4058" spans="1:4" ht="12.5">
      <c r="A4058" s="186">
        <v>46174</v>
      </c>
      <c r="B4058" s="184">
        <v>7002715746</v>
      </c>
      <c r="C4058" s="184">
        <v>54</v>
      </c>
      <c r="D4058" s="184" t="s">
        <v>752</v>
      </c>
    </row>
    <row r="4059" spans="1:4" ht="12.5">
      <c r="A4059" s="186">
        <v>46174</v>
      </c>
      <c r="B4059" s="184">
        <v>7002716710</v>
      </c>
      <c r="C4059" s="184">
        <v>1</v>
      </c>
      <c r="D4059" s="184" t="s">
        <v>762</v>
      </c>
    </row>
    <row r="4060" spans="1:4" ht="12.5">
      <c r="A4060" s="186">
        <v>46174</v>
      </c>
      <c r="B4060" s="184">
        <v>7002716723</v>
      </c>
      <c r="C4060" s="184">
        <v>10</v>
      </c>
      <c r="D4060" s="184" t="s">
        <v>758</v>
      </c>
    </row>
    <row r="4061" spans="1:4" ht="12.5">
      <c r="A4061" s="186">
        <v>46174</v>
      </c>
      <c r="B4061" s="184">
        <v>7002716747</v>
      </c>
      <c r="C4061" s="184">
        <v>25</v>
      </c>
      <c r="D4061" s="184" t="s">
        <v>752</v>
      </c>
    </row>
    <row r="4062" spans="1:4" ht="12.5">
      <c r="A4062" s="186">
        <v>46174</v>
      </c>
      <c r="B4062" s="184">
        <v>7002716752</v>
      </c>
      <c r="C4062" s="184">
        <v>6</v>
      </c>
      <c r="D4062" s="184" t="s">
        <v>758</v>
      </c>
    </row>
    <row r="4063" spans="1:4" ht="12.5">
      <c r="A4063" s="186">
        <v>46174</v>
      </c>
      <c r="B4063" s="184">
        <v>7002716781</v>
      </c>
      <c r="C4063" s="184">
        <v>6</v>
      </c>
      <c r="D4063" s="184" t="s">
        <v>758</v>
      </c>
    </row>
    <row r="4064" spans="1:4" ht="12.5">
      <c r="A4064" s="186">
        <v>46174</v>
      </c>
      <c r="B4064" s="184">
        <v>7002716902</v>
      </c>
      <c r="C4064" s="184">
        <v>6</v>
      </c>
      <c r="D4064" s="184" t="s">
        <v>758</v>
      </c>
    </row>
    <row r="4065" spans="1:4" ht="12.5">
      <c r="A4065" s="186">
        <v>46174</v>
      </c>
      <c r="B4065" s="184">
        <v>7002716925</v>
      </c>
      <c r="C4065" s="184">
        <v>4</v>
      </c>
      <c r="D4065" s="184" t="s">
        <v>751</v>
      </c>
    </row>
    <row r="4066" spans="1:4" ht="12.5">
      <c r="A4066" s="186">
        <v>46174</v>
      </c>
      <c r="B4066" s="184">
        <v>7002717730</v>
      </c>
      <c r="C4066" s="184">
        <v>6</v>
      </c>
      <c r="D4066" s="184" t="s">
        <v>758</v>
      </c>
    </row>
    <row r="4067" spans="1:4" ht="12.5">
      <c r="A4067" s="186">
        <v>46174</v>
      </c>
      <c r="B4067" s="184">
        <v>7002717748</v>
      </c>
      <c r="C4067" s="184">
        <v>15</v>
      </c>
      <c r="D4067" s="184" t="s">
        <v>752</v>
      </c>
    </row>
    <row r="4068" spans="1:4" ht="12.5">
      <c r="A4068" s="186">
        <v>46174</v>
      </c>
      <c r="B4068" s="184">
        <v>7002718712</v>
      </c>
      <c r="C4068" s="184">
        <v>1</v>
      </c>
      <c r="D4068" s="184" t="s">
        <v>762</v>
      </c>
    </row>
    <row r="4069" spans="1:4" ht="12.5">
      <c r="A4069" s="186">
        <v>46174</v>
      </c>
      <c r="B4069" s="184">
        <v>7002718754</v>
      </c>
      <c r="C4069" s="184">
        <v>76</v>
      </c>
      <c r="D4069" s="184" t="s">
        <v>752</v>
      </c>
    </row>
    <row r="4070" spans="1:4" ht="12.5">
      <c r="A4070" s="186">
        <v>46174</v>
      </c>
      <c r="B4070" s="184">
        <v>7002719648</v>
      </c>
      <c r="C4070" s="184">
        <v>1</v>
      </c>
      <c r="D4070" s="184" t="s">
        <v>762</v>
      </c>
    </row>
    <row r="4071" spans="1:4" ht="12.5">
      <c r="A4071" s="186">
        <v>46174</v>
      </c>
      <c r="B4071" s="184">
        <v>7002719709</v>
      </c>
      <c r="C4071" s="184">
        <v>10</v>
      </c>
      <c r="D4071" s="184" t="s">
        <v>758</v>
      </c>
    </row>
    <row r="4072" spans="1:4" ht="12.5">
      <c r="A4072" s="186">
        <v>46174</v>
      </c>
      <c r="B4072" s="184">
        <v>7002719713</v>
      </c>
      <c r="C4072" s="184">
        <v>2</v>
      </c>
      <c r="D4072" s="184" t="s">
        <v>751</v>
      </c>
    </row>
    <row r="4073" spans="1:4" ht="12.5">
      <c r="A4073" s="186">
        <v>46174</v>
      </c>
      <c r="B4073" s="184">
        <v>7002719721</v>
      </c>
      <c r="C4073" s="184">
        <v>1</v>
      </c>
      <c r="D4073" s="184" t="s">
        <v>762</v>
      </c>
    </row>
    <row r="4074" spans="1:4" ht="12.5">
      <c r="A4074" s="186">
        <v>46174</v>
      </c>
      <c r="B4074" s="184">
        <v>7002719750</v>
      </c>
      <c r="C4074" s="184">
        <v>12</v>
      </c>
      <c r="D4074" s="184" t="s">
        <v>752</v>
      </c>
    </row>
    <row r="4075" spans="1:4" ht="12.5">
      <c r="A4075" s="186">
        <v>46174</v>
      </c>
      <c r="B4075" s="184">
        <v>7002719766</v>
      </c>
      <c r="C4075" s="184">
        <v>18</v>
      </c>
      <c r="D4075" s="184" t="s">
        <v>752</v>
      </c>
    </row>
    <row r="4076" spans="1:4" ht="12.5">
      <c r="A4076" s="186">
        <v>46174</v>
      </c>
      <c r="B4076" s="184">
        <v>7002719784</v>
      </c>
      <c r="C4076" s="184">
        <v>12</v>
      </c>
      <c r="D4076" s="184" t="s">
        <v>752</v>
      </c>
    </row>
    <row r="4077" spans="1:4" ht="12.5">
      <c r="A4077" s="186">
        <v>46174</v>
      </c>
      <c r="B4077" s="184">
        <v>7002719900</v>
      </c>
      <c r="C4077" s="184">
        <v>2</v>
      </c>
      <c r="D4077" s="184" t="s">
        <v>751</v>
      </c>
    </row>
    <row r="4078" spans="1:4" ht="12.5">
      <c r="A4078" s="186">
        <v>46174</v>
      </c>
      <c r="B4078" s="184">
        <v>7002719944</v>
      </c>
      <c r="C4078" s="184">
        <v>13</v>
      </c>
      <c r="D4078" s="184" t="s">
        <v>752</v>
      </c>
    </row>
    <row r="4079" spans="1:4" ht="12.5">
      <c r="A4079" s="186">
        <v>46174</v>
      </c>
      <c r="B4079" s="184">
        <v>7002720118</v>
      </c>
      <c r="C4079" s="184">
        <v>1</v>
      </c>
      <c r="D4079" s="184" t="s">
        <v>762</v>
      </c>
    </row>
    <row r="4080" spans="1:4" ht="12.5">
      <c r="A4080" s="186">
        <v>46174</v>
      </c>
      <c r="B4080" s="184">
        <v>7002720255</v>
      </c>
      <c r="C4080" s="184">
        <v>2</v>
      </c>
      <c r="D4080" s="184" t="s">
        <v>751</v>
      </c>
    </row>
    <row r="4081" spans="1:4" ht="12.5">
      <c r="A4081" s="186">
        <v>46174</v>
      </c>
      <c r="B4081" s="184">
        <v>7002720461</v>
      </c>
      <c r="C4081" s="184">
        <v>10</v>
      </c>
      <c r="D4081" s="184" t="s">
        <v>758</v>
      </c>
    </row>
    <row r="4082" spans="1:4" ht="12.5">
      <c r="A4082" s="186">
        <v>46174</v>
      </c>
      <c r="B4082" s="184">
        <v>7002720546</v>
      </c>
      <c r="C4082" s="184">
        <v>12</v>
      </c>
      <c r="D4082" s="184" t="s">
        <v>752</v>
      </c>
    </row>
    <row r="4083" spans="1:4" ht="12.5">
      <c r="A4083" s="186">
        <v>46174</v>
      </c>
      <c r="B4083" s="184">
        <v>7002721155</v>
      </c>
      <c r="C4083" s="184">
        <v>27</v>
      </c>
      <c r="D4083" s="184" t="s">
        <v>752</v>
      </c>
    </row>
    <row r="4084" spans="1:4" ht="12.5">
      <c r="A4084" s="186">
        <v>46174</v>
      </c>
      <c r="B4084" s="184">
        <v>7002721375</v>
      </c>
      <c r="C4084" s="184">
        <v>11</v>
      </c>
      <c r="D4084" s="184" t="s">
        <v>752</v>
      </c>
    </row>
    <row r="4085" spans="1:4" ht="12.5">
      <c r="A4085" s="186">
        <v>46174</v>
      </c>
      <c r="B4085" s="184">
        <v>7002721439</v>
      </c>
      <c r="C4085" s="184">
        <v>10</v>
      </c>
      <c r="D4085" s="184" t="s">
        <v>758</v>
      </c>
    </row>
    <row r="4086" spans="1:4" ht="12.5">
      <c r="A4086" s="186">
        <v>46174</v>
      </c>
      <c r="B4086" s="184">
        <v>7002722262</v>
      </c>
      <c r="C4086" s="184">
        <v>1</v>
      </c>
      <c r="D4086" s="184" t="s">
        <v>762</v>
      </c>
    </row>
    <row r="4087" spans="1:4" ht="12.5">
      <c r="A4087" s="186">
        <v>46174</v>
      </c>
      <c r="B4087" s="184">
        <v>7002722380</v>
      </c>
      <c r="C4087" s="184">
        <v>1</v>
      </c>
      <c r="D4087" s="184" t="s">
        <v>762</v>
      </c>
    </row>
    <row r="4088" spans="1:4" ht="12.5">
      <c r="A4088" s="186">
        <v>46174</v>
      </c>
      <c r="B4088" s="184">
        <v>7002722429</v>
      </c>
      <c r="C4088" s="184">
        <v>9</v>
      </c>
      <c r="D4088" s="184" t="s">
        <v>758</v>
      </c>
    </row>
    <row r="4089" spans="1:4" ht="12.5">
      <c r="A4089" s="186">
        <v>46174</v>
      </c>
      <c r="B4089" s="184">
        <v>7002722684</v>
      </c>
      <c r="C4089" s="184">
        <v>4</v>
      </c>
      <c r="D4089" s="184" t="s">
        <v>751</v>
      </c>
    </row>
    <row r="4090" spans="1:4" ht="12.5">
      <c r="A4090" s="186">
        <v>46174</v>
      </c>
      <c r="B4090" s="184">
        <v>7002722706</v>
      </c>
      <c r="C4090" s="184">
        <v>4</v>
      </c>
      <c r="D4090" s="184" t="s">
        <v>751</v>
      </c>
    </row>
    <row r="4091" spans="1:4" ht="12.5">
      <c r="A4091" s="186">
        <v>46174</v>
      </c>
      <c r="B4091" s="184">
        <v>7002723023</v>
      </c>
      <c r="C4091" s="184">
        <v>1</v>
      </c>
      <c r="D4091" s="184" t="s">
        <v>762</v>
      </c>
    </row>
    <row r="4092" spans="1:4" ht="12.5">
      <c r="A4092" s="186">
        <v>46174</v>
      </c>
      <c r="B4092" s="184">
        <v>7002723290</v>
      </c>
      <c r="C4092" s="184">
        <v>74</v>
      </c>
      <c r="D4092" s="184" t="s">
        <v>752</v>
      </c>
    </row>
    <row r="4093" spans="1:4" ht="12.5">
      <c r="A4093" s="186">
        <v>46174</v>
      </c>
      <c r="B4093" s="184">
        <v>7002723397</v>
      </c>
      <c r="C4093" s="184">
        <v>1</v>
      </c>
      <c r="D4093" s="184" t="s">
        <v>762</v>
      </c>
    </row>
    <row r="4094" spans="1:4" ht="12.5">
      <c r="A4094" s="186">
        <v>46174</v>
      </c>
      <c r="B4094" s="184">
        <v>7002723612</v>
      </c>
      <c r="C4094" s="184">
        <v>10</v>
      </c>
      <c r="D4094" s="184" t="s">
        <v>758</v>
      </c>
    </row>
    <row r="4095" spans="1:4" ht="12.5">
      <c r="A4095" s="186">
        <v>46174</v>
      </c>
      <c r="B4095" s="184">
        <v>7002723722</v>
      </c>
      <c r="C4095" s="184">
        <v>1</v>
      </c>
      <c r="D4095" s="184" t="s">
        <v>762</v>
      </c>
    </row>
    <row r="4096" spans="1:4" ht="12.5">
      <c r="A4096" s="186">
        <v>46174</v>
      </c>
      <c r="B4096" s="184">
        <v>7002723917</v>
      </c>
      <c r="C4096" s="184">
        <v>1</v>
      </c>
      <c r="D4096" s="184" t="s">
        <v>762</v>
      </c>
    </row>
    <row r="4097" spans="1:4" ht="12.5">
      <c r="A4097" s="186">
        <v>46174</v>
      </c>
      <c r="B4097" s="184">
        <v>7002724383</v>
      </c>
      <c r="C4097" s="184">
        <v>10</v>
      </c>
      <c r="D4097" s="184" t="s">
        <v>758</v>
      </c>
    </row>
    <row r="4098" spans="1:4" ht="12.5">
      <c r="A4098" s="186">
        <v>46174</v>
      </c>
      <c r="B4098" s="184">
        <v>7002724611</v>
      </c>
      <c r="C4098" s="184">
        <v>4</v>
      </c>
      <c r="D4098" s="184" t="s">
        <v>751</v>
      </c>
    </row>
    <row r="4099" spans="1:4" ht="12.5">
      <c r="A4099" s="186">
        <v>46174</v>
      </c>
      <c r="B4099" s="184">
        <v>7002724695</v>
      </c>
      <c r="C4099" s="184">
        <v>5</v>
      </c>
      <c r="D4099" s="184" t="s">
        <v>751</v>
      </c>
    </row>
    <row r="4100" spans="1:4" ht="12.5">
      <c r="A4100" s="186">
        <v>46174</v>
      </c>
      <c r="B4100" s="184">
        <v>7002724721</v>
      </c>
      <c r="C4100" s="184">
        <v>1</v>
      </c>
      <c r="D4100" s="184" t="s">
        <v>762</v>
      </c>
    </row>
    <row r="4101" spans="1:4" ht="12.5">
      <c r="A4101" s="186">
        <v>46174</v>
      </c>
      <c r="B4101" s="184">
        <v>7002725284</v>
      </c>
      <c r="C4101" s="184">
        <v>97</v>
      </c>
      <c r="D4101" s="184" t="s">
        <v>752</v>
      </c>
    </row>
    <row r="4102" spans="1:4" ht="12.5">
      <c r="A4102" s="186">
        <v>46174</v>
      </c>
      <c r="B4102" s="184">
        <v>7002725357</v>
      </c>
      <c r="C4102" s="184">
        <v>6</v>
      </c>
      <c r="D4102" s="184" t="s">
        <v>758</v>
      </c>
    </row>
    <row r="4103" spans="1:4" ht="12.5">
      <c r="A4103" s="186">
        <v>46174</v>
      </c>
      <c r="B4103" s="184">
        <v>7002725388</v>
      </c>
      <c r="C4103" s="184">
        <v>4</v>
      </c>
      <c r="D4103" s="184" t="s">
        <v>751</v>
      </c>
    </row>
    <row r="4104" spans="1:4" ht="12.5">
      <c r="A4104" s="186">
        <v>46174</v>
      </c>
      <c r="B4104" s="184">
        <v>7002725390</v>
      </c>
      <c r="C4104" s="184">
        <v>11</v>
      </c>
      <c r="D4104" s="184" t="s">
        <v>752</v>
      </c>
    </row>
    <row r="4105" spans="1:4" ht="12.5">
      <c r="A4105" s="186">
        <v>46174</v>
      </c>
      <c r="B4105" s="184">
        <v>7002725424</v>
      </c>
      <c r="C4105" s="184">
        <v>7</v>
      </c>
      <c r="D4105" s="184" t="s">
        <v>758</v>
      </c>
    </row>
    <row r="4106" spans="1:4" ht="12.5">
      <c r="A4106" s="186">
        <v>46174</v>
      </c>
      <c r="B4106" s="184">
        <v>7002725718</v>
      </c>
      <c r="C4106" s="184">
        <v>4</v>
      </c>
      <c r="D4106" s="184" t="s">
        <v>751</v>
      </c>
    </row>
    <row r="4107" spans="1:4" ht="12.5">
      <c r="A4107" s="186">
        <v>46174</v>
      </c>
      <c r="B4107" s="184">
        <v>7002726358</v>
      </c>
      <c r="C4107" s="184">
        <v>3</v>
      </c>
      <c r="D4107" s="184" t="s">
        <v>751</v>
      </c>
    </row>
    <row r="4108" spans="1:4" ht="12.5">
      <c r="A4108" s="186">
        <v>46174</v>
      </c>
      <c r="B4108" s="184">
        <v>7002726477</v>
      </c>
      <c r="C4108" s="184">
        <v>2</v>
      </c>
      <c r="D4108" s="184" t="s">
        <v>751</v>
      </c>
    </row>
    <row r="4109" spans="1:4" ht="12.5">
      <c r="A4109" s="186">
        <v>46174</v>
      </c>
      <c r="B4109" s="184">
        <v>7002726616</v>
      </c>
      <c r="C4109" s="184">
        <v>1</v>
      </c>
      <c r="D4109" s="184" t="s">
        <v>762</v>
      </c>
    </row>
    <row r="4110" spans="1:4" ht="12.5">
      <c r="A4110" s="186">
        <v>46174</v>
      </c>
      <c r="B4110" s="184">
        <v>7002726719</v>
      </c>
      <c r="C4110" s="184">
        <v>4</v>
      </c>
      <c r="D4110" s="184" t="s">
        <v>751</v>
      </c>
    </row>
    <row r="4111" spans="1:4" ht="12.5">
      <c r="A4111" s="186">
        <v>46174</v>
      </c>
      <c r="B4111" s="184">
        <v>7002727210</v>
      </c>
      <c r="C4111" s="184">
        <v>4</v>
      </c>
      <c r="D4111" s="184" t="s">
        <v>751</v>
      </c>
    </row>
    <row r="4112" spans="1:4" ht="12.5">
      <c r="A4112" s="186">
        <v>46174</v>
      </c>
      <c r="B4112" s="184">
        <v>7002727344</v>
      </c>
      <c r="C4112" s="184">
        <v>4</v>
      </c>
      <c r="D4112" s="184" t="s">
        <v>751</v>
      </c>
    </row>
    <row r="4113" spans="1:4" ht="12.5">
      <c r="A4113" s="186">
        <v>46174</v>
      </c>
      <c r="B4113" s="184">
        <v>7002727413</v>
      </c>
      <c r="C4113" s="184">
        <v>5</v>
      </c>
      <c r="D4113" s="184" t="s">
        <v>751</v>
      </c>
    </row>
    <row r="4114" spans="1:4" ht="12.5">
      <c r="A4114" s="186">
        <v>46174</v>
      </c>
      <c r="B4114" s="184">
        <v>7002727617</v>
      </c>
      <c r="C4114" s="184">
        <v>1</v>
      </c>
      <c r="D4114" s="184" t="s">
        <v>762</v>
      </c>
    </row>
    <row r="4115" spans="1:4" ht="12.5">
      <c r="A4115" s="186">
        <v>46174</v>
      </c>
      <c r="B4115" s="184">
        <v>7002727693</v>
      </c>
      <c r="C4115" s="184">
        <v>3</v>
      </c>
      <c r="D4115" s="184" t="s">
        <v>751</v>
      </c>
    </row>
    <row r="4116" spans="1:4" ht="12.5">
      <c r="A4116" s="186">
        <v>46174</v>
      </c>
      <c r="B4116" s="184">
        <v>7002728211</v>
      </c>
      <c r="C4116" s="184">
        <v>4</v>
      </c>
      <c r="D4116" s="184" t="s">
        <v>751</v>
      </c>
    </row>
    <row r="4117" spans="1:4" ht="12.5">
      <c r="A4117" s="186">
        <v>46174</v>
      </c>
      <c r="B4117" s="184">
        <v>7002728479</v>
      </c>
      <c r="C4117" s="184">
        <v>3</v>
      </c>
      <c r="D4117" s="184" t="s">
        <v>751</v>
      </c>
    </row>
    <row r="4118" spans="1:4" ht="12.5">
      <c r="A4118" s="186">
        <v>46174</v>
      </c>
      <c r="B4118" s="184">
        <v>7002728716</v>
      </c>
      <c r="C4118" s="184">
        <v>3</v>
      </c>
      <c r="D4118" s="184" t="s">
        <v>751</v>
      </c>
    </row>
    <row r="4119" spans="1:4" ht="12.5">
      <c r="A4119" s="186">
        <v>46174</v>
      </c>
      <c r="B4119" s="184">
        <v>7002729265</v>
      </c>
      <c r="C4119" s="184">
        <v>116</v>
      </c>
      <c r="D4119" s="184" t="s">
        <v>752</v>
      </c>
    </row>
    <row r="4120" spans="1:4" ht="12.5">
      <c r="A4120" s="186">
        <v>46174</v>
      </c>
      <c r="B4120" s="184">
        <v>7002729591</v>
      </c>
      <c r="C4120" s="184">
        <v>1</v>
      </c>
      <c r="D4120" s="184" t="s">
        <v>762</v>
      </c>
    </row>
    <row r="4121" spans="1:4" ht="12.5">
      <c r="A4121" s="186">
        <v>46174</v>
      </c>
      <c r="B4121" s="184">
        <v>7002729657</v>
      </c>
      <c r="C4121" s="184">
        <v>4</v>
      </c>
      <c r="D4121" s="184" t="s">
        <v>751</v>
      </c>
    </row>
    <row r="4122" spans="1:4" ht="12.5">
      <c r="A4122" s="186">
        <v>46174</v>
      </c>
      <c r="B4122" s="184">
        <v>7002729914</v>
      </c>
      <c r="C4122" s="184">
        <v>13</v>
      </c>
      <c r="D4122" s="184" t="s">
        <v>752</v>
      </c>
    </row>
    <row r="4123" spans="1:4" ht="12.5">
      <c r="A4123" s="186">
        <v>46174</v>
      </c>
      <c r="B4123" s="184">
        <v>7002730481</v>
      </c>
      <c r="C4123" s="184">
        <v>1</v>
      </c>
      <c r="D4123" s="184" t="s">
        <v>762</v>
      </c>
    </row>
    <row r="4124" spans="1:4" ht="12.5">
      <c r="A4124" s="186">
        <v>46174</v>
      </c>
      <c r="B4124" s="184">
        <v>7002731526</v>
      </c>
      <c r="C4124" s="184">
        <v>1</v>
      </c>
      <c r="D4124" s="184" t="s">
        <v>762</v>
      </c>
    </row>
    <row r="4125" spans="1:4" ht="12.5">
      <c r="A4125" s="186">
        <v>46174</v>
      </c>
      <c r="B4125" s="184">
        <v>7002731590</v>
      </c>
      <c r="C4125" s="184">
        <v>1</v>
      </c>
      <c r="D4125" s="184" t="s">
        <v>762</v>
      </c>
    </row>
    <row r="4126" spans="1:4" ht="12.5">
      <c r="A4126" s="186">
        <v>46174</v>
      </c>
      <c r="B4126" s="184">
        <v>7002732573</v>
      </c>
      <c r="C4126" s="184">
        <v>12</v>
      </c>
      <c r="D4126" s="184" t="s">
        <v>752</v>
      </c>
    </row>
    <row r="4127" spans="1:4" ht="12.5">
      <c r="A4127" s="186">
        <v>46174</v>
      </c>
      <c r="B4127" s="184">
        <v>7002733246</v>
      </c>
      <c r="C4127" s="184">
        <v>16</v>
      </c>
      <c r="D4127" s="184" t="s">
        <v>752</v>
      </c>
    </row>
    <row r="4128" spans="1:4" ht="12.5">
      <c r="A4128" s="186">
        <v>46174</v>
      </c>
      <c r="B4128" s="184">
        <v>7002733315</v>
      </c>
      <c r="C4128" s="184">
        <v>1</v>
      </c>
      <c r="D4128" s="184" t="s">
        <v>762</v>
      </c>
    </row>
    <row r="4129" spans="1:4" ht="12.5">
      <c r="A4129" s="186">
        <v>46174</v>
      </c>
      <c r="B4129" s="184">
        <v>7002734476</v>
      </c>
      <c r="C4129" s="184">
        <v>1</v>
      </c>
      <c r="D4129" s="184" t="s">
        <v>762</v>
      </c>
    </row>
    <row r="4130" spans="1:4" ht="12.5">
      <c r="A4130" s="186">
        <v>46174</v>
      </c>
      <c r="B4130" s="184">
        <v>7002734615</v>
      </c>
      <c r="C4130" s="184">
        <v>2</v>
      </c>
      <c r="D4130" s="184" t="s">
        <v>751</v>
      </c>
    </row>
    <row r="4131" spans="1:4" ht="12.5">
      <c r="A4131" s="186">
        <v>46174</v>
      </c>
      <c r="B4131" s="184">
        <v>7002735415</v>
      </c>
      <c r="C4131" s="184">
        <v>2</v>
      </c>
      <c r="D4131" s="184" t="s">
        <v>751</v>
      </c>
    </row>
    <row r="4132" spans="1:4" ht="12.5">
      <c r="A4132" s="186">
        <v>46174</v>
      </c>
      <c r="B4132" s="184">
        <v>7002735491</v>
      </c>
      <c r="C4132" s="184">
        <v>3</v>
      </c>
      <c r="D4132" s="184" t="s">
        <v>751</v>
      </c>
    </row>
    <row r="4133" spans="1:4" ht="12.5">
      <c r="A4133" s="186">
        <v>46174</v>
      </c>
      <c r="B4133" s="184">
        <v>7002736416</v>
      </c>
      <c r="C4133" s="184">
        <v>4</v>
      </c>
      <c r="D4133" s="184" t="s">
        <v>751</v>
      </c>
    </row>
    <row r="4134" spans="1:4" ht="12.5">
      <c r="A4134" s="186">
        <v>46174</v>
      </c>
      <c r="B4134" s="184">
        <v>7002737314</v>
      </c>
      <c r="C4134" s="184">
        <v>2</v>
      </c>
      <c r="D4134" s="184" t="s">
        <v>751</v>
      </c>
    </row>
    <row r="4135" spans="1:4" ht="12.5">
      <c r="A4135" s="186">
        <v>46174</v>
      </c>
      <c r="B4135" s="184">
        <v>7002737531</v>
      </c>
      <c r="C4135" s="184">
        <v>2</v>
      </c>
      <c r="D4135" s="184" t="s">
        <v>751</v>
      </c>
    </row>
    <row r="4136" spans="1:4" ht="12.5">
      <c r="A4136" s="186">
        <v>46174</v>
      </c>
      <c r="B4136" s="184">
        <v>7002739066</v>
      </c>
      <c r="C4136" s="184">
        <v>1</v>
      </c>
      <c r="D4136" s="184" t="s">
        <v>762</v>
      </c>
    </row>
    <row r="4137" spans="1:4" ht="12.5">
      <c r="A4137" s="186">
        <v>46174</v>
      </c>
      <c r="B4137" s="184">
        <v>7002739272</v>
      </c>
      <c r="C4137" s="184">
        <v>1</v>
      </c>
      <c r="D4137" s="184" t="s">
        <v>762</v>
      </c>
    </row>
    <row r="4138" spans="1:4" ht="12.5">
      <c r="A4138" s="186">
        <v>46174</v>
      </c>
      <c r="B4138" s="184">
        <v>7002739324</v>
      </c>
      <c r="C4138" s="184">
        <v>1</v>
      </c>
      <c r="D4138" s="184" t="s">
        <v>762</v>
      </c>
    </row>
    <row r="4139" spans="1:4" ht="12.5">
      <c r="A4139" s="186">
        <v>46174</v>
      </c>
      <c r="B4139" s="184">
        <v>7002739488</v>
      </c>
      <c r="C4139" s="184">
        <v>16</v>
      </c>
      <c r="D4139" s="184" t="s">
        <v>752</v>
      </c>
    </row>
    <row r="4140" spans="1:4" ht="12.5">
      <c r="A4140" s="186">
        <v>46174</v>
      </c>
      <c r="B4140" s="184">
        <v>7002740529</v>
      </c>
      <c r="C4140" s="184">
        <v>3</v>
      </c>
      <c r="D4140" s="184" t="s">
        <v>751</v>
      </c>
    </row>
    <row r="4141" spans="1:4" ht="12.5">
      <c r="A4141" s="186">
        <v>46174</v>
      </c>
      <c r="B4141" s="184">
        <v>7002740586</v>
      </c>
      <c r="C4141" s="184">
        <v>1</v>
      </c>
      <c r="D4141" s="184" t="s">
        <v>762</v>
      </c>
    </row>
    <row r="4142" spans="1:4" ht="12.5">
      <c r="A4142" s="186">
        <v>46174</v>
      </c>
      <c r="B4142" s="184">
        <v>7002741374</v>
      </c>
      <c r="C4142" s="184">
        <v>2</v>
      </c>
      <c r="D4142" s="184" t="s">
        <v>751</v>
      </c>
    </row>
    <row r="4143" spans="1:4" ht="12.5">
      <c r="A4143" s="186">
        <v>46174</v>
      </c>
      <c r="B4143" s="184">
        <v>7002741411</v>
      </c>
      <c r="C4143" s="184">
        <v>1</v>
      </c>
      <c r="D4143" s="184" t="s">
        <v>762</v>
      </c>
    </row>
    <row r="4144" spans="1:4" ht="12.5">
      <c r="A4144" s="186">
        <v>46174</v>
      </c>
      <c r="B4144" s="184">
        <v>7002741592</v>
      </c>
      <c r="C4144" s="184">
        <v>20</v>
      </c>
      <c r="D4144" s="184" t="s">
        <v>752</v>
      </c>
    </row>
    <row r="4145" spans="1:4" ht="12.5">
      <c r="A4145" s="186">
        <v>46174</v>
      </c>
      <c r="B4145" s="184">
        <v>7002742387</v>
      </c>
      <c r="C4145" s="184">
        <v>2</v>
      </c>
      <c r="D4145" s="184" t="s">
        <v>751</v>
      </c>
    </row>
    <row r="4146" spans="1:4" ht="12.5">
      <c r="A4146" s="186">
        <v>46174</v>
      </c>
      <c r="B4146" s="184">
        <v>7002742394</v>
      </c>
      <c r="C4146" s="184">
        <v>99</v>
      </c>
      <c r="D4146" s="184" t="s">
        <v>752</v>
      </c>
    </row>
    <row r="4147" spans="1:4" ht="12.5">
      <c r="A4147" s="186">
        <v>46174</v>
      </c>
      <c r="B4147" s="184">
        <v>7002743386</v>
      </c>
      <c r="C4147" s="184">
        <v>1</v>
      </c>
      <c r="D4147" s="184" t="s">
        <v>762</v>
      </c>
    </row>
    <row r="4148" spans="1:4" ht="12.5">
      <c r="A4148" s="186">
        <v>46174</v>
      </c>
      <c r="B4148" s="184">
        <v>7002743393</v>
      </c>
      <c r="C4148" s="184">
        <v>1</v>
      </c>
      <c r="D4148" s="184" t="s">
        <v>762</v>
      </c>
    </row>
    <row r="4149" spans="1:4" ht="12.5">
      <c r="A4149" s="186">
        <v>46174</v>
      </c>
      <c r="B4149" s="184">
        <v>7002743405</v>
      </c>
      <c r="C4149" s="184">
        <v>2</v>
      </c>
      <c r="D4149" s="184" t="s">
        <v>751</v>
      </c>
    </row>
    <row r="4150" spans="1:4" ht="12.5">
      <c r="A4150" s="186">
        <v>46174</v>
      </c>
      <c r="B4150" s="184">
        <v>7002743433</v>
      </c>
      <c r="C4150" s="184">
        <v>29</v>
      </c>
      <c r="D4150" s="184" t="s">
        <v>752</v>
      </c>
    </row>
    <row r="4151" spans="1:4" ht="12.5">
      <c r="A4151" s="186">
        <v>46174</v>
      </c>
      <c r="B4151" s="184">
        <v>7002744392</v>
      </c>
      <c r="C4151" s="184">
        <v>64</v>
      </c>
      <c r="D4151" s="184" t="s">
        <v>752</v>
      </c>
    </row>
    <row r="4152" spans="1:4" ht="12.5">
      <c r="A4152" s="186">
        <v>46174</v>
      </c>
      <c r="B4152" s="184">
        <v>7002745375</v>
      </c>
      <c r="C4152" s="184">
        <v>1</v>
      </c>
      <c r="D4152" s="184" t="s">
        <v>762</v>
      </c>
    </row>
    <row r="4153" spans="1:4" ht="12.5">
      <c r="A4153" s="186">
        <v>46174</v>
      </c>
      <c r="B4153" s="184">
        <v>7002745381</v>
      </c>
      <c r="C4153" s="184">
        <v>2</v>
      </c>
      <c r="D4153" s="184" t="s">
        <v>751</v>
      </c>
    </row>
    <row r="4154" spans="1:4" ht="12.5">
      <c r="A4154" s="186">
        <v>46174</v>
      </c>
      <c r="B4154" s="184">
        <v>7002745402</v>
      </c>
      <c r="C4154" s="184">
        <v>1</v>
      </c>
      <c r="D4154" s="184" t="s">
        <v>762</v>
      </c>
    </row>
    <row r="4155" spans="1:4" ht="12.5">
      <c r="A4155" s="186">
        <v>46174</v>
      </c>
      <c r="B4155" s="184">
        <v>7002745550</v>
      </c>
      <c r="C4155" s="184">
        <v>1</v>
      </c>
      <c r="D4155" s="184" t="s">
        <v>762</v>
      </c>
    </row>
    <row r="4156" spans="1:4" ht="12.5">
      <c r="A4156" s="186">
        <v>46174</v>
      </c>
      <c r="B4156" s="184">
        <v>7002746376</v>
      </c>
      <c r="C4156" s="184">
        <v>2</v>
      </c>
      <c r="D4156" s="184" t="s">
        <v>751</v>
      </c>
    </row>
    <row r="4157" spans="1:4" ht="12.5">
      <c r="A4157" s="186">
        <v>46174</v>
      </c>
      <c r="B4157" s="184">
        <v>7002746442</v>
      </c>
      <c r="C4157" s="184">
        <v>1</v>
      </c>
      <c r="D4157" s="184" t="s">
        <v>762</v>
      </c>
    </row>
    <row r="4158" spans="1:4" ht="12.5">
      <c r="A4158" s="186">
        <v>46174</v>
      </c>
      <c r="B4158" s="184">
        <v>7002747377</v>
      </c>
      <c r="C4158" s="184">
        <v>168</v>
      </c>
      <c r="D4158" s="184" t="s">
        <v>752</v>
      </c>
    </row>
    <row r="4159" spans="1:4" ht="12.5">
      <c r="A4159" s="186">
        <v>46174</v>
      </c>
      <c r="B4159" s="184">
        <v>7002747383</v>
      </c>
      <c r="C4159" s="184">
        <v>86</v>
      </c>
      <c r="D4159" s="184" t="s">
        <v>752</v>
      </c>
    </row>
    <row r="4160" spans="1:4" ht="12.5">
      <c r="A4160" s="186">
        <v>46174</v>
      </c>
      <c r="B4160" s="184">
        <v>7002747396</v>
      </c>
      <c r="C4160" s="184">
        <v>2</v>
      </c>
      <c r="D4160" s="184" t="s">
        <v>751</v>
      </c>
    </row>
    <row r="4161" spans="1:4" ht="12.5">
      <c r="A4161" s="186">
        <v>46174</v>
      </c>
      <c r="B4161" s="184">
        <v>7002747404</v>
      </c>
      <c r="C4161" s="184">
        <v>2</v>
      </c>
      <c r="D4161" s="184" t="s">
        <v>751</v>
      </c>
    </row>
    <row r="4162" spans="1:4" ht="12.5">
      <c r="A4162" s="186">
        <v>46174</v>
      </c>
      <c r="B4162" s="184">
        <v>7002747436</v>
      </c>
      <c r="C4162" s="184">
        <v>53</v>
      </c>
      <c r="D4162" s="184" t="s">
        <v>752</v>
      </c>
    </row>
    <row r="4163" spans="1:4" ht="12.5">
      <c r="A4163" s="186">
        <v>46174</v>
      </c>
      <c r="B4163" s="184">
        <v>7002748428</v>
      </c>
      <c r="C4163" s="184">
        <v>10</v>
      </c>
      <c r="D4163" s="184" t="s">
        <v>758</v>
      </c>
    </row>
    <row r="4164" spans="1:4" ht="12.5">
      <c r="A4164" s="186">
        <v>46174</v>
      </c>
      <c r="B4164" s="184">
        <v>7002749379</v>
      </c>
      <c r="C4164" s="184">
        <v>76</v>
      </c>
      <c r="D4164" s="184" t="s">
        <v>752</v>
      </c>
    </row>
    <row r="4165" spans="1:4" ht="12.5">
      <c r="A4165" s="186">
        <v>46174</v>
      </c>
      <c r="B4165" s="184">
        <v>7002749398</v>
      </c>
      <c r="C4165" s="184">
        <v>2</v>
      </c>
      <c r="D4165" s="184" t="s">
        <v>751</v>
      </c>
    </row>
    <row r="4166" spans="1:4" ht="12.5">
      <c r="A4166" s="186">
        <v>46174</v>
      </c>
      <c r="B4166" s="184">
        <v>7002749401</v>
      </c>
      <c r="C4166" s="184">
        <v>1</v>
      </c>
      <c r="D4166" s="184" t="s">
        <v>762</v>
      </c>
    </row>
    <row r="4167" spans="1:4" ht="12.5">
      <c r="A4167" s="186"/>
      <c r="B4167" s="189"/>
      <c r="C4167" s="189"/>
      <c r="D4167" s="136"/>
    </row>
    <row r="4168" spans="1:4" ht="12.5">
      <c r="A4168" s="186">
        <v>46175</v>
      </c>
      <c r="B4168" s="184">
        <v>7001486843</v>
      </c>
      <c r="C4168" s="184">
        <v>1</v>
      </c>
      <c r="D4168" s="184" t="s">
        <v>762</v>
      </c>
    </row>
    <row r="4169" spans="1:4" ht="12.5">
      <c r="A4169" s="186">
        <v>46175</v>
      </c>
      <c r="B4169" s="184">
        <v>7001727096</v>
      </c>
      <c r="C4169" s="9">
        <v>2</v>
      </c>
      <c r="D4169" s="9" t="s">
        <v>751</v>
      </c>
    </row>
    <row r="4170" spans="1:4" ht="12.5">
      <c r="A4170" s="186">
        <v>46175</v>
      </c>
      <c r="B4170" s="184">
        <v>7002500078</v>
      </c>
      <c r="C4170" s="184">
        <v>3</v>
      </c>
      <c r="D4170" s="9" t="s">
        <v>751</v>
      </c>
    </row>
    <row r="4171" spans="1:4" ht="12.5">
      <c r="A4171" s="186">
        <v>46175</v>
      </c>
      <c r="B4171" s="184">
        <v>7002510563</v>
      </c>
      <c r="C4171" s="184">
        <v>1</v>
      </c>
      <c r="D4171" s="184" t="s">
        <v>762</v>
      </c>
    </row>
    <row r="4172" spans="1:4" ht="12.5">
      <c r="A4172" s="186">
        <v>46175</v>
      </c>
      <c r="B4172" s="184">
        <v>7002511809</v>
      </c>
      <c r="C4172" s="184">
        <v>4</v>
      </c>
      <c r="D4172" s="9" t="s">
        <v>751</v>
      </c>
    </row>
    <row r="4173" spans="1:4" ht="12.5">
      <c r="A4173" s="186">
        <v>46175</v>
      </c>
      <c r="B4173" s="184">
        <v>7002513445</v>
      </c>
      <c r="C4173" s="184">
        <v>4</v>
      </c>
      <c r="D4173" s="9" t="s">
        <v>751</v>
      </c>
    </row>
    <row r="4174" spans="1:4" ht="12.5">
      <c r="A4174" s="186">
        <v>46175</v>
      </c>
      <c r="B4174" s="184">
        <v>7002518775</v>
      </c>
      <c r="C4174" s="184">
        <v>1</v>
      </c>
      <c r="D4174" s="184" t="s">
        <v>762</v>
      </c>
    </row>
    <row r="4175" spans="1:4" ht="12.5">
      <c r="A4175" s="186">
        <v>46175</v>
      </c>
      <c r="B4175" s="184">
        <v>7002522754</v>
      </c>
      <c r="C4175" s="184">
        <v>1</v>
      </c>
      <c r="D4175" s="184" t="s">
        <v>762</v>
      </c>
    </row>
    <row r="4176" spans="1:4" ht="12.5">
      <c r="A4176" s="186">
        <v>46175</v>
      </c>
      <c r="B4176" s="184">
        <v>7002526755</v>
      </c>
      <c r="C4176" s="184">
        <v>1</v>
      </c>
      <c r="D4176" s="184" t="s">
        <v>762</v>
      </c>
    </row>
    <row r="4177" spans="1:4" ht="12.5">
      <c r="A4177" s="186">
        <v>46175</v>
      </c>
      <c r="B4177" s="184">
        <v>7002535521</v>
      </c>
      <c r="C4177" s="184">
        <v>1</v>
      </c>
      <c r="D4177" s="184" t="s">
        <v>762</v>
      </c>
    </row>
    <row r="4178" spans="1:4" ht="12.5">
      <c r="A4178" s="186">
        <v>46175</v>
      </c>
      <c r="B4178" s="184">
        <v>7002538047</v>
      </c>
      <c r="C4178" s="184">
        <v>6</v>
      </c>
      <c r="D4178" s="9" t="s">
        <v>763</v>
      </c>
    </row>
    <row r="4179" spans="1:4" ht="12.5">
      <c r="A4179" s="186">
        <v>46175</v>
      </c>
      <c r="B4179" s="184">
        <v>7002547334</v>
      </c>
      <c r="C4179" s="184">
        <v>2</v>
      </c>
      <c r="D4179" s="9" t="s">
        <v>751</v>
      </c>
    </row>
    <row r="4180" spans="1:4" ht="12.5">
      <c r="A4180" s="186">
        <v>46175</v>
      </c>
      <c r="B4180" s="184">
        <v>7002550886</v>
      </c>
      <c r="C4180" s="184">
        <v>12</v>
      </c>
      <c r="D4180" s="9" t="s">
        <v>752</v>
      </c>
    </row>
    <row r="4181" spans="1:4" ht="12.5">
      <c r="A4181" s="186">
        <v>46175</v>
      </c>
      <c r="B4181" s="184">
        <v>7002556361</v>
      </c>
      <c r="C4181" s="184">
        <v>2</v>
      </c>
      <c r="D4181" s="9" t="s">
        <v>751</v>
      </c>
    </row>
    <row r="4182" spans="1:4" ht="12.5">
      <c r="A4182" s="186">
        <v>46175</v>
      </c>
      <c r="B4182" s="184">
        <v>7002559865</v>
      </c>
      <c r="C4182" s="184">
        <v>5</v>
      </c>
      <c r="D4182" s="9" t="s">
        <v>751</v>
      </c>
    </row>
    <row r="4183" spans="1:4" ht="12.5">
      <c r="A4183" s="186">
        <v>46175</v>
      </c>
      <c r="B4183" s="184">
        <v>7002562247</v>
      </c>
      <c r="C4183" s="184">
        <v>3</v>
      </c>
      <c r="D4183" s="9" t="s">
        <v>751</v>
      </c>
    </row>
    <row r="4184" spans="1:4" ht="12.5">
      <c r="A4184" s="186">
        <v>46175</v>
      </c>
      <c r="B4184" s="184">
        <v>7002562281</v>
      </c>
      <c r="C4184" s="184">
        <v>17</v>
      </c>
      <c r="D4184" s="9" t="s">
        <v>752</v>
      </c>
    </row>
    <row r="4185" spans="1:4" ht="12.5">
      <c r="A4185" s="186">
        <v>46175</v>
      </c>
      <c r="B4185" s="184">
        <v>7002576672</v>
      </c>
      <c r="C4185" s="184">
        <v>3</v>
      </c>
      <c r="D4185" s="9" t="s">
        <v>751</v>
      </c>
    </row>
    <row r="4186" spans="1:4" ht="12.5">
      <c r="A4186" s="186">
        <v>46175</v>
      </c>
      <c r="B4186" s="184">
        <v>7002592103</v>
      </c>
      <c r="C4186" s="184">
        <v>1</v>
      </c>
      <c r="D4186" s="184" t="s">
        <v>762</v>
      </c>
    </row>
    <row r="4187" spans="1:4" ht="12.5">
      <c r="A4187" s="186">
        <v>46175</v>
      </c>
      <c r="B4187" s="184">
        <v>7002612325</v>
      </c>
      <c r="C4187" s="184">
        <v>1</v>
      </c>
      <c r="D4187" s="184" t="s">
        <v>762</v>
      </c>
    </row>
    <row r="4188" spans="1:4" ht="12.5">
      <c r="A4188" s="186">
        <v>46175</v>
      </c>
      <c r="B4188" s="184">
        <v>7002619803</v>
      </c>
      <c r="C4188" s="184">
        <v>270</v>
      </c>
      <c r="D4188" s="9" t="s">
        <v>752</v>
      </c>
    </row>
    <row r="4189" spans="1:4" ht="12.5">
      <c r="A4189" s="186">
        <v>46175</v>
      </c>
      <c r="B4189" s="184">
        <v>7002626091</v>
      </c>
      <c r="C4189" s="184">
        <v>99</v>
      </c>
      <c r="D4189" s="9" t="s">
        <v>752</v>
      </c>
    </row>
    <row r="4190" spans="1:4" ht="12.5">
      <c r="A4190" s="186">
        <v>46175</v>
      </c>
      <c r="B4190" s="184">
        <v>7002633626</v>
      </c>
      <c r="C4190" s="184">
        <v>33</v>
      </c>
      <c r="D4190" s="9" t="s">
        <v>752</v>
      </c>
    </row>
    <row r="4191" spans="1:4" ht="12.5">
      <c r="A4191" s="186">
        <v>46175</v>
      </c>
      <c r="B4191" s="184">
        <v>7002640786</v>
      </c>
      <c r="C4191" s="184">
        <v>3</v>
      </c>
      <c r="D4191" s="9" t="s">
        <v>751</v>
      </c>
    </row>
    <row r="4192" spans="1:4" ht="12.5">
      <c r="A4192" s="186">
        <v>46175</v>
      </c>
      <c r="B4192" s="184">
        <v>7002641175</v>
      </c>
      <c r="C4192" s="184">
        <v>160</v>
      </c>
      <c r="D4192" s="9" t="s">
        <v>752</v>
      </c>
    </row>
    <row r="4193" spans="1:4" ht="12.5">
      <c r="A4193" s="186">
        <v>46175</v>
      </c>
      <c r="B4193" s="184">
        <v>7002654857</v>
      </c>
      <c r="C4193" s="184">
        <v>2</v>
      </c>
      <c r="D4193" s="9" t="s">
        <v>751</v>
      </c>
    </row>
    <row r="4194" spans="1:4" ht="12.5">
      <c r="A4194" s="186">
        <v>46175</v>
      </c>
      <c r="B4194" s="184">
        <v>7002656674</v>
      </c>
      <c r="C4194" s="184">
        <v>3</v>
      </c>
      <c r="D4194" s="9" t="s">
        <v>751</v>
      </c>
    </row>
    <row r="4195" spans="1:4" ht="12.5">
      <c r="A4195" s="186">
        <v>46175</v>
      </c>
      <c r="B4195" s="184">
        <v>7002658336</v>
      </c>
      <c r="C4195" s="184">
        <v>3</v>
      </c>
      <c r="D4195" s="9" t="s">
        <v>751</v>
      </c>
    </row>
    <row r="4196" spans="1:4" ht="12.5">
      <c r="A4196" s="186">
        <v>46175</v>
      </c>
      <c r="B4196" s="184">
        <v>7002662785</v>
      </c>
      <c r="C4196" s="184">
        <v>2</v>
      </c>
      <c r="D4196" s="9" t="s">
        <v>751</v>
      </c>
    </row>
    <row r="4197" spans="1:4" ht="12.5">
      <c r="A4197" s="186">
        <v>46175</v>
      </c>
      <c r="B4197" s="184">
        <v>7002662877</v>
      </c>
      <c r="C4197" s="184">
        <v>3</v>
      </c>
      <c r="D4197" s="9" t="s">
        <v>751</v>
      </c>
    </row>
    <row r="4198" spans="1:4" ht="12.5">
      <c r="A4198" s="186">
        <v>46175</v>
      </c>
      <c r="B4198" s="184">
        <v>7002670369</v>
      </c>
      <c r="C4198" s="184">
        <v>6</v>
      </c>
      <c r="D4198" s="9" t="s">
        <v>763</v>
      </c>
    </row>
    <row r="4199" spans="1:4" ht="12.5">
      <c r="A4199" s="186">
        <v>46175</v>
      </c>
      <c r="B4199" s="184">
        <v>7002670598</v>
      </c>
      <c r="C4199" s="184">
        <v>4</v>
      </c>
      <c r="D4199" s="9" t="s">
        <v>751</v>
      </c>
    </row>
    <row r="4200" spans="1:4" ht="12.5">
      <c r="A4200" s="186">
        <v>46175</v>
      </c>
      <c r="B4200" s="184">
        <v>7002671200</v>
      </c>
      <c r="C4200" s="184">
        <v>1</v>
      </c>
      <c r="D4200" s="184" t="s">
        <v>762</v>
      </c>
    </row>
    <row r="4201" spans="1:4" ht="12.5">
      <c r="A4201" s="186">
        <v>46175</v>
      </c>
      <c r="B4201" s="184">
        <v>7002672185</v>
      </c>
      <c r="C4201" s="184">
        <v>4</v>
      </c>
      <c r="D4201" s="9" t="s">
        <v>751</v>
      </c>
    </row>
    <row r="4202" spans="1:4" ht="12.5">
      <c r="A4202" s="186">
        <v>46175</v>
      </c>
      <c r="B4202" s="184">
        <v>7002672554</v>
      </c>
      <c r="C4202" s="184">
        <v>6</v>
      </c>
      <c r="D4202" s="9" t="s">
        <v>763</v>
      </c>
    </row>
    <row r="4203" spans="1:4" ht="12.5">
      <c r="A4203" s="186">
        <v>46175</v>
      </c>
      <c r="B4203" s="184">
        <v>7002672650</v>
      </c>
      <c r="C4203" s="184">
        <v>6</v>
      </c>
      <c r="D4203" s="9" t="s">
        <v>763</v>
      </c>
    </row>
    <row r="4204" spans="1:4" ht="12.5">
      <c r="A4204" s="186">
        <v>46175</v>
      </c>
      <c r="B4204" s="184">
        <v>7002673075</v>
      </c>
      <c r="C4204" s="184">
        <v>5</v>
      </c>
      <c r="D4204" s="9" t="s">
        <v>751</v>
      </c>
    </row>
    <row r="4205" spans="1:4" ht="12.5">
      <c r="A4205" s="186">
        <v>46175</v>
      </c>
      <c r="B4205" s="184">
        <v>7002673162</v>
      </c>
      <c r="C4205" s="184">
        <v>10</v>
      </c>
      <c r="D4205" s="9" t="s">
        <v>763</v>
      </c>
    </row>
    <row r="4206" spans="1:4" ht="12.5">
      <c r="A4206" s="186">
        <v>46175</v>
      </c>
      <c r="B4206" s="184">
        <v>7002673530</v>
      </c>
      <c r="C4206" s="184">
        <v>8</v>
      </c>
      <c r="D4206" s="9" t="s">
        <v>763</v>
      </c>
    </row>
    <row r="4207" spans="1:4" ht="12.5">
      <c r="A4207" s="186">
        <v>46175</v>
      </c>
      <c r="B4207" s="184">
        <v>7002674669</v>
      </c>
      <c r="C4207" s="184">
        <v>1</v>
      </c>
      <c r="D4207" s="184" t="s">
        <v>762</v>
      </c>
    </row>
    <row r="4208" spans="1:4" ht="12.5">
      <c r="A4208" s="186">
        <v>46175</v>
      </c>
      <c r="B4208" s="184">
        <v>7002674721</v>
      </c>
      <c r="C4208" s="184">
        <v>6</v>
      </c>
      <c r="D4208" s="9" t="s">
        <v>763</v>
      </c>
    </row>
    <row r="4209" spans="1:4" ht="12.5">
      <c r="A4209" s="186">
        <v>46175</v>
      </c>
      <c r="B4209" s="184">
        <v>7002675326</v>
      </c>
      <c r="C4209" s="184">
        <v>1</v>
      </c>
      <c r="D4209" s="184" t="s">
        <v>762</v>
      </c>
    </row>
    <row r="4210" spans="1:4" ht="12.5">
      <c r="A4210" s="186">
        <v>46175</v>
      </c>
      <c r="B4210" s="184">
        <v>7002675739</v>
      </c>
      <c r="C4210" s="184">
        <v>2</v>
      </c>
      <c r="D4210" s="9" t="s">
        <v>751</v>
      </c>
    </row>
    <row r="4211" spans="1:4" ht="12.5">
      <c r="A4211" s="186">
        <v>46175</v>
      </c>
      <c r="B4211" s="184">
        <v>7002676267</v>
      </c>
      <c r="C4211" s="184">
        <v>2</v>
      </c>
      <c r="D4211" s="9" t="s">
        <v>751</v>
      </c>
    </row>
    <row r="4212" spans="1:4" ht="12.5">
      <c r="A4212" s="186">
        <v>46175</v>
      </c>
      <c r="B4212" s="184">
        <v>7002676389</v>
      </c>
      <c r="C4212" s="184">
        <v>1</v>
      </c>
      <c r="D4212" s="184" t="s">
        <v>762</v>
      </c>
    </row>
    <row r="4213" spans="1:4" ht="12.5">
      <c r="A4213" s="186">
        <v>46175</v>
      </c>
      <c r="B4213" s="184">
        <v>7002676412</v>
      </c>
      <c r="C4213" s="184">
        <v>1</v>
      </c>
      <c r="D4213" s="184" t="s">
        <v>762</v>
      </c>
    </row>
    <row r="4214" spans="1:4" ht="12.5">
      <c r="A4214" s="186">
        <v>46175</v>
      </c>
      <c r="B4214" s="184">
        <v>7002676586</v>
      </c>
      <c r="C4214" s="184">
        <v>3</v>
      </c>
      <c r="D4214" s="9" t="s">
        <v>751</v>
      </c>
    </row>
    <row r="4215" spans="1:4" ht="12.5">
      <c r="A4215" s="186">
        <v>46175</v>
      </c>
      <c r="B4215" s="184">
        <v>7002677328</v>
      </c>
      <c r="C4215" s="184">
        <v>1</v>
      </c>
      <c r="D4215" s="184" t="s">
        <v>762</v>
      </c>
    </row>
    <row r="4216" spans="1:4" ht="12.5">
      <c r="A4216" s="186">
        <v>46175</v>
      </c>
      <c r="B4216" s="184">
        <v>7002677672</v>
      </c>
      <c r="C4216" s="184">
        <v>24</v>
      </c>
      <c r="D4216" s="9" t="s">
        <v>752</v>
      </c>
    </row>
    <row r="4217" spans="1:4" ht="12.5">
      <c r="A4217" s="186">
        <v>46175</v>
      </c>
      <c r="B4217" s="184">
        <v>7002678269</v>
      </c>
      <c r="C4217" s="184">
        <v>1</v>
      </c>
      <c r="D4217" s="184" t="s">
        <v>762</v>
      </c>
    </row>
    <row r="4218" spans="1:4" ht="12.5">
      <c r="A4218" s="186">
        <v>46175</v>
      </c>
      <c r="B4218" s="184">
        <v>7002678673</v>
      </c>
      <c r="C4218" s="184">
        <v>12</v>
      </c>
      <c r="D4218" s="9" t="s">
        <v>752</v>
      </c>
    </row>
    <row r="4219" spans="1:4" ht="12.5">
      <c r="A4219" s="186">
        <v>46175</v>
      </c>
      <c r="B4219" s="184">
        <v>7002680792</v>
      </c>
      <c r="C4219" s="184">
        <v>2</v>
      </c>
      <c r="D4219" s="9" t="s">
        <v>751</v>
      </c>
    </row>
    <row r="4220" spans="1:4" ht="12.5">
      <c r="A4220" s="186">
        <v>46175</v>
      </c>
      <c r="B4220" s="184">
        <v>7002680831</v>
      </c>
      <c r="C4220" s="184">
        <v>3</v>
      </c>
      <c r="D4220" s="9" t="s">
        <v>751</v>
      </c>
    </row>
    <row r="4221" spans="1:4" ht="12.5">
      <c r="A4221" s="186">
        <v>46175</v>
      </c>
      <c r="B4221" s="184">
        <v>7002680849</v>
      </c>
      <c r="C4221" s="184">
        <v>5</v>
      </c>
      <c r="D4221" s="9" t="s">
        <v>751</v>
      </c>
    </row>
    <row r="4222" spans="1:4" ht="12.5">
      <c r="A4222" s="186">
        <v>46175</v>
      </c>
      <c r="B4222" s="184">
        <v>7002680854</v>
      </c>
      <c r="C4222" s="184">
        <v>4</v>
      </c>
      <c r="D4222" s="9" t="s">
        <v>751</v>
      </c>
    </row>
    <row r="4223" spans="1:4" ht="12.5">
      <c r="A4223" s="186">
        <v>46175</v>
      </c>
      <c r="B4223" s="184">
        <v>7002681450</v>
      </c>
      <c r="C4223" s="184">
        <v>1</v>
      </c>
      <c r="D4223" s="184" t="s">
        <v>762</v>
      </c>
    </row>
    <row r="4224" spans="1:4" ht="12.5">
      <c r="A4224" s="186">
        <v>46175</v>
      </c>
      <c r="B4224" s="184">
        <v>7002681807</v>
      </c>
      <c r="C4224" s="184">
        <v>1</v>
      </c>
      <c r="D4224" s="184" t="s">
        <v>762</v>
      </c>
    </row>
    <row r="4225" spans="1:4" ht="12.5">
      <c r="A4225" s="186">
        <v>46175</v>
      </c>
      <c r="B4225" s="184">
        <v>7002681912</v>
      </c>
      <c r="C4225" s="184">
        <v>1</v>
      </c>
      <c r="D4225" s="184" t="s">
        <v>762</v>
      </c>
    </row>
    <row r="4226" spans="1:4" ht="12.5">
      <c r="A4226" s="186">
        <v>46175</v>
      </c>
      <c r="B4226" s="184">
        <v>7002682002</v>
      </c>
      <c r="C4226" s="184">
        <v>4</v>
      </c>
      <c r="D4226" s="9" t="s">
        <v>751</v>
      </c>
    </row>
    <row r="4227" spans="1:4" ht="12.5">
      <c r="A4227" s="186">
        <v>46175</v>
      </c>
      <c r="B4227" s="184">
        <v>7002682073</v>
      </c>
      <c r="C4227" s="184">
        <v>1</v>
      </c>
      <c r="D4227" s="184" t="s">
        <v>762</v>
      </c>
    </row>
    <row r="4228" spans="1:4" ht="12.5">
      <c r="A4228" s="186">
        <v>46175</v>
      </c>
      <c r="B4228" s="184">
        <v>7002682685</v>
      </c>
      <c r="C4228" s="184">
        <v>3</v>
      </c>
      <c r="D4228" s="9" t="s">
        <v>751</v>
      </c>
    </row>
    <row r="4229" spans="1:4" ht="12.5">
      <c r="A4229" s="186">
        <v>46175</v>
      </c>
      <c r="B4229" s="184">
        <v>7002682806</v>
      </c>
      <c r="C4229" s="184">
        <v>5</v>
      </c>
      <c r="D4229" s="9" t="s">
        <v>751</v>
      </c>
    </row>
    <row r="4230" spans="1:4" ht="12.5">
      <c r="A4230" s="186">
        <v>46175</v>
      </c>
      <c r="B4230" s="184">
        <v>7002682868</v>
      </c>
      <c r="C4230" s="184">
        <v>4</v>
      </c>
      <c r="D4230" s="9" t="s">
        <v>751</v>
      </c>
    </row>
    <row r="4231" spans="1:4" ht="12.5">
      <c r="A4231" s="186">
        <v>46175</v>
      </c>
      <c r="B4231" s="184">
        <v>7002684717</v>
      </c>
      <c r="C4231" s="184">
        <v>10</v>
      </c>
      <c r="D4231" s="9" t="s">
        <v>763</v>
      </c>
    </row>
    <row r="4232" spans="1:4" ht="12.5">
      <c r="A4232" s="186">
        <v>46175</v>
      </c>
      <c r="B4232" s="184">
        <v>7002685825</v>
      </c>
      <c r="C4232" s="184">
        <v>2</v>
      </c>
      <c r="D4232" s="9" t="s">
        <v>751</v>
      </c>
    </row>
    <row r="4233" spans="1:4" ht="12.5">
      <c r="A4233" s="186">
        <v>46175</v>
      </c>
      <c r="B4233" s="184">
        <v>7002685856</v>
      </c>
      <c r="C4233" s="184">
        <v>2</v>
      </c>
      <c r="D4233" s="9" t="s">
        <v>751</v>
      </c>
    </row>
    <row r="4234" spans="1:4" ht="12.5">
      <c r="A4234" s="186">
        <v>46175</v>
      </c>
      <c r="B4234" s="184">
        <v>7002686076</v>
      </c>
      <c r="C4234" s="184">
        <v>1</v>
      </c>
      <c r="D4234" s="184" t="s">
        <v>762</v>
      </c>
    </row>
    <row r="4235" spans="1:4" ht="12.5">
      <c r="A4235" s="186">
        <v>46175</v>
      </c>
      <c r="B4235" s="184">
        <v>7002686826</v>
      </c>
      <c r="C4235" s="184">
        <v>7</v>
      </c>
      <c r="D4235" s="9" t="s">
        <v>763</v>
      </c>
    </row>
    <row r="4236" spans="1:4" ht="12.5">
      <c r="A4236" s="186">
        <v>46175</v>
      </c>
      <c r="B4236" s="184">
        <v>7002686857</v>
      </c>
      <c r="C4236" s="184">
        <v>1</v>
      </c>
      <c r="D4236" s="184" t="s">
        <v>762</v>
      </c>
    </row>
    <row r="4237" spans="1:4" ht="12.5">
      <c r="A4237" s="186">
        <v>46175</v>
      </c>
      <c r="B4237" s="184">
        <v>7002686861</v>
      </c>
      <c r="C4237" s="184">
        <v>1</v>
      </c>
      <c r="D4237" s="184" t="s">
        <v>762</v>
      </c>
    </row>
    <row r="4238" spans="1:4" ht="12.5">
      <c r="A4238" s="186">
        <v>46175</v>
      </c>
      <c r="B4238" s="184">
        <v>7002687827</v>
      </c>
      <c r="C4238" s="184">
        <v>6</v>
      </c>
      <c r="D4238" s="9" t="s">
        <v>763</v>
      </c>
    </row>
    <row r="4239" spans="1:4" ht="12.5">
      <c r="A4239" s="186">
        <v>46175</v>
      </c>
      <c r="B4239" s="184">
        <v>7002688731</v>
      </c>
      <c r="C4239" s="184">
        <v>12</v>
      </c>
      <c r="D4239" s="9" t="s">
        <v>752</v>
      </c>
    </row>
    <row r="4240" spans="1:4" ht="12.5">
      <c r="A4240" s="186">
        <v>46175</v>
      </c>
      <c r="B4240" s="184">
        <v>7002688837</v>
      </c>
      <c r="C4240" s="184">
        <v>8</v>
      </c>
      <c r="D4240" s="9" t="s">
        <v>763</v>
      </c>
    </row>
    <row r="4241" spans="1:4" ht="12.5">
      <c r="A4241" s="186">
        <v>46175</v>
      </c>
      <c r="B4241" s="184">
        <v>7002689797</v>
      </c>
      <c r="C4241" s="184">
        <v>3</v>
      </c>
      <c r="D4241" s="9" t="s">
        <v>751</v>
      </c>
    </row>
    <row r="4242" spans="1:4" ht="12.5">
      <c r="A4242" s="186">
        <v>46175</v>
      </c>
      <c r="B4242" s="184">
        <v>7002690237</v>
      </c>
      <c r="C4242" s="184">
        <v>2</v>
      </c>
      <c r="D4242" s="9" t="s">
        <v>751</v>
      </c>
    </row>
    <row r="4243" spans="1:4" ht="12.5">
      <c r="A4243" s="186">
        <v>46175</v>
      </c>
      <c r="B4243" s="184">
        <v>7002690646</v>
      </c>
      <c r="C4243" s="184">
        <v>4</v>
      </c>
      <c r="D4243" s="9" t="s">
        <v>751</v>
      </c>
    </row>
    <row r="4244" spans="1:4" ht="12.5">
      <c r="A4244" s="186">
        <v>46175</v>
      </c>
      <c r="B4244" s="184">
        <v>7002690942</v>
      </c>
      <c r="C4244" s="184">
        <v>2</v>
      </c>
      <c r="D4244" s="9" t="s">
        <v>751</v>
      </c>
    </row>
    <row r="4245" spans="1:4" ht="12.5">
      <c r="A4245" s="186">
        <v>46175</v>
      </c>
      <c r="B4245" s="184">
        <v>7002693320</v>
      </c>
      <c r="C4245" s="184">
        <v>8</v>
      </c>
      <c r="D4245" s="9" t="s">
        <v>763</v>
      </c>
    </row>
    <row r="4246" spans="1:4" ht="12.5">
      <c r="A4246" s="186">
        <v>46175</v>
      </c>
      <c r="B4246" s="184">
        <v>7002693365</v>
      </c>
      <c r="C4246" s="184">
        <v>78</v>
      </c>
      <c r="D4246" s="9" t="s">
        <v>752</v>
      </c>
    </row>
    <row r="4247" spans="1:4" ht="12.5">
      <c r="A4247" s="186">
        <v>46175</v>
      </c>
      <c r="B4247" s="184">
        <v>7002693695</v>
      </c>
      <c r="C4247" s="184">
        <v>356</v>
      </c>
      <c r="D4247" s="9" t="s">
        <v>752</v>
      </c>
    </row>
    <row r="4248" spans="1:4" ht="12.5">
      <c r="A4248" s="186">
        <v>46175</v>
      </c>
      <c r="B4248" s="184">
        <v>7002693778</v>
      </c>
      <c r="C4248" s="184">
        <v>1</v>
      </c>
      <c r="D4248" s="184" t="s">
        <v>762</v>
      </c>
    </row>
    <row r="4249" spans="1:4" ht="12.5">
      <c r="A4249" s="186">
        <v>46175</v>
      </c>
      <c r="B4249" s="184">
        <v>7002696133</v>
      </c>
      <c r="C4249" s="184">
        <v>1</v>
      </c>
      <c r="D4249" s="184" t="s">
        <v>762</v>
      </c>
    </row>
    <row r="4250" spans="1:4" ht="12.5">
      <c r="A4250" s="186">
        <v>46175</v>
      </c>
      <c r="B4250" s="184">
        <v>7002698562</v>
      </c>
      <c r="C4250" s="184">
        <v>4</v>
      </c>
      <c r="D4250" s="9" t="s">
        <v>751</v>
      </c>
    </row>
    <row r="4251" spans="1:4" ht="12.5">
      <c r="A4251" s="186">
        <v>46175</v>
      </c>
      <c r="B4251" s="184">
        <v>7002699357</v>
      </c>
      <c r="C4251" s="184">
        <v>102</v>
      </c>
      <c r="D4251" s="9" t="s">
        <v>752</v>
      </c>
    </row>
    <row r="4252" spans="1:4" ht="12.5">
      <c r="A4252" s="186">
        <v>46175</v>
      </c>
      <c r="B4252" s="184">
        <v>7002699390</v>
      </c>
      <c r="C4252" s="184">
        <v>1</v>
      </c>
      <c r="D4252" s="184" t="s">
        <v>762</v>
      </c>
    </row>
    <row r="4253" spans="1:4" ht="12.5">
      <c r="A4253" s="186">
        <v>46175</v>
      </c>
      <c r="B4253" s="184">
        <v>7002699453</v>
      </c>
      <c r="C4253" s="184">
        <v>1</v>
      </c>
      <c r="D4253" s="184" t="s">
        <v>762</v>
      </c>
    </row>
    <row r="4254" spans="1:4" ht="12.5">
      <c r="A4254" s="186">
        <v>46175</v>
      </c>
      <c r="B4254" s="184">
        <v>7002699571</v>
      </c>
      <c r="C4254" s="184">
        <v>3</v>
      </c>
      <c r="D4254" s="9" t="s">
        <v>751</v>
      </c>
    </row>
    <row r="4255" spans="1:4" ht="12.5">
      <c r="A4255" s="186">
        <v>46175</v>
      </c>
      <c r="B4255" s="184">
        <v>7002701582</v>
      </c>
      <c r="C4255" s="184">
        <v>1</v>
      </c>
      <c r="D4255" s="184" t="s">
        <v>762</v>
      </c>
    </row>
    <row r="4256" spans="1:4" ht="12.5">
      <c r="A4256" s="186">
        <v>46175</v>
      </c>
      <c r="B4256" s="184">
        <v>7002703816</v>
      </c>
      <c r="C4256" s="184">
        <v>5</v>
      </c>
      <c r="D4256" s="9" t="s">
        <v>751</v>
      </c>
    </row>
    <row r="4257" spans="1:4" ht="12.5">
      <c r="A4257" s="186">
        <v>46175</v>
      </c>
      <c r="B4257" s="184">
        <v>7002707897</v>
      </c>
      <c r="C4257" s="184">
        <v>9</v>
      </c>
      <c r="D4257" s="9" t="s">
        <v>763</v>
      </c>
    </row>
    <row r="4258" spans="1:4" ht="12.5">
      <c r="A4258" s="186">
        <v>46175</v>
      </c>
      <c r="B4258" s="184">
        <v>7002712953</v>
      </c>
      <c r="C4258" s="184">
        <v>7</v>
      </c>
      <c r="D4258" s="9" t="s">
        <v>763</v>
      </c>
    </row>
    <row r="4259" spans="1:4" ht="12.5">
      <c r="A4259" s="186">
        <v>46175</v>
      </c>
      <c r="B4259" s="184">
        <v>7002713718</v>
      </c>
      <c r="C4259" s="184">
        <v>15</v>
      </c>
      <c r="D4259" s="9" t="s">
        <v>752</v>
      </c>
    </row>
    <row r="4260" spans="1:4" ht="12.5">
      <c r="A4260" s="186">
        <v>46175</v>
      </c>
      <c r="B4260" s="184">
        <v>7002713923</v>
      </c>
      <c r="C4260" s="184">
        <v>3</v>
      </c>
      <c r="D4260" s="9" t="s">
        <v>751</v>
      </c>
    </row>
    <row r="4261" spans="1:4" ht="12.5">
      <c r="A4261" s="186">
        <v>46175</v>
      </c>
      <c r="B4261" s="184">
        <v>7002713981</v>
      </c>
      <c r="C4261" s="184">
        <v>2</v>
      </c>
      <c r="D4261" s="9" t="s">
        <v>751</v>
      </c>
    </row>
    <row r="4262" spans="1:4" ht="12.5">
      <c r="A4262" s="186">
        <v>46175</v>
      </c>
      <c r="B4262" s="184">
        <v>7002714793</v>
      </c>
      <c r="C4262" s="184">
        <v>1</v>
      </c>
      <c r="D4262" s="184" t="s">
        <v>762</v>
      </c>
    </row>
    <row r="4263" spans="1:4" ht="12.5">
      <c r="A4263" s="186">
        <v>46175</v>
      </c>
      <c r="B4263" s="184">
        <v>7002714878</v>
      </c>
      <c r="C4263" s="184">
        <v>1</v>
      </c>
      <c r="D4263" s="184" t="s">
        <v>762</v>
      </c>
    </row>
    <row r="4264" spans="1:4" ht="12.5">
      <c r="A4264" s="186">
        <v>46175</v>
      </c>
      <c r="B4264" s="184">
        <v>7002714914</v>
      </c>
      <c r="C4264" s="184">
        <v>1</v>
      </c>
      <c r="D4264" s="184" t="s">
        <v>762</v>
      </c>
    </row>
    <row r="4265" spans="1:4" ht="12.5">
      <c r="A4265" s="186">
        <v>46175</v>
      </c>
      <c r="B4265" s="184">
        <v>7002714998</v>
      </c>
      <c r="C4265" s="184">
        <v>4</v>
      </c>
      <c r="D4265" s="9" t="s">
        <v>751</v>
      </c>
    </row>
    <row r="4266" spans="1:4" ht="12.5">
      <c r="A4266" s="186">
        <v>46175</v>
      </c>
      <c r="B4266" s="184">
        <v>7002715733</v>
      </c>
      <c r="C4266" s="184">
        <v>5</v>
      </c>
      <c r="D4266" s="9" t="s">
        <v>751</v>
      </c>
    </row>
    <row r="4267" spans="1:4" ht="12.5">
      <c r="A4267" s="186">
        <v>46175</v>
      </c>
      <c r="B4267" s="184">
        <v>7002716902</v>
      </c>
      <c r="C4267" s="184">
        <v>6</v>
      </c>
      <c r="D4267" s="9" t="s">
        <v>763</v>
      </c>
    </row>
    <row r="4268" spans="1:4" ht="12.5">
      <c r="A4268" s="186">
        <v>46175</v>
      </c>
      <c r="B4268" s="184">
        <v>7002716918</v>
      </c>
      <c r="C4268" s="184">
        <v>57</v>
      </c>
      <c r="D4268" s="9" t="s">
        <v>752</v>
      </c>
    </row>
    <row r="4269" spans="1:4" ht="12.5">
      <c r="A4269" s="186">
        <v>46175</v>
      </c>
      <c r="B4269" s="184">
        <v>7002716925</v>
      </c>
      <c r="C4269" s="184">
        <v>4</v>
      </c>
      <c r="D4269" s="9" t="s">
        <v>751</v>
      </c>
    </row>
    <row r="4270" spans="1:4" ht="12.5">
      <c r="A4270" s="186">
        <v>46175</v>
      </c>
      <c r="B4270" s="184">
        <v>7002716956</v>
      </c>
      <c r="C4270" s="184">
        <v>2</v>
      </c>
      <c r="D4270" s="9" t="s">
        <v>751</v>
      </c>
    </row>
    <row r="4271" spans="1:4" ht="12.5">
      <c r="A4271" s="186">
        <v>46175</v>
      </c>
      <c r="B4271" s="184">
        <v>7002717724</v>
      </c>
      <c r="C4271" s="184">
        <v>3</v>
      </c>
      <c r="D4271" s="9" t="s">
        <v>751</v>
      </c>
    </row>
    <row r="4272" spans="1:4" ht="12.5">
      <c r="A4272" s="186">
        <v>46175</v>
      </c>
      <c r="B4272" s="184">
        <v>7002717748</v>
      </c>
      <c r="C4272" s="184">
        <v>15</v>
      </c>
      <c r="D4272" s="9" t="s">
        <v>752</v>
      </c>
    </row>
    <row r="4273" spans="1:4" ht="12.5">
      <c r="A4273" s="186">
        <v>46175</v>
      </c>
      <c r="B4273" s="184">
        <v>7002717891</v>
      </c>
      <c r="C4273" s="184">
        <v>39</v>
      </c>
      <c r="D4273" s="9" t="s">
        <v>752</v>
      </c>
    </row>
    <row r="4274" spans="1:4" ht="12.5">
      <c r="A4274" s="186">
        <v>46175</v>
      </c>
      <c r="B4274" s="184">
        <v>7002717926</v>
      </c>
      <c r="C4274" s="184">
        <v>24</v>
      </c>
      <c r="D4274" s="9" t="s">
        <v>752</v>
      </c>
    </row>
    <row r="4275" spans="1:4" ht="12.5">
      <c r="A4275" s="186">
        <v>46175</v>
      </c>
      <c r="B4275" s="184">
        <v>7002718765</v>
      </c>
      <c r="C4275" s="184">
        <v>5</v>
      </c>
      <c r="D4275" s="9" t="s">
        <v>751</v>
      </c>
    </row>
    <row r="4276" spans="1:4" ht="12.5">
      <c r="A4276" s="186">
        <v>46175</v>
      </c>
      <c r="B4276" s="184">
        <v>7002718859</v>
      </c>
      <c r="C4276" s="184">
        <v>5</v>
      </c>
      <c r="D4276" s="9" t="s">
        <v>751</v>
      </c>
    </row>
    <row r="4277" spans="1:4" ht="12.5">
      <c r="A4277" s="186">
        <v>46175</v>
      </c>
      <c r="B4277" s="184">
        <v>7002719709</v>
      </c>
      <c r="C4277" s="184">
        <v>10</v>
      </c>
      <c r="D4277" s="9" t="s">
        <v>763</v>
      </c>
    </row>
    <row r="4278" spans="1:4" ht="12.5">
      <c r="A4278" s="186">
        <v>46175</v>
      </c>
      <c r="B4278" s="184">
        <v>7002720118</v>
      </c>
      <c r="C4278" s="184">
        <v>1</v>
      </c>
      <c r="D4278" s="184" t="s">
        <v>762</v>
      </c>
    </row>
    <row r="4279" spans="1:4" ht="12.5">
      <c r="A4279" s="186">
        <v>46175</v>
      </c>
      <c r="B4279" s="184">
        <v>7002720255</v>
      </c>
      <c r="C4279" s="184">
        <v>2</v>
      </c>
      <c r="D4279" s="9" t="s">
        <v>751</v>
      </c>
    </row>
    <row r="4280" spans="1:4" ht="12.5">
      <c r="A4280" s="186">
        <v>46175</v>
      </c>
      <c r="B4280" s="184">
        <v>7002720610</v>
      </c>
      <c r="C4280" s="184">
        <v>1</v>
      </c>
      <c r="D4280" s="184" t="s">
        <v>762</v>
      </c>
    </row>
    <row r="4281" spans="1:4" ht="12.5">
      <c r="A4281" s="186">
        <v>46175</v>
      </c>
      <c r="B4281" s="184">
        <v>7002720765</v>
      </c>
      <c r="C4281" s="184">
        <v>1</v>
      </c>
      <c r="D4281" s="184" t="s">
        <v>762</v>
      </c>
    </row>
    <row r="4282" spans="1:4" ht="12.5">
      <c r="A4282" s="186">
        <v>46175</v>
      </c>
      <c r="B4282" s="184">
        <v>7002721101</v>
      </c>
      <c r="C4282" s="184">
        <v>8</v>
      </c>
      <c r="D4282" s="9" t="s">
        <v>763</v>
      </c>
    </row>
    <row r="4283" spans="1:4" ht="12.5">
      <c r="A4283" s="186">
        <v>46175</v>
      </c>
      <c r="B4283" s="184">
        <v>7002721292</v>
      </c>
      <c r="C4283" s="184">
        <v>99</v>
      </c>
      <c r="D4283" s="9" t="s">
        <v>752</v>
      </c>
    </row>
    <row r="4284" spans="1:4" ht="12.5">
      <c r="A4284" s="186">
        <v>46175</v>
      </c>
      <c r="B4284" s="184">
        <v>7002721858</v>
      </c>
      <c r="C4284" s="184">
        <v>3</v>
      </c>
      <c r="D4284" s="9" t="s">
        <v>751</v>
      </c>
    </row>
    <row r="4285" spans="1:4" ht="12.5">
      <c r="A4285" s="186">
        <v>46175</v>
      </c>
      <c r="B4285" s="184">
        <v>7002722493</v>
      </c>
      <c r="C4285" s="184">
        <v>4</v>
      </c>
      <c r="D4285" s="9" t="s">
        <v>751</v>
      </c>
    </row>
    <row r="4286" spans="1:4" ht="12.5">
      <c r="A4286" s="186">
        <v>46175</v>
      </c>
      <c r="B4286" s="184">
        <v>7002723023</v>
      </c>
      <c r="C4286" s="184">
        <v>1</v>
      </c>
      <c r="D4286" s="184" t="s">
        <v>762</v>
      </c>
    </row>
    <row r="4287" spans="1:4" ht="12.5">
      <c r="A4287" s="186">
        <v>46175</v>
      </c>
      <c r="B4287" s="184">
        <v>7002723099</v>
      </c>
      <c r="C4287" s="184">
        <v>10</v>
      </c>
      <c r="D4287" s="9" t="s">
        <v>763</v>
      </c>
    </row>
    <row r="4288" spans="1:4" ht="12.5">
      <c r="A4288" s="186">
        <v>46175</v>
      </c>
      <c r="B4288" s="184">
        <v>7002723290</v>
      </c>
      <c r="C4288" s="184">
        <v>74</v>
      </c>
      <c r="D4288" s="9" t="s">
        <v>752</v>
      </c>
    </row>
    <row r="4289" spans="1:4" ht="12.5">
      <c r="A4289" s="186">
        <v>46175</v>
      </c>
      <c r="B4289" s="184">
        <v>7002723471</v>
      </c>
      <c r="C4289" s="184">
        <v>6</v>
      </c>
      <c r="D4289" s="9" t="s">
        <v>763</v>
      </c>
    </row>
    <row r="4290" spans="1:4" ht="12.5">
      <c r="A4290" s="186">
        <v>46175</v>
      </c>
      <c r="B4290" s="184">
        <v>7002724462</v>
      </c>
      <c r="C4290" s="184">
        <v>1</v>
      </c>
      <c r="D4290" s="184" t="s">
        <v>762</v>
      </c>
    </row>
    <row r="4291" spans="1:4" ht="12.5">
      <c r="A4291" s="186">
        <v>46175</v>
      </c>
      <c r="B4291" s="184">
        <v>7002724489</v>
      </c>
      <c r="C4291" s="184">
        <v>1</v>
      </c>
      <c r="D4291" s="184" t="s">
        <v>762</v>
      </c>
    </row>
    <row r="4292" spans="1:4" ht="12.5">
      <c r="A4292" s="186">
        <v>46175</v>
      </c>
      <c r="B4292" s="184">
        <v>7002724506</v>
      </c>
      <c r="C4292" s="184">
        <v>2</v>
      </c>
      <c r="D4292" s="9" t="s">
        <v>751</v>
      </c>
    </row>
    <row r="4293" spans="1:4" ht="12.5">
      <c r="A4293" s="186">
        <v>46175</v>
      </c>
      <c r="B4293" s="184">
        <v>7002725183</v>
      </c>
      <c r="C4293" s="184">
        <v>4</v>
      </c>
      <c r="D4293" s="9" t="s">
        <v>751</v>
      </c>
    </row>
    <row r="4294" spans="1:4" ht="12.5">
      <c r="A4294" s="186">
        <v>46175</v>
      </c>
      <c r="B4294" s="184">
        <v>7002725284</v>
      </c>
      <c r="C4294" s="184">
        <v>97</v>
      </c>
      <c r="D4294" s="9" t="s">
        <v>752</v>
      </c>
    </row>
    <row r="4295" spans="1:4" ht="12.5">
      <c r="A4295" s="186">
        <v>46175</v>
      </c>
      <c r="B4295" s="184">
        <v>7002725319</v>
      </c>
      <c r="C4295" s="184">
        <v>1</v>
      </c>
      <c r="D4295" s="184" t="s">
        <v>762</v>
      </c>
    </row>
    <row r="4296" spans="1:4" ht="12.5">
      <c r="A4296" s="186">
        <v>46175</v>
      </c>
      <c r="B4296" s="184">
        <v>7002725537</v>
      </c>
      <c r="C4296" s="184">
        <v>5</v>
      </c>
      <c r="D4296" s="9" t="s">
        <v>751</v>
      </c>
    </row>
    <row r="4297" spans="1:4" ht="12.5">
      <c r="A4297" s="186">
        <v>46175</v>
      </c>
      <c r="B4297" s="184">
        <v>7002726477</v>
      </c>
      <c r="C4297" s="184">
        <v>2</v>
      </c>
      <c r="D4297" s="9" t="s">
        <v>751</v>
      </c>
    </row>
    <row r="4298" spans="1:4" ht="12.5">
      <c r="A4298" s="186">
        <v>46175</v>
      </c>
      <c r="B4298" s="184">
        <v>7002727363</v>
      </c>
      <c r="C4298" s="184">
        <v>12</v>
      </c>
      <c r="D4298" s="9" t="s">
        <v>752</v>
      </c>
    </row>
    <row r="4299" spans="1:4" ht="12.5">
      <c r="A4299" s="186">
        <v>46175</v>
      </c>
      <c r="B4299" s="184">
        <v>7002727573</v>
      </c>
      <c r="C4299" s="184">
        <v>1</v>
      </c>
      <c r="D4299" s="184" t="s">
        <v>762</v>
      </c>
    </row>
    <row r="4300" spans="1:4" ht="12.5">
      <c r="A4300" s="186">
        <v>46175</v>
      </c>
      <c r="B4300" s="184">
        <v>7002727640</v>
      </c>
      <c r="C4300" s="184">
        <v>1</v>
      </c>
      <c r="D4300" s="184" t="s">
        <v>762</v>
      </c>
    </row>
    <row r="4301" spans="1:4" ht="12.5">
      <c r="A4301" s="186">
        <v>46175</v>
      </c>
      <c r="B4301" s="184">
        <v>7002728211</v>
      </c>
      <c r="C4301" s="184">
        <v>4</v>
      </c>
      <c r="D4301" s="9" t="s">
        <v>751</v>
      </c>
    </row>
    <row r="4302" spans="1:4" ht="12.5">
      <c r="A4302" s="186">
        <v>46175</v>
      </c>
      <c r="B4302" s="184">
        <v>7002728479</v>
      </c>
      <c r="C4302" s="184">
        <v>3</v>
      </c>
      <c r="D4302" s="9" t="s">
        <v>751</v>
      </c>
    </row>
    <row r="4303" spans="1:4" ht="12.5">
      <c r="A4303" s="186">
        <v>46175</v>
      </c>
      <c r="B4303" s="184">
        <v>7002728526</v>
      </c>
      <c r="C4303" s="184">
        <v>3</v>
      </c>
      <c r="D4303" s="9" t="s">
        <v>751</v>
      </c>
    </row>
    <row r="4304" spans="1:4" ht="12.5">
      <c r="A4304" s="186">
        <v>46175</v>
      </c>
      <c r="B4304" s="184">
        <v>7002728877</v>
      </c>
      <c r="C4304" s="184">
        <v>3</v>
      </c>
      <c r="D4304" s="9" t="s">
        <v>751</v>
      </c>
    </row>
    <row r="4305" spans="1:4" ht="12.5">
      <c r="A4305" s="186">
        <v>46175</v>
      </c>
      <c r="B4305" s="184">
        <v>7002729092</v>
      </c>
      <c r="C4305" s="184">
        <v>4</v>
      </c>
      <c r="D4305" s="9" t="s">
        <v>751</v>
      </c>
    </row>
    <row r="4306" spans="1:4" ht="12.5">
      <c r="A4306" s="186">
        <v>46175</v>
      </c>
      <c r="B4306" s="184">
        <v>7002729249</v>
      </c>
      <c r="C4306" s="184">
        <v>5</v>
      </c>
      <c r="D4306" s="9" t="s">
        <v>751</v>
      </c>
    </row>
    <row r="4307" spans="1:4" ht="12.5">
      <c r="A4307" s="186">
        <v>46175</v>
      </c>
      <c r="B4307" s="184">
        <v>7002729515</v>
      </c>
      <c r="C4307" s="184">
        <v>1</v>
      </c>
      <c r="D4307" s="184" t="s">
        <v>762</v>
      </c>
    </row>
    <row r="4308" spans="1:4" ht="12.5">
      <c r="A4308" s="186">
        <v>46175</v>
      </c>
      <c r="B4308" s="184">
        <v>7002729878</v>
      </c>
      <c r="C4308" s="184">
        <v>2</v>
      </c>
      <c r="D4308" s="9" t="s">
        <v>751</v>
      </c>
    </row>
    <row r="4309" spans="1:4" ht="12.5">
      <c r="A4309" s="186">
        <v>46175</v>
      </c>
      <c r="B4309" s="184">
        <v>7002730302</v>
      </c>
      <c r="C4309" s="184">
        <v>1</v>
      </c>
      <c r="D4309" s="184" t="s">
        <v>762</v>
      </c>
    </row>
    <row r="4310" spans="1:4" ht="12.5">
      <c r="A4310" s="186">
        <v>46175</v>
      </c>
      <c r="B4310" s="184">
        <v>7002730603</v>
      </c>
      <c r="C4310" s="184">
        <v>7</v>
      </c>
      <c r="D4310" s="9" t="s">
        <v>763</v>
      </c>
    </row>
    <row r="4311" spans="1:4" ht="12.5">
      <c r="A4311" s="186">
        <v>46175</v>
      </c>
      <c r="B4311" s="184">
        <v>7002731386</v>
      </c>
      <c r="C4311" s="184">
        <v>3</v>
      </c>
      <c r="D4311" s="9" t="s">
        <v>751</v>
      </c>
    </row>
    <row r="4312" spans="1:4" ht="12.5">
      <c r="A4312" s="186">
        <v>46175</v>
      </c>
      <c r="B4312" s="184">
        <v>7002731561</v>
      </c>
      <c r="C4312" s="184">
        <v>5</v>
      </c>
      <c r="D4312" s="9" t="s">
        <v>751</v>
      </c>
    </row>
    <row r="4313" spans="1:4" ht="12.5">
      <c r="A4313" s="186">
        <v>46175</v>
      </c>
      <c r="B4313" s="184">
        <v>7002733246</v>
      </c>
      <c r="C4313" s="184">
        <v>16</v>
      </c>
      <c r="D4313" s="9" t="s">
        <v>752</v>
      </c>
    </row>
    <row r="4314" spans="1:4" ht="12.5">
      <c r="A4314" s="186">
        <v>46175</v>
      </c>
      <c r="B4314" s="184">
        <v>7002733315</v>
      </c>
      <c r="C4314" s="184">
        <v>1</v>
      </c>
      <c r="D4314" s="184" t="s">
        <v>762</v>
      </c>
    </row>
    <row r="4315" spans="1:4" ht="12.5">
      <c r="A4315" s="186">
        <v>46175</v>
      </c>
      <c r="B4315" s="184">
        <v>7002733370</v>
      </c>
      <c r="C4315" s="184">
        <v>1</v>
      </c>
      <c r="D4315" s="184" t="s">
        <v>762</v>
      </c>
    </row>
    <row r="4316" spans="1:4" ht="12.5">
      <c r="A4316" s="186">
        <v>46175</v>
      </c>
      <c r="B4316" s="184">
        <v>7002733412</v>
      </c>
      <c r="C4316" s="184">
        <v>6</v>
      </c>
      <c r="D4316" s="9" t="s">
        <v>763</v>
      </c>
    </row>
    <row r="4317" spans="1:4" ht="12.5">
      <c r="A4317" s="186">
        <v>46175</v>
      </c>
      <c r="B4317" s="184">
        <v>7002735383</v>
      </c>
      <c r="C4317" s="184">
        <v>1</v>
      </c>
      <c r="D4317" s="184" t="s">
        <v>762</v>
      </c>
    </row>
    <row r="4318" spans="1:4" ht="12.5">
      <c r="A4318" s="186">
        <v>46175</v>
      </c>
      <c r="B4318" s="184">
        <v>7002736444</v>
      </c>
      <c r="C4318" s="184">
        <v>1</v>
      </c>
      <c r="D4318" s="184" t="s">
        <v>762</v>
      </c>
    </row>
    <row r="4319" spans="1:4" ht="12.5">
      <c r="A4319" s="186">
        <v>46175</v>
      </c>
      <c r="B4319" s="184">
        <v>7002737314</v>
      </c>
      <c r="C4319" s="184">
        <v>2</v>
      </c>
      <c r="D4319" s="9" t="s">
        <v>751</v>
      </c>
    </row>
    <row r="4320" spans="1:4" ht="12.5">
      <c r="A4320" s="186">
        <v>46175</v>
      </c>
      <c r="B4320" s="184">
        <v>7002737351</v>
      </c>
      <c r="C4320" s="184">
        <v>8</v>
      </c>
      <c r="D4320" s="9" t="s">
        <v>763</v>
      </c>
    </row>
    <row r="4321" spans="1:4" ht="12.5">
      <c r="A4321" s="186">
        <v>46175</v>
      </c>
      <c r="B4321" s="184">
        <v>7002738614</v>
      </c>
      <c r="C4321" s="184">
        <v>2</v>
      </c>
      <c r="D4321" s="9" t="s">
        <v>751</v>
      </c>
    </row>
    <row r="4322" spans="1:4" ht="12.5">
      <c r="A4322" s="186">
        <v>46175</v>
      </c>
      <c r="B4322" s="184">
        <v>7002739307</v>
      </c>
      <c r="C4322" s="184">
        <v>1</v>
      </c>
      <c r="D4322" s="184" t="s">
        <v>762</v>
      </c>
    </row>
    <row r="4323" spans="1:4" ht="12.5">
      <c r="A4323" s="186">
        <v>46175</v>
      </c>
      <c r="B4323" s="184">
        <v>7002739324</v>
      </c>
      <c r="C4323" s="184">
        <v>1</v>
      </c>
      <c r="D4323" s="184" t="s">
        <v>762</v>
      </c>
    </row>
    <row r="4324" spans="1:4" ht="12.5">
      <c r="A4324" s="186">
        <v>46175</v>
      </c>
      <c r="B4324" s="184">
        <v>7002740529</v>
      </c>
      <c r="C4324" s="184">
        <v>3</v>
      </c>
      <c r="D4324" s="9" t="s">
        <v>751</v>
      </c>
    </row>
    <row r="4325" spans="1:4" ht="12.5">
      <c r="A4325" s="186">
        <v>46175</v>
      </c>
      <c r="B4325" s="184">
        <v>7002740540</v>
      </c>
      <c r="C4325" s="184">
        <v>4</v>
      </c>
      <c r="D4325" s="9" t="s">
        <v>751</v>
      </c>
    </row>
    <row r="4326" spans="1:4" ht="12.5">
      <c r="A4326" s="186">
        <v>46175</v>
      </c>
      <c r="B4326" s="184">
        <v>7002740586</v>
      </c>
      <c r="C4326" s="184">
        <v>1</v>
      </c>
      <c r="D4326" s="184" t="s">
        <v>762</v>
      </c>
    </row>
    <row r="4327" spans="1:4" ht="12.5">
      <c r="A4327" s="186">
        <v>46175</v>
      </c>
      <c r="B4327" s="184">
        <v>7002740969</v>
      </c>
      <c r="C4327" s="184">
        <v>3</v>
      </c>
      <c r="D4327" s="9" t="s">
        <v>751</v>
      </c>
    </row>
    <row r="4328" spans="1:4" ht="12.5">
      <c r="A4328" s="186">
        <v>46175</v>
      </c>
      <c r="B4328" s="184">
        <v>7002740982</v>
      </c>
      <c r="C4328" s="184">
        <v>7</v>
      </c>
      <c r="D4328" s="9" t="s">
        <v>763</v>
      </c>
    </row>
    <row r="4329" spans="1:4" ht="12.5">
      <c r="A4329" s="186">
        <v>46175</v>
      </c>
      <c r="B4329" s="184">
        <v>7002741374</v>
      </c>
      <c r="C4329" s="184">
        <v>2</v>
      </c>
      <c r="D4329" s="9" t="s">
        <v>751</v>
      </c>
    </row>
    <row r="4330" spans="1:4" ht="12.5">
      <c r="A4330" s="186">
        <v>46175</v>
      </c>
      <c r="B4330" s="184">
        <v>7002741388</v>
      </c>
      <c r="C4330" s="184">
        <v>2</v>
      </c>
      <c r="D4330" s="9" t="s">
        <v>751</v>
      </c>
    </row>
    <row r="4331" spans="1:4" ht="12.5">
      <c r="A4331" s="186">
        <v>46175</v>
      </c>
      <c r="B4331" s="184">
        <v>7002741411</v>
      </c>
      <c r="C4331" s="184">
        <v>1</v>
      </c>
      <c r="D4331" s="184" t="s">
        <v>762</v>
      </c>
    </row>
    <row r="4332" spans="1:4" ht="12.5">
      <c r="A4332" s="186">
        <v>46175</v>
      </c>
      <c r="B4332" s="184">
        <v>7002741476</v>
      </c>
      <c r="C4332" s="184">
        <v>15</v>
      </c>
      <c r="D4332" s="9" t="s">
        <v>752</v>
      </c>
    </row>
    <row r="4333" spans="1:4" ht="12.5">
      <c r="A4333" s="186">
        <v>46175</v>
      </c>
      <c r="B4333" s="184">
        <v>7002741975</v>
      </c>
      <c r="C4333" s="184">
        <v>32</v>
      </c>
      <c r="D4333" s="9" t="s">
        <v>752</v>
      </c>
    </row>
    <row r="4334" spans="1:4" ht="12.5">
      <c r="A4334" s="186">
        <v>46175</v>
      </c>
      <c r="B4334" s="184">
        <v>7002741999</v>
      </c>
      <c r="C4334" s="184">
        <v>189</v>
      </c>
      <c r="D4334" s="9" t="s">
        <v>752</v>
      </c>
    </row>
    <row r="4335" spans="1:4" ht="12.5">
      <c r="A4335" s="186">
        <v>46175</v>
      </c>
      <c r="B4335" s="184">
        <v>7002742387</v>
      </c>
      <c r="C4335" s="184">
        <v>2</v>
      </c>
      <c r="D4335" s="9" t="s">
        <v>751</v>
      </c>
    </row>
    <row r="4336" spans="1:4" ht="12.5">
      <c r="A4336" s="186">
        <v>46175</v>
      </c>
      <c r="B4336" s="184">
        <v>7002742536</v>
      </c>
      <c r="C4336" s="184">
        <v>1</v>
      </c>
      <c r="D4336" s="184" t="s">
        <v>762</v>
      </c>
    </row>
    <row r="4337" spans="1:4" ht="12.5">
      <c r="A4337" s="186">
        <v>46175</v>
      </c>
      <c r="B4337" s="184">
        <v>7002742570</v>
      </c>
      <c r="C4337" s="184">
        <v>1</v>
      </c>
      <c r="D4337" s="184" t="s">
        <v>762</v>
      </c>
    </row>
    <row r="4338" spans="1:4" ht="12.5">
      <c r="A4338" s="186">
        <v>46175</v>
      </c>
      <c r="B4338" s="184">
        <v>7002742980</v>
      </c>
      <c r="C4338" s="184">
        <v>7</v>
      </c>
      <c r="D4338" s="9" t="s">
        <v>763</v>
      </c>
    </row>
    <row r="4339" spans="1:4" ht="12.5">
      <c r="A4339" s="186">
        <v>46175</v>
      </c>
      <c r="B4339" s="184">
        <v>7002743386</v>
      </c>
      <c r="C4339" s="184">
        <v>1</v>
      </c>
      <c r="D4339" s="184" t="s">
        <v>762</v>
      </c>
    </row>
    <row r="4340" spans="1:4" ht="12.5">
      <c r="A4340" s="186">
        <v>46175</v>
      </c>
      <c r="B4340" s="184">
        <v>7002743405</v>
      </c>
      <c r="C4340" s="184">
        <v>2</v>
      </c>
      <c r="D4340" s="9" t="s">
        <v>751</v>
      </c>
    </row>
    <row r="4341" spans="1:4" ht="12.5">
      <c r="A4341" s="186">
        <v>46175</v>
      </c>
      <c r="B4341" s="184">
        <v>7002743433</v>
      </c>
      <c r="C4341" s="184">
        <v>29</v>
      </c>
      <c r="D4341" s="9" t="s">
        <v>752</v>
      </c>
    </row>
    <row r="4342" spans="1:4" ht="12.5">
      <c r="A4342" s="186">
        <v>46175</v>
      </c>
      <c r="B4342" s="184">
        <v>7002743519</v>
      </c>
      <c r="C4342" s="184">
        <v>1</v>
      </c>
      <c r="D4342" s="184" t="s">
        <v>762</v>
      </c>
    </row>
    <row r="4343" spans="1:4" ht="12.5">
      <c r="A4343" s="186">
        <v>46175</v>
      </c>
      <c r="B4343" s="184">
        <v>7002743526</v>
      </c>
      <c r="C4343" s="184">
        <v>2</v>
      </c>
      <c r="D4343" s="9" t="s">
        <v>751</v>
      </c>
    </row>
    <row r="4344" spans="1:4" ht="12.5">
      <c r="A4344" s="186">
        <v>46175</v>
      </c>
      <c r="B4344" s="184">
        <v>7002743984</v>
      </c>
      <c r="C4344" s="184">
        <v>93</v>
      </c>
      <c r="D4344" s="9" t="s">
        <v>752</v>
      </c>
    </row>
    <row r="4345" spans="1:4" ht="12.5">
      <c r="A4345" s="186">
        <v>46175</v>
      </c>
      <c r="B4345" s="184">
        <v>7002744413</v>
      </c>
      <c r="C4345" s="184">
        <v>12</v>
      </c>
      <c r="D4345" s="9" t="s">
        <v>752</v>
      </c>
    </row>
    <row r="4346" spans="1:4" ht="12.5">
      <c r="A4346" s="186">
        <v>46175</v>
      </c>
      <c r="B4346" s="184">
        <v>7002744518</v>
      </c>
      <c r="C4346" s="184">
        <v>1</v>
      </c>
      <c r="D4346" s="184" t="s">
        <v>762</v>
      </c>
    </row>
    <row r="4347" spans="1:4" ht="12.5">
      <c r="A4347" s="186">
        <v>46175</v>
      </c>
      <c r="B4347" s="184">
        <v>7002744525</v>
      </c>
      <c r="C4347" s="184">
        <v>139</v>
      </c>
      <c r="D4347" s="9" t="s">
        <v>752</v>
      </c>
    </row>
    <row r="4348" spans="1:4" ht="12.5">
      <c r="A4348" s="186">
        <v>46175</v>
      </c>
      <c r="B4348" s="184">
        <v>7002744965</v>
      </c>
      <c r="C4348" s="184">
        <v>8</v>
      </c>
      <c r="D4348" s="9" t="s">
        <v>763</v>
      </c>
    </row>
    <row r="4349" spans="1:4" ht="12.5">
      <c r="A4349" s="186">
        <v>46175</v>
      </c>
      <c r="B4349" s="184">
        <v>7002745375</v>
      </c>
      <c r="C4349" s="184">
        <v>1</v>
      </c>
      <c r="D4349" s="184" t="s">
        <v>762</v>
      </c>
    </row>
    <row r="4350" spans="1:4" ht="12.5">
      <c r="A4350" s="186">
        <v>46175</v>
      </c>
      <c r="B4350" s="184">
        <v>7002745381</v>
      </c>
      <c r="C4350" s="184">
        <v>2</v>
      </c>
      <c r="D4350" s="9" t="s">
        <v>751</v>
      </c>
    </row>
    <row r="4351" spans="1:4" ht="12.5">
      <c r="A4351" s="186">
        <v>46175</v>
      </c>
      <c r="B4351" s="184">
        <v>7002745402</v>
      </c>
      <c r="C4351" s="184">
        <v>1</v>
      </c>
      <c r="D4351" s="184" t="s">
        <v>762</v>
      </c>
    </row>
    <row r="4352" spans="1:4" ht="12.5">
      <c r="A4352" s="186">
        <v>46175</v>
      </c>
      <c r="B4352" s="184">
        <v>7002745473</v>
      </c>
      <c r="C4352" s="184">
        <v>2</v>
      </c>
      <c r="D4352" s="9" t="s">
        <v>751</v>
      </c>
    </row>
    <row r="4353" spans="1:4" ht="12.5">
      <c r="A4353" s="186">
        <v>46175</v>
      </c>
      <c r="B4353" s="184">
        <v>7002745550</v>
      </c>
      <c r="C4353" s="184">
        <v>1</v>
      </c>
      <c r="D4353" s="184" t="s">
        <v>762</v>
      </c>
    </row>
    <row r="4354" spans="1:4" ht="12.5">
      <c r="A4354" s="186">
        <v>46175</v>
      </c>
      <c r="B4354" s="184">
        <v>7002746376</v>
      </c>
      <c r="C4354" s="184">
        <v>2</v>
      </c>
      <c r="D4354" s="9" t="s">
        <v>751</v>
      </c>
    </row>
    <row r="4355" spans="1:4" ht="12.5">
      <c r="A4355" s="186">
        <v>46175</v>
      </c>
      <c r="B4355" s="184">
        <v>7002746395</v>
      </c>
      <c r="C4355" s="184">
        <v>1</v>
      </c>
      <c r="D4355" s="184" t="s">
        <v>762</v>
      </c>
    </row>
    <row r="4356" spans="1:4" ht="12.5">
      <c r="A4356" s="186">
        <v>46175</v>
      </c>
      <c r="B4356" s="184">
        <v>7002746419</v>
      </c>
      <c r="C4356" s="184">
        <v>3</v>
      </c>
      <c r="D4356" s="9" t="s">
        <v>751</v>
      </c>
    </row>
    <row r="4357" spans="1:4" ht="12.5">
      <c r="A4357" s="186">
        <v>46175</v>
      </c>
      <c r="B4357" s="184">
        <v>7002746958</v>
      </c>
      <c r="C4357" s="184">
        <v>36</v>
      </c>
      <c r="D4357" s="9" t="s">
        <v>752</v>
      </c>
    </row>
    <row r="4358" spans="1:4" ht="12.5">
      <c r="A4358" s="186">
        <v>46175</v>
      </c>
      <c r="B4358" s="184">
        <v>7002747396</v>
      </c>
      <c r="C4358" s="184">
        <v>2</v>
      </c>
      <c r="D4358" s="9" t="s">
        <v>751</v>
      </c>
    </row>
    <row r="4359" spans="1:4" ht="12.5">
      <c r="A4359" s="186">
        <v>46175</v>
      </c>
      <c r="B4359" s="184">
        <v>7002747404</v>
      </c>
      <c r="C4359" s="184">
        <v>2</v>
      </c>
      <c r="D4359" s="9" t="s">
        <v>751</v>
      </c>
    </row>
    <row r="4360" spans="1:4" ht="12.5">
      <c r="A4360" s="186">
        <v>46175</v>
      </c>
      <c r="B4360" s="184">
        <v>7002747436</v>
      </c>
      <c r="C4360" s="184">
        <v>53</v>
      </c>
      <c r="D4360" s="9" t="s">
        <v>752</v>
      </c>
    </row>
    <row r="4361" spans="1:4" ht="12.5">
      <c r="A4361" s="186">
        <v>46175</v>
      </c>
      <c r="B4361" s="184">
        <v>7002747470</v>
      </c>
      <c r="C4361" s="184">
        <v>67</v>
      </c>
      <c r="D4361" s="9" t="s">
        <v>752</v>
      </c>
    </row>
    <row r="4362" spans="1:4" ht="12.5">
      <c r="A4362" s="186">
        <v>46175</v>
      </c>
      <c r="B4362" s="184">
        <v>7002747916</v>
      </c>
      <c r="C4362" s="184">
        <v>1</v>
      </c>
      <c r="D4362" s="184" t="s">
        <v>762</v>
      </c>
    </row>
    <row r="4363" spans="1:4" ht="12.5">
      <c r="A4363" s="186">
        <v>46175</v>
      </c>
      <c r="B4363" s="184">
        <v>7002747992</v>
      </c>
      <c r="C4363" s="184">
        <v>50</v>
      </c>
      <c r="D4363" s="9" t="s">
        <v>752</v>
      </c>
    </row>
    <row r="4364" spans="1:4" ht="12.5">
      <c r="A4364" s="186">
        <v>46175</v>
      </c>
      <c r="B4364" s="184">
        <v>7002748471</v>
      </c>
      <c r="C4364" s="184">
        <v>27</v>
      </c>
      <c r="D4364" s="9" t="s">
        <v>752</v>
      </c>
    </row>
    <row r="4365" spans="1:4" ht="12.5">
      <c r="A4365" s="186">
        <v>46175</v>
      </c>
      <c r="B4365" s="184">
        <v>7002748492</v>
      </c>
      <c r="C4365" s="184">
        <v>58</v>
      </c>
      <c r="D4365" s="9" t="s">
        <v>752</v>
      </c>
    </row>
    <row r="4366" spans="1:4" ht="12.5">
      <c r="A4366" s="186">
        <v>46175</v>
      </c>
      <c r="B4366" s="184">
        <v>7002748986</v>
      </c>
      <c r="C4366" s="184">
        <v>4</v>
      </c>
      <c r="D4366" s="9" t="s">
        <v>751</v>
      </c>
    </row>
    <row r="4367" spans="1:4" ht="12.5">
      <c r="A4367" s="186">
        <v>46175</v>
      </c>
      <c r="B4367" s="184">
        <v>7002748993</v>
      </c>
      <c r="C4367" s="184">
        <v>17</v>
      </c>
      <c r="D4367" s="9" t="s">
        <v>752</v>
      </c>
    </row>
    <row r="4368" spans="1:4" ht="12.5">
      <c r="A4368" s="186">
        <v>46175</v>
      </c>
      <c r="B4368" s="184">
        <v>7002749398</v>
      </c>
      <c r="C4368" s="184">
        <v>2</v>
      </c>
      <c r="D4368" s="9" t="s">
        <v>751</v>
      </c>
    </row>
    <row r="4369" spans="1:4" ht="12.5">
      <c r="A4369" s="186">
        <v>46175</v>
      </c>
      <c r="B4369" s="184">
        <v>7002749401</v>
      </c>
      <c r="C4369" s="184">
        <v>1</v>
      </c>
      <c r="D4369" s="184" t="s">
        <v>762</v>
      </c>
    </row>
    <row r="4370" spans="1:4" ht="12.5">
      <c r="A4370" s="186">
        <v>46175</v>
      </c>
      <c r="B4370" s="184">
        <v>7002749472</v>
      </c>
      <c r="C4370" s="184">
        <v>20</v>
      </c>
      <c r="D4370" s="9" t="s">
        <v>752</v>
      </c>
    </row>
    <row r="4371" spans="1:4" ht="12.5">
      <c r="A4371" s="186">
        <v>46175</v>
      </c>
      <c r="B4371" s="184">
        <v>7002749486</v>
      </c>
      <c r="C4371" s="184">
        <v>3</v>
      </c>
      <c r="D4371" s="9" t="s">
        <v>751</v>
      </c>
    </row>
    <row r="4372" spans="1:4" ht="12.5">
      <c r="A4372" s="186">
        <v>46175</v>
      </c>
      <c r="B4372" s="184">
        <v>7002749549</v>
      </c>
      <c r="C4372" s="184">
        <v>1</v>
      </c>
      <c r="D4372" s="184" t="s">
        <v>762</v>
      </c>
    </row>
    <row r="4373" spans="1:4" ht="12.5">
      <c r="A4373" s="186">
        <v>46175</v>
      </c>
      <c r="B4373" s="184">
        <v>7002749960</v>
      </c>
      <c r="C4373" s="184">
        <v>141</v>
      </c>
      <c r="D4373" s="9" t="s">
        <v>752</v>
      </c>
    </row>
    <row r="4374" spans="1:4" ht="12.5">
      <c r="A4374" s="186">
        <v>46175</v>
      </c>
      <c r="B4374" s="184">
        <v>7002750228</v>
      </c>
      <c r="C4374" s="184">
        <v>3</v>
      </c>
      <c r="D4374" s="9" t="s">
        <v>751</v>
      </c>
    </row>
    <row r="4375" spans="1:4" ht="12.5">
      <c r="A4375" s="186">
        <v>46175</v>
      </c>
      <c r="B4375" s="184">
        <v>7002750259</v>
      </c>
      <c r="C4375" s="184">
        <v>1</v>
      </c>
      <c r="D4375" s="184" t="s">
        <v>762</v>
      </c>
    </row>
    <row r="4376" spans="1:4" ht="12.5">
      <c r="A4376" s="186">
        <v>46175</v>
      </c>
      <c r="B4376" s="184">
        <v>7002750271</v>
      </c>
      <c r="C4376" s="184">
        <v>2</v>
      </c>
      <c r="D4376" s="9" t="s">
        <v>751</v>
      </c>
    </row>
    <row r="4377" spans="1:4" ht="12.5">
      <c r="A4377" s="186">
        <v>46175</v>
      </c>
      <c r="B4377" s="184">
        <v>7002750285</v>
      </c>
      <c r="C4377" s="184">
        <v>3</v>
      </c>
      <c r="D4377" s="9" t="s">
        <v>751</v>
      </c>
    </row>
    <row r="4378" spans="1:4" ht="12.5">
      <c r="A4378" s="186">
        <v>46175</v>
      </c>
      <c r="B4378" s="184">
        <v>7002750334</v>
      </c>
      <c r="C4378" s="184">
        <v>1</v>
      </c>
      <c r="D4378" s="184" t="s">
        <v>762</v>
      </c>
    </row>
    <row r="4379" spans="1:4" ht="12.5">
      <c r="A4379" s="186">
        <v>46175</v>
      </c>
      <c r="B4379" s="184">
        <v>7002750375</v>
      </c>
      <c r="C4379" s="184">
        <v>58</v>
      </c>
      <c r="D4379" s="9" t="s">
        <v>752</v>
      </c>
    </row>
    <row r="4380" spans="1:4" ht="12.5">
      <c r="A4380" s="186">
        <v>46175</v>
      </c>
      <c r="B4380" s="184">
        <v>7002750418</v>
      </c>
      <c r="C4380" s="184">
        <v>5</v>
      </c>
      <c r="D4380" s="9" t="s">
        <v>751</v>
      </c>
    </row>
    <row r="4381" spans="1:4" ht="12.5">
      <c r="A4381" s="186">
        <v>46175</v>
      </c>
      <c r="B4381" s="184">
        <v>7002750651</v>
      </c>
      <c r="C4381" s="184">
        <v>1</v>
      </c>
      <c r="D4381" s="184" t="s">
        <v>762</v>
      </c>
    </row>
    <row r="4382" spans="1:4" ht="12.5">
      <c r="A4382" s="186">
        <v>46175</v>
      </c>
      <c r="B4382" s="184">
        <v>7002750782</v>
      </c>
      <c r="C4382" s="184">
        <v>43</v>
      </c>
      <c r="D4382" s="9" t="s">
        <v>752</v>
      </c>
    </row>
    <row r="4383" spans="1:4" ht="12.5">
      <c r="A4383" s="186">
        <v>46175</v>
      </c>
      <c r="B4383" s="184">
        <v>7002750862</v>
      </c>
      <c r="C4383" s="184">
        <v>50</v>
      </c>
      <c r="D4383" s="9" t="s">
        <v>752</v>
      </c>
    </row>
    <row r="4384" spans="1:4" ht="12.5">
      <c r="A4384" s="186">
        <v>46175</v>
      </c>
      <c r="B4384" s="184">
        <v>7002750870</v>
      </c>
      <c r="C4384" s="184">
        <v>2</v>
      </c>
      <c r="D4384" s="9" t="s">
        <v>751</v>
      </c>
    </row>
    <row r="4385" spans="1:4" ht="12.5">
      <c r="A4385" s="186">
        <v>46175</v>
      </c>
      <c r="B4385" s="184">
        <v>7002750891</v>
      </c>
      <c r="C4385" s="184">
        <v>4</v>
      </c>
      <c r="D4385" s="9" t="s">
        <v>751</v>
      </c>
    </row>
    <row r="4386" spans="1:4" ht="12.5">
      <c r="A4386" s="186">
        <v>46175</v>
      </c>
      <c r="B4386" s="184">
        <v>7002751011</v>
      </c>
      <c r="C4386" s="184">
        <v>66</v>
      </c>
      <c r="D4386" s="9" t="s">
        <v>752</v>
      </c>
    </row>
    <row r="4387" spans="1:4" ht="12.5">
      <c r="A4387" s="186">
        <v>46175</v>
      </c>
      <c r="B4387" s="184">
        <v>7002751024</v>
      </c>
      <c r="C4387" s="184">
        <v>79</v>
      </c>
      <c r="D4387" s="9" t="s">
        <v>752</v>
      </c>
    </row>
    <row r="4388" spans="1:4" ht="12.5">
      <c r="A4388" s="186">
        <v>46175</v>
      </c>
      <c r="B4388" s="184">
        <v>7002751048</v>
      </c>
      <c r="C4388" s="184">
        <v>46</v>
      </c>
      <c r="D4388" s="9" t="s">
        <v>752</v>
      </c>
    </row>
    <row r="4389" spans="1:4" ht="12.5">
      <c r="A4389" s="186">
        <v>46175</v>
      </c>
      <c r="B4389" s="184">
        <v>7002751095</v>
      </c>
      <c r="C4389" s="184">
        <v>3</v>
      </c>
      <c r="D4389" s="9" t="s">
        <v>751</v>
      </c>
    </row>
    <row r="4390" spans="1:4" ht="12.5">
      <c r="A4390" s="186">
        <v>46175</v>
      </c>
      <c r="B4390" s="184">
        <v>7002751116</v>
      </c>
      <c r="C4390" s="184">
        <v>20</v>
      </c>
      <c r="D4390" s="9" t="s">
        <v>752</v>
      </c>
    </row>
    <row r="4391" spans="1:4" ht="12.5">
      <c r="A4391" s="186">
        <v>46175</v>
      </c>
      <c r="B4391" s="184">
        <v>7002751192</v>
      </c>
      <c r="C4391" s="184">
        <v>2</v>
      </c>
      <c r="D4391" s="9" t="s">
        <v>751</v>
      </c>
    </row>
    <row r="4392" spans="1:4" ht="12.5">
      <c r="A4392" s="186">
        <v>46175</v>
      </c>
      <c r="B4392" s="184">
        <v>7002751215</v>
      </c>
      <c r="C4392" s="184">
        <v>1</v>
      </c>
      <c r="D4392" s="184" t="s">
        <v>762</v>
      </c>
    </row>
    <row r="4393" spans="1:4" ht="12.5">
      <c r="A4393" s="186">
        <v>46175</v>
      </c>
      <c r="B4393" s="184">
        <v>7002751258</v>
      </c>
      <c r="C4393" s="184">
        <v>1</v>
      </c>
      <c r="D4393" s="184" t="s">
        <v>762</v>
      </c>
    </row>
    <row r="4394" spans="1:4" ht="12.5">
      <c r="A4394" s="186">
        <v>46175</v>
      </c>
      <c r="B4394" s="184">
        <v>7002751270</v>
      </c>
      <c r="C4394" s="184">
        <v>3</v>
      </c>
      <c r="D4394" s="9" t="s">
        <v>751</v>
      </c>
    </row>
    <row r="4395" spans="1:4" ht="12.5">
      <c r="A4395" s="186">
        <v>46175</v>
      </c>
      <c r="B4395" s="184">
        <v>7002751291</v>
      </c>
      <c r="C4395" s="184">
        <v>12</v>
      </c>
      <c r="D4395" s="9" t="s">
        <v>752</v>
      </c>
    </row>
    <row r="4396" spans="1:4" ht="12.5">
      <c r="A4396" s="186">
        <v>46175</v>
      </c>
      <c r="B4396" s="184">
        <v>7002751380</v>
      </c>
      <c r="C4396" s="184">
        <v>11</v>
      </c>
      <c r="D4396" s="9" t="s">
        <v>752</v>
      </c>
    </row>
    <row r="4397" spans="1:4" ht="12.5">
      <c r="A4397" s="186">
        <v>46175</v>
      </c>
      <c r="B4397" s="184">
        <v>7002751398</v>
      </c>
      <c r="C4397" s="184">
        <v>17</v>
      </c>
      <c r="D4397" s="9" t="s">
        <v>752</v>
      </c>
    </row>
    <row r="4398" spans="1:4" ht="12.5">
      <c r="A4398" s="186">
        <v>46175</v>
      </c>
      <c r="B4398" s="184">
        <v>7002751486</v>
      </c>
      <c r="C4398" s="184">
        <v>6</v>
      </c>
      <c r="D4398" s="9" t="s">
        <v>763</v>
      </c>
    </row>
    <row r="4399" spans="1:4" ht="12.5">
      <c r="A4399" s="186">
        <v>46175</v>
      </c>
      <c r="B4399" s="184">
        <v>7002751577</v>
      </c>
      <c r="C4399" s="184">
        <v>1</v>
      </c>
      <c r="D4399" s="184" t="s">
        <v>762</v>
      </c>
    </row>
    <row r="4400" spans="1:4" ht="12.5">
      <c r="A4400" s="186">
        <v>46175</v>
      </c>
      <c r="B4400" s="184">
        <v>7002751583</v>
      </c>
      <c r="C4400" s="184">
        <v>3</v>
      </c>
      <c r="D4400" s="9" t="s">
        <v>751</v>
      </c>
    </row>
    <row r="4401" spans="1:4" ht="12.5">
      <c r="A4401" s="186">
        <v>46175</v>
      </c>
      <c r="B4401" s="184">
        <v>7002751613</v>
      </c>
      <c r="C4401" s="184">
        <v>4</v>
      </c>
      <c r="D4401" s="9" t="s">
        <v>751</v>
      </c>
    </row>
    <row r="4402" spans="1:4" ht="12.5">
      <c r="A4402" s="186">
        <v>46175</v>
      </c>
      <c r="B4402" s="184">
        <v>7002751861</v>
      </c>
      <c r="C4402" s="184">
        <v>51</v>
      </c>
      <c r="D4402" s="9" t="s">
        <v>752</v>
      </c>
    </row>
    <row r="4403" spans="1:4" ht="12.5">
      <c r="A4403" s="186">
        <v>46175</v>
      </c>
      <c r="B4403" s="184">
        <v>7002751874</v>
      </c>
      <c r="C4403" s="184">
        <v>2</v>
      </c>
      <c r="D4403" s="9" t="s">
        <v>751</v>
      </c>
    </row>
    <row r="4404" spans="1:4" ht="12.5">
      <c r="A4404" s="186">
        <v>46175</v>
      </c>
      <c r="B4404" s="184">
        <v>7002751939</v>
      </c>
      <c r="C4404" s="184">
        <v>32</v>
      </c>
      <c r="D4404" s="9" t="s">
        <v>752</v>
      </c>
    </row>
    <row r="4405" spans="1:4" ht="12.5">
      <c r="A4405" s="186">
        <v>46175</v>
      </c>
      <c r="B4405" s="184">
        <v>7002752010</v>
      </c>
      <c r="C4405" s="184">
        <v>2</v>
      </c>
      <c r="D4405" s="9" t="s">
        <v>751</v>
      </c>
    </row>
    <row r="4406" spans="1:4" ht="12.5">
      <c r="A4406" s="186">
        <v>46175</v>
      </c>
      <c r="B4406" s="184">
        <v>7002752127</v>
      </c>
      <c r="C4406" s="184">
        <v>22</v>
      </c>
      <c r="D4406" s="9" t="s">
        <v>752</v>
      </c>
    </row>
    <row r="4407" spans="1:4" ht="12.5">
      <c r="A4407" s="186">
        <v>46175</v>
      </c>
      <c r="B4407" s="184">
        <v>7002752261</v>
      </c>
      <c r="C4407" s="184">
        <v>3</v>
      </c>
      <c r="D4407" s="9" t="s">
        <v>751</v>
      </c>
    </row>
    <row r="4408" spans="1:4" ht="12.5">
      <c r="A4408" s="186">
        <v>46175</v>
      </c>
      <c r="B4408" s="184">
        <v>7002752384</v>
      </c>
      <c r="C4408" s="184">
        <v>71</v>
      </c>
      <c r="D4408" s="9" t="s">
        <v>752</v>
      </c>
    </row>
    <row r="4409" spans="1:4" ht="12.5">
      <c r="A4409" s="186">
        <v>46175</v>
      </c>
      <c r="B4409" s="184">
        <v>7002752428</v>
      </c>
      <c r="C4409" s="184">
        <v>8</v>
      </c>
      <c r="D4409" s="9" t="s">
        <v>763</v>
      </c>
    </row>
    <row r="4410" spans="1:4" ht="12.5">
      <c r="A4410" s="186">
        <v>46175</v>
      </c>
      <c r="B4410" s="184">
        <v>7002752595</v>
      </c>
      <c r="C4410" s="184">
        <v>17</v>
      </c>
      <c r="D4410" s="9" t="s">
        <v>752</v>
      </c>
    </row>
    <row r="4411" spans="1:4" ht="12.5">
      <c r="A4411" s="186">
        <v>46175</v>
      </c>
      <c r="B4411" s="184">
        <v>7002752841</v>
      </c>
      <c r="C4411" s="184">
        <v>223</v>
      </c>
      <c r="D4411" s="9" t="s">
        <v>752</v>
      </c>
    </row>
    <row r="4412" spans="1:4" ht="12.5">
      <c r="A4412" s="186">
        <v>46175</v>
      </c>
      <c r="B4412" s="184">
        <v>7002753256</v>
      </c>
      <c r="C4412" s="184">
        <v>6</v>
      </c>
      <c r="D4412" s="9" t="s">
        <v>763</v>
      </c>
    </row>
    <row r="4413" spans="1:4" ht="12.5">
      <c r="A4413" s="186">
        <v>46175</v>
      </c>
      <c r="B4413" s="184">
        <v>7002753320</v>
      </c>
      <c r="C4413" s="184">
        <v>92</v>
      </c>
      <c r="D4413" s="9" t="s">
        <v>752</v>
      </c>
    </row>
    <row r="4414" spans="1:4" ht="12.5">
      <c r="A4414" s="186">
        <v>46175</v>
      </c>
      <c r="B4414" s="184">
        <v>7002753377</v>
      </c>
      <c r="C4414" s="184">
        <v>14</v>
      </c>
      <c r="D4414" s="9" t="s">
        <v>752</v>
      </c>
    </row>
    <row r="4415" spans="1:4" ht="12.5">
      <c r="A4415" s="186">
        <v>46175</v>
      </c>
      <c r="B4415" s="184">
        <v>7002753383</v>
      </c>
      <c r="C4415" s="184">
        <v>6</v>
      </c>
      <c r="D4415" s="9" t="s">
        <v>763</v>
      </c>
    </row>
    <row r="4416" spans="1:4" ht="12.5">
      <c r="A4416" s="186">
        <v>46175</v>
      </c>
      <c r="B4416" s="184">
        <v>7002753396</v>
      </c>
      <c r="C4416" s="184">
        <v>3</v>
      </c>
      <c r="D4416" s="9" t="s">
        <v>751</v>
      </c>
    </row>
    <row r="4417" spans="1:4" ht="12.5">
      <c r="A4417" s="186">
        <v>46175</v>
      </c>
      <c r="B4417" s="184">
        <v>7002753489</v>
      </c>
      <c r="C4417" s="184">
        <v>3</v>
      </c>
      <c r="D4417" s="9" t="s">
        <v>751</v>
      </c>
    </row>
    <row r="4418" spans="1:4" ht="12.5">
      <c r="A4418" s="186">
        <v>46175</v>
      </c>
      <c r="B4418" s="184">
        <v>7002753653</v>
      </c>
      <c r="C4418" s="184">
        <v>5</v>
      </c>
      <c r="D4418" s="9" t="s">
        <v>751</v>
      </c>
    </row>
    <row r="4419" spans="1:4" ht="12.5">
      <c r="A4419" s="186">
        <v>46175</v>
      </c>
      <c r="B4419" s="184">
        <v>7002753838</v>
      </c>
      <c r="C4419" s="184">
        <v>36</v>
      </c>
      <c r="D4419" s="9" t="s">
        <v>752</v>
      </c>
    </row>
    <row r="4420" spans="1:4" ht="12.5">
      <c r="A4420" s="186">
        <v>46175</v>
      </c>
      <c r="B4420" s="184">
        <v>7002753971</v>
      </c>
      <c r="C4420" s="184">
        <v>5</v>
      </c>
      <c r="D4420" s="9" t="s">
        <v>751</v>
      </c>
    </row>
    <row r="4421" spans="1:4" ht="12.5">
      <c r="A4421" s="186">
        <v>46175</v>
      </c>
      <c r="B4421" s="184">
        <v>7002754013</v>
      </c>
      <c r="C4421" s="184">
        <v>25</v>
      </c>
      <c r="D4421" s="9" t="s">
        <v>752</v>
      </c>
    </row>
    <row r="4422" spans="1:4" ht="12.5">
      <c r="A4422" s="186">
        <v>46175</v>
      </c>
      <c r="B4422" s="184">
        <v>7002754118</v>
      </c>
      <c r="C4422" s="184">
        <v>2</v>
      </c>
      <c r="D4422" s="9" t="s">
        <v>751</v>
      </c>
    </row>
    <row r="4423" spans="1:4" ht="12.5">
      <c r="A4423" s="186">
        <v>46175</v>
      </c>
      <c r="B4423" s="184">
        <v>7002754272</v>
      </c>
      <c r="C4423" s="184">
        <v>1</v>
      </c>
      <c r="D4423" s="184" t="s">
        <v>762</v>
      </c>
    </row>
    <row r="4424" spans="1:4" ht="12.5">
      <c r="A4424" s="186">
        <v>46175</v>
      </c>
      <c r="B4424" s="184">
        <v>7002754324</v>
      </c>
      <c r="C4424" s="184">
        <v>10</v>
      </c>
      <c r="D4424" s="9" t="s">
        <v>763</v>
      </c>
    </row>
    <row r="4425" spans="1:4" ht="12.5">
      <c r="A4425" s="186">
        <v>46175</v>
      </c>
      <c r="B4425" s="184">
        <v>7002754330</v>
      </c>
      <c r="C4425" s="184">
        <v>29</v>
      </c>
      <c r="D4425" s="9" t="s">
        <v>752</v>
      </c>
    </row>
    <row r="4426" spans="1:4" ht="12.5">
      <c r="A4426" s="186">
        <v>46175</v>
      </c>
      <c r="B4426" s="184">
        <v>7002754546</v>
      </c>
      <c r="C4426" s="184">
        <v>123</v>
      </c>
      <c r="D4426" s="9" t="s">
        <v>752</v>
      </c>
    </row>
    <row r="4427" spans="1:4" ht="12.5">
      <c r="A4427" s="186">
        <v>46175</v>
      </c>
      <c r="B4427" s="184">
        <v>7002754777</v>
      </c>
      <c r="C4427" s="184">
        <v>1</v>
      </c>
      <c r="D4427" s="184" t="s">
        <v>762</v>
      </c>
    </row>
    <row r="4428" spans="1:4" ht="12.5">
      <c r="A4428" s="186">
        <v>46175</v>
      </c>
      <c r="B4428" s="184">
        <v>7002754871</v>
      </c>
      <c r="C4428" s="184">
        <v>14</v>
      </c>
      <c r="D4428" s="9" t="s">
        <v>752</v>
      </c>
    </row>
    <row r="4429" spans="1:4" ht="12.5">
      <c r="A4429" s="186">
        <v>46175</v>
      </c>
      <c r="B4429" s="184">
        <v>7002754885</v>
      </c>
      <c r="C4429" s="184">
        <v>60</v>
      </c>
      <c r="D4429" s="9" t="s">
        <v>752</v>
      </c>
    </row>
    <row r="4430" spans="1:4" ht="12.5">
      <c r="A4430" s="186">
        <v>46175</v>
      </c>
      <c r="B4430" s="184">
        <v>7002755002</v>
      </c>
      <c r="C4430" s="184">
        <v>3</v>
      </c>
      <c r="D4430" s="9" t="s">
        <v>751</v>
      </c>
    </row>
    <row r="4431" spans="1:4" ht="12.5">
      <c r="A4431" s="186">
        <v>46175</v>
      </c>
      <c r="B4431" s="184">
        <v>7002755113</v>
      </c>
      <c r="C4431" s="184">
        <v>25</v>
      </c>
      <c r="D4431" s="9" t="s">
        <v>752</v>
      </c>
    </row>
    <row r="4432" spans="1:4" ht="12.5">
      <c r="A4432" s="186">
        <v>46175</v>
      </c>
      <c r="B4432" s="184">
        <v>7002755408</v>
      </c>
      <c r="C4432" s="184">
        <v>2</v>
      </c>
      <c r="D4432" s="9" t="s">
        <v>751</v>
      </c>
    </row>
    <row r="4433" spans="1:4" ht="12.5">
      <c r="A4433" s="186">
        <v>46175</v>
      </c>
      <c r="B4433" s="184">
        <v>7002755412</v>
      </c>
      <c r="C4433" s="184">
        <v>7</v>
      </c>
      <c r="D4433" s="9" t="s">
        <v>763</v>
      </c>
    </row>
    <row r="4434" spans="1:4" ht="12.5">
      <c r="A4434" s="186">
        <v>46175</v>
      </c>
      <c r="B4434" s="184">
        <v>7002755529</v>
      </c>
      <c r="C4434" s="184">
        <v>3</v>
      </c>
      <c r="D4434" s="9" t="s">
        <v>751</v>
      </c>
    </row>
    <row r="4435" spans="1:4" ht="12.5">
      <c r="A4435" s="186">
        <v>46175</v>
      </c>
      <c r="B4435" s="184">
        <v>7002755628</v>
      </c>
      <c r="C4435" s="184">
        <v>13</v>
      </c>
      <c r="D4435" s="9" t="s">
        <v>752</v>
      </c>
    </row>
    <row r="4436" spans="1:4" ht="12.5">
      <c r="A4436" s="186">
        <v>46175</v>
      </c>
      <c r="B4436" s="184">
        <v>7002755637</v>
      </c>
      <c r="C4436" s="184">
        <v>23</v>
      </c>
      <c r="D4436" s="9" t="s">
        <v>752</v>
      </c>
    </row>
    <row r="4437" spans="1:4" ht="12.5">
      <c r="A4437" s="186">
        <v>46175</v>
      </c>
      <c r="B4437" s="184">
        <v>7002755761</v>
      </c>
      <c r="C4437" s="184">
        <v>72</v>
      </c>
      <c r="D4437" s="9" t="s">
        <v>752</v>
      </c>
    </row>
    <row r="4438" spans="1:4" ht="12.5">
      <c r="A4438" s="186">
        <v>46175</v>
      </c>
      <c r="B4438" s="184">
        <v>7002755810</v>
      </c>
      <c r="C4438" s="184">
        <v>2</v>
      </c>
      <c r="D4438" s="9" t="s">
        <v>751</v>
      </c>
    </row>
    <row r="4439" spans="1:4" ht="12.5">
      <c r="A4439" s="186">
        <v>46175</v>
      </c>
      <c r="B4439" s="184">
        <v>7002755875</v>
      </c>
      <c r="C4439" s="184">
        <v>1</v>
      </c>
      <c r="D4439" s="184" t="s">
        <v>762</v>
      </c>
    </row>
    <row r="4440" spans="1:4" ht="12.5">
      <c r="A4440" s="186">
        <v>46175</v>
      </c>
      <c r="B4440" s="184">
        <v>7002755930</v>
      </c>
      <c r="C4440" s="184">
        <v>7</v>
      </c>
      <c r="D4440" s="9" t="s">
        <v>763</v>
      </c>
    </row>
    <row r="4441" spans="1:4" ht="12.5">
      <c r="A4441" s="186">
        <v>46175</v>
      </c>
      <c r="B4441" s="184">
        <v>7002756057</v>
      </c>
      <c r="C4441" s="184">
        <v>150</v>
      </c>
      <c r="D4441" s="9" t="s">
        <v>752</v>
      </c>
    </row>
    <row r="4442" spans="1:4" ht="12.5">
      <c r="A4442" s="186">
        <v>46175</v>
      </c>
      <c r="B4442" s="184">
        <v>7002756122</v>
      </c>
      <c r="C4442" s="184">
        <v>5</v>
      </c>
      <c r="D4442" s="9" t="s">
        <v>751</v>
      </c>
    </row>
    <row r="4443" spans="1:4" ht="12.5">
      <c r="A4443" s="186">
        <v>46175</v>
      </c>
      <c r="B4443" s="184">
        <v>7002756146</v>
      </c>
      <c r="C4443" s="184">
        <v>100</v>
      </c>
      <c r="D4443" s="9" t="s">
        <v>752</v>
      </c>
    </row>
    <row r="4444" spans="1:4" ht="12.5">
      <c r="A4444" s="186">
        <v>46175</v>
      </c>
      <c r="B4444" s="184">
        <v>7002756180</v>
      </c>
      <c r="C4444" s="184">
        <v>5</v>
      </c>
      <c r="D4444" s="9" t="s">
        <v>751</v>
      </c>
    </row>
    <row r="4445" spans="1:4" ht="12.5">
      <c r="A4445" s="186">
        <v>46175</v>
      </c>
      <c r="B4445" s="184">
        <v>7002756247</v>
      </c>
      <c r="C4445" s="184">
        <v>2</v>
      </c>
      <c r="D4445" s="9" t="s">
        <v>751</v>
      </c>
    </row>
    <row r="4446" spans="1:4" ht="12.5">
      <c r="A4446" s="186">
        <v>46175</v>
      </c>
      <c r="B4446" s="184">
        <v>7002756252</v>
      </c>
      <c r="C4446" s="184">
        <v>1</v>
      </c>
      <c r="D4446" s="184" t="s">
        <v>762</v>
      </c>
    </row>
    <row r="4447" spans="1:4" ht="12.5">
      <c r="A4447" s="186">
        <v>46175</v>
      </c>
      <c r="B4447" s="184">
        <v>7002756299</v>
      </c>
      <c r="C4447" s="184">
        <v>15</v>
      </c>
      <c r="D4447" s="9" t="s">
        <v>752</v>
      </c>
    </row>
    <row r="4448" spans="1:4" ht="12.5">
      <c r="A4448" s="186">
        <v>46175</v>
      </c>
      <c r="B4448" s="184">
        <v>7002756359</v>
      </c>
      <c r="C4448" s="184">
        <v>24</v>
      </c>
      <c r="D4448" s="9" t="s">
        <v>752</v>
      </c>
    </row>
    <row r="4449" spans="1:4" ht="12.5">
      <c r="A4449" s="186">
        <v>46175</v>
      </c>
      <c r="B4449" s="184">
        <v>7002756385</v>
      </c>
      <c r="C4449" s="184">
        <v>1</v>
      </c>
      <c r="D4449" s="184" t="s">
        <v>762</v>
      </c>
    </row>
    <row r="4450" spans="1:4" ht="12.5">
      <c r="A4450" s="186">
        <v>46175</v>
      </c>
      <c r="B4450" s="184">
        <v>7002756392</v>
      </c>
      <c r="C4450" s="184">
        <v>3</v>
      </c>
      <c r="D4450" s="9" t="s">
        <v>751</v>
      </c>
    </row>
    <row r="4451" spans="1:4" ht="12.5">
      <c r="A4451" s="186">
        <v>46175</v>
      </c>
      <c r="B4451" s="184">
        <v>7002756704</v>
      </c>
      <c r="C4451" s="184">
        <v>19</v>
      </c>
      <c r="D4451" s="9" t="s">
        <v>752</v>
      </c>
    </row>
    <row r="4452" spans="1:4" ht="12.5">
      <c r="A4452" s="186">
        <v>46175</v>
      </c>
      <c r="B4452" s="184">
        <v>7002756758</v>
      </c>
      <c r="C4452" s="184">
        <v>3</v>
      </c>
      <c r="D4452" s="9" t="s">
        <v>751</v>
      </c>
    </row>
    <row r="4453" spans="1:4" ht="12.5">
      <c r="A4453" s="186">
        <v>46175</v>
      </c>
      <c r="B4453" s="184">
        <v>7002756830</v>
      </c>
      <c r="C4453" s="184">
        <v>1</v>
      </c>
      <c r="D4453" s="184" t="s">
        <v>762</v>
      </c>
    </row>
    <row r="4454" spans="1:4" ht="12.5">
      <c r="A4454" s="186">
        <v>46175</v>
      </c>
      <c r="B4454" s="184">
        <v>7002756853</v>
      </c>
      <c r="C4454" s="184">
        <v>103</v>
      </c>
      <c r="D4454" s="9" t="s">
        <v>752</v>
      </c>
    </row>
    <row r="4455" spans="1:4" ht="12.5">
      <c r="A4455" s="186">
        <v>46175</v>
      </c>
      <c r="B4455" s="184">
        <v>7002757123</v>
      </c>
      <c r="C4455" s="184">
        <v>5</v>
      </c>
      <c r="D4455" s="9" t="s">
        <v>751</v>
      </c>
    </row>
    <row r="4456" spans="1:4" ht="12.5">
      <c r="A4456" s="186">
        <v>46175</v>
      </c>
      <c r="B4456" s="184">
        <v>7002757230</v>
      </c>
      <c r="C4456" s="184">
        <v>3</v>
      </c>
      <c r="D4456" s="9" t="s">
        <v>751</v>
      </c>
    </row>
    <row r="4457" spans="1:4" ht="12.5">
      <c r="A4457" s="186">
        <v>46175</v>
      </c>
      <c r="B4457" s="184">
        <v>7002757276</v>
      </c>
      <c r="C4457" s="184">
        <v>3</v>
      </c>
      <c r="D4457" s="9" t="s">
        <v>751</v>
      </c>
    </row>
    <row r="4458" spans="1:4" ht="12.5">
      <c r="A4458" s="186">
        <v>46175</v>
      </c>
      <c r="B4458" s="184">
        <v>7002757317</v>
      </c>
      <c r="C4458" s="184">
        <v>20</v>
      </c>
      <c r="D4458" s="9" t="s">
        <v>752</v>
      </c>
    </row>
    <row r="4459" spans="1:4" ht="12.5">
      <c r="A4459" s="186">
        <v>46175</v>
      </c>
      <c r="B4459" s="184">
        <v>7002757479</v>
      </c>
      <c r="C4459" s="184">
        <v>23</v>
      </c>
      <c r="D4459" s="9" t="s">
        <v>752</v>
      </c>
    </row>
    <row r="4460" spans="1:4" ht="12.5">
      <c r="A4460" s="186">
        <v>46175</v>
      </c>
      <c r="B4460" s="184">
        <v>7002757716</v>
      </c>
      <c r="C4460" s="184">
        <v>1</v>
      </c>
      <c r="D4460" s="184" t="s">
        <v>762</v>
      </c>
    </row>
    <row r="4461" spans="1:4" ht="12.5">
      <c r="A4461" s="186">
        <v>46175</v>
      </c>
      <c r="B4461" s="184">
        <v>7002757759</v>
      </c>
      <c r="C4461" s="184">
        <v>94</v>
      </c>
      <c r="D4461" s="9" t="s">
        <v>752</v>
      </c>
    </row>
    <row r="4462" spans="1:4" ht="12.5">
      <c r="A4462" s="186">
        <v>46175</v>
      </c>
      <c r="B4462" s="184">
        <v>7002757785</v>
      </c>
      <c r="C4462" s="184">
        <v>11</v>
      </c>
      <c r="D4462" s="9" t="s">
        <v>752</v>
      </c>
    </row>
    <row r="4463" spans="1:4" ht="12.5">
      <c r="A4463" s="186">
        <v>46175</v>
      </c>
      <c r="B4463" s="184">
        <v>7002757792</v>
      </c>
      <c r="C4463" s="184">
        <v>3</v>
      </c>
      <c r="D4463" s="9" t="s">
        <v>751</v>
      </c>
    </row>
    <row r="4464" spans="1:4" ht="12.5">
      <c r="A4464" s="186">
        <v>46175</v>
      </c>
      <c r="B4464" s="184">
        <v>7002757865</v>
      </c>
      <c r="C4464" s="184">
        <v>59</v>
      </c>
      <c r="D4464" s="9" t="s">
        <v>752</v>
      </c>
    </row>
    <row r="4465" spans="1:4" ht="12.5">
      <c r="A4465" s="186">
        <v>46175</v>
      </c>
      <c r="B4465" s="184">
        <v>7002757978</v>
      </c>
      <c r="C4465" s="184">
        <v>103</v>
      </c>
      <c r="D4465" s="9" t="s">
        <v>752</v>
      </c>
    </row>
    <row r="4466" spans="1:4" ht="12.5">
      <c r="A4466" s="186">
        <v>46175</v>
      </c>
      <c r="B4466" s="184">
        <v>7002757997</v>
      </c>
      <c r="C4466" s="184">
        <v>1</v>
      </c>
      <c r="D4466" s="184" t="s">
        <v>762</v>
      </c>
    </row>
    <row r="4467" spans="1:4" ht="12.5">
      <c r="A4467" s="186">
        <v>46175</v>
      </c>
      <c r="B4467" s="184">
        <v>7002758000</v>
      </c>
      <c r="C4467" s="184">
        <v>7</v>
      </c>
      <c r="D4467" s="9" t="s">
        <v>763</v>
      </c>
    </row>
    <row r="4468" spans="1:4" ht="12.5">
      <c r="A4468" s="186">
        <v>46175</v>
      </c>
      <c r="B4468" s="184">
        <v>7002758016</v>
      </c>
      <c r="C4468" s="184">
        <v>3</v>
      </c>
      <c r="D4468" s="9" t="s">
        <v>751</v>
      </c>
    </row>
    <row r="4469" spans="1:4" ht="12.5">
      <c r="A4469" s="186">
        <v>46175</v>
      </c>
      <c r="B4469" s="184">
        <v>7002758059</v>
      </c>
      <c r="C4469" s="184">
        <v>5</v>
      </c>
      <c r="D4469" s="9" t="s">
        <v>751</v>
      </c>
    </row>
    <row r="4470" spans="1:4" ht="12.5">
      <c r="A4470" s="186">
        <v>46175</v>
      </c>
      <c r="B4470" s="184">
        <v>7002758071</v>
      </c>
      <c r="C4470" s="184">
        <v>2</v>
      </c>
      <c r="D4470" s="9" t="s">
        <v>751</v>
      </c>
    </row>
    <row r="4471" spans="1:4" ht="12.5">
      <c r="A4471" s="186">
        <v>46175</v>
      </c>
      <c r="B4471" s="184">
        <v>7002758387</v>
      </c>
      <c r="C4471" s="184">
        <v>1</v>
      </c>
      <c r="D4471" s="184" t="s">
        <v>762</v>
      </c>
    </row>
    <row r="4472" spans="1:4" ht="12.5">
      <c r="A4472" s="186">
        <v>46175</v>
      </c>
      <c r="B4472" s="184">
        <v>7002758406</v>
      </c>
      <c r="C4472" s="184">
        <v>63</v>
      </c>
      <c r="D4472" s="9" t="s">
        <v>752</v>
      </c>
    </row>
    <row r="4473" spans="1:4" ht="12.5">
      <c r="A4473" s="186">
        <v>46175</v>
      </c>
      <c r="B4473" s="184">
        <v>7002758481</v>
      </c>
      <c r="C4473" s="184">
        <v>2</v>
      </c>
      <c r="D4473" s="9" t="s">
        <v>751</v>
      </c>
    </row>
    <row r="4474" spans="1:4" ht="12.5">
      <c r="A4474" s="186">
        <v>46175</v>
      </c>
      <c r="B4474" s="184">
        <v>7002758661</v>
      </c>
      <c r="C4474" s="184">
        <v>4</v>
      </c>
      <c r="D4474" s="9" t="s">
        <v>751</v>
      </c>
    </row>
    <row r="4475" spans="1:4" ht="12.5">
      <c r="A4475" s="186">
        <v>46175</v>
      </c>
      <c r="B4475" s="184">
        <v>7002758813</v>
      </c>
      <c r="C4475" s="184">
        <v>6</v>
      </c>
      <c r="D4475" s="9" t="s">
        <v>763</v>
      </c>
    </row>
    <row r="4476" spans="1:4" ht="12.5">
      <c r="A4476" s="186">
        <v>46175</v>
      </c>
      <c r="B4476" s="184">
        <v>7002758845</v>
      </c>
      <c r="C4476" s="184">
        <v>121</v>
      </c>
      <c r="D4476" s="9" t="s">
        <v>752</v>
      </c>
    </row>
    <row r="4477" spans="1:4" ht="12.5">
      <c r="A4477" s="186">
        <v>46175</v>
      </c>
      <c r="B4477" s="184">
        <v>7002758866</v>
      </c>
      <c r="C4477" s="184">
        <v>21</v>
      </c>
      <c r="D4477" s="9" t="s">
        <v>752</v>
      </c>
    </row>
    <row r="4478" spans="1:4" ht="12.5">
      <c r="A4478" s="186">
        <v>46175</v>
      </c>
      <c r="B4478" s="184">
        <v>7002758878</v>
      </c>
      <c r="C4478" s="184">
        <v>2</v>
      </c>
      <c r="D4478" s="9" t="s">
        <v>751</v>
      </c>
    </row>
    <row r="4479" spans="1:4" ht="12.5">
      <c r="A4479" s="186">
        <v>46175</v>
      </c>
      <c r="B4479" s="184">
        <v>7002758884</v>
      </c>
      <c r="C4479" s="184">
        <v>27</v>
      </c>
      <c r="D4479" s="9" t="s">
        <v>752</v>
      </c>
    </row>
    <row r="4480" spans="1:4" ht="12.5">
      <c r="A4480" s="186">
        <v>46175</v>
      </c>
      <c r="B4480" s="184">
        <v>7002758897</v>
      </c>
      <c r="C4480" s="184">
        <v>8</v>
      </c>
      <c r="D4480" s="9" t="s">
        <v>763</v>
      </c>
    </row>
    <row r="4481" spans="1:4" ht="12.5">
      <c r="A4481" s="186">
        <v>46175</v>
      </c>
      <c r="B4481" s="184">
        <v>7002758922</v>
      </c>
      <c r="C4481" s="184">
        <v>142</v>
      </c>
      <c r="D4481" s="9" t="s">
        <v>752</v>
      </c>
    </row>
    <row r="4482" spans="1:4" ht="12.5">
      <c r="A4482" s="186">
        <v>46175</v>
      </c>
      <c r="B4482" s="184">
        <v>7002758951</v>
      </c>
      <c r="C4482" s="184">
        <v>2</v>
      </c>
      <c r="D4482" s="9" t="s">
        <v>751</v>
      </c>
    </row>
    <row r="4483" spans="1:4" ht="12.5">
      <c r="A4483" s="186">
        <v>46175</v>
      </c>
      <c r="B4483" s="184">
        <v>7002759017</v>
      </c>
      <c r="C4483" s="184">
        <v>4</v>
      </c>
      <c r="D4483" s="9" t="s">
        <v>751</v>
      </c>
    </row>
    <row r="4484" spans="1:4" ht="12.5">
      <c r="A4484" s="186">
        <v>46175</v>
      </c>
      <c r="B4484" s="184">
        <v>7002759284</v>
      </c>
      <c r="C4484" s="184">
        <v>1</v>
      </c>
      <c r="D4484" s="184" t="s">
        <v>762</v>
      </c>
    </row>
    <row r="4485" spans="1:4" ht="12.5">
      <c r="A4485" s="186">
        <v>46175</v>
      </c>
      <c r="B4485" s="184">
        <v>7002759303</v>
      </c>
      <c r="C4485" s="184">
        <v>41</v>
      </c>
      <c r="D4485" s="9" t="s">
        <v>752</v>
      </c>
    </row>
    <row r="4486" spans="1:4" ht="12.5">
      <c r="A4486" s="186">
        <v>46175</v>
      </c>
      <c r="B4486" s="184">
        <v>7002759335</v>
      </c>
      <c r="C4486" s="184">
        <v>14</v>
      </c>
      <c r="D4486" s="9" t="s">
        <v>752</v>
      </c>
    </row>
    <row r="4487" spans="1:4" ht="12.5">
      <c r="A4487" s="186">
        <v>46175</v>
      </c>
      <c r="B4487" s="184">
        <v>7002759528</v>
      </c>
      <c r="C4487" s="184">
        <v>22</v>
      </c>
      <c r="D4487" s="9" t="s">
        <v>752</v>
      </c>
    </row>
    <row r="4488" spans="1:4" ht="12.5">
      <c r="A4488" s="186">
        <v>46175</v>
      </c>
      <c r="B4488" s="184">
        <v>7002759702</v>
      </c>
      <c r="C4488" s="184">
        <v>15</v>
      </c>
      <c r="D4488" s="9" t="s">
        <v>752</v>
      </c>
    </row>
    <row r="4489" spans="1:4" ht="12.5">
      <c r="A4489" s="186">
        <v>46175</v>
      </c>
      <c r="B4489" s="184">
        <v>7002759718</v>
      </c>
      <c r="C4489" s="184">
        <v>1</v>
      </c>
      <c r="D4489" s="184" t="s">
        <v>762</v>
      </c>
    </row>
    <row r="4490" spans="1:4" ht="12.5">
      <c r="A4490" s="186">
        <v>46175</v>
      </c>
      <c r="B4490" s="184">
        <v>7002759756</v>
      </c>
      <c r="C4490" s="184">
        <v>18</v>
      </c>
      <c r="D4490" s="9" t="s">
        <v>752</v>
      </c>
    </row>
    <row r="4491" spans="1:4" ht="12.5">
      <c r="A4491" s="186">
        <v>46175</v>
      </c>
      <c r="B4491" s="184">
        <v>7002759760</v>
      </c>
      <c r="C4491" s="184">
        <v>94</v>
      </c>
      <c r="D4491" s="9" t="s">
        <v>752</v>
      </c>
    </row>
    <row r="4492" spans="1:4" ht="12.5">
      <c r="A4492" s="186">
        <v>46175</v>
      </c>
      <c r="B4492" s="184">
        <v>7002759822</v>
      </c>
      <c r="C4492" s="184">
        <v>1</v>
      </c>
      <c r="D4492" s="184" t="s">
        <v>762</v>
      </c>
    </row>
    <row r="4493" spans="1:4" ht="12.5">
      <c r="A4493" s="186">
        <v>46175</v>
      </c>
      <c r="B4493" s="184">
        <v>7002759846</v>
      </c>
      <c r="C4493" s="184">
        <v>18</v>
      </c>
      <c r="D4493" s="9" t="s">
        <v>752</v>
      </c>
    </row>
    <row r="4494" spans="1:4" ht="12.5">
      <c r="A4494" s="186">
        <v>46175</v>
      </c>
      <c r="B4494" s="184">
        <v>7002760019</v>
      </c>
      <c r="C4494" s="184">
        <v>2</v>
      </c>
      <c r="D4494" s="9" t="s">
        <v>751</v>
      </c>
    </row>
    <row r="4495" spans="1:4" ht="12.5">
      <c r="A4495" s="186">
        <v>46175</v>
      </c>
      <c r="B4495" s="184">
        <v>7002760088</v>
      </c>
      <c r="C4495" s="184">
        <v>3</v>
      </c>
      <c r="D4495" s="9" t="s">
        <v>751</v>
      </c>
    </row>
    <row r="4496" spans="1:4" ht="12.5">
      <c r="A4496" s="186">
        <v>46175</v>
      </c>
      <c r="B4496" s="184">
        <v>7002760252</v>
      </c>
      <c r="C4496" s="184">
        <v>379</v>
      </c>
      <c r="D4496" s="9" t="s">
        <v>752</v>
      </c>
    </row>
    <row r="4497" spans="1:4" ht="12.5">
      <c r="A4497" s="186">
        <v>46175</v>
      </c>
      <c r="B4497" s="184">
        <v>7002760363</v>
      </c>
      <c r="C4497" s="184">
        <v>4</v>
      </c>
      <c r="D4497" s="9" t="s">
        <v>751</v>
      </c>
    </row>
    <row r="4498" spans="1:4" ht="12.5">
      <c r="A4498" s="186">
        <v>46175</v>
      </c>
      <c r="B4498" s="184">
        <v>7002760484</v>
      </c>
      <c r="C4498" s="184">
        <v>4</v>
      </c>
      <c r="D4498" s="9" t="s">
        <v>751</v>
      </c>
    </row>
    <row r="4499" spans="1:4" ht="12.5">
      <c r="A4499" s="186">
        <v>46175</v>
      </c>
      <c r="B4499" s="184">
        <v>7002760525</v>
      </c>
      <c r="C4499" s="184">
        <v>4</v>
      </c>
      <c r="D4499" s="9" t="s">
        <v>751</v>
      </c>
    </row>
    <row r="4500" spans="1:4" ht="12.5">
      <c r="A4500" s="186">
        <v>46175</v>
      </c>
      <c r="B4500" s="184">
        <v>7002760541</v>
      </c>
      <c r="C4500" s="184">
        <v>3</v>
      </c>
      <c r="D4500" s="9" t="s">
        <v>751</v>
      </c>
    </row>
    <row r="4501" spans="1:4" ht="12.5">
      <c r="A4501" s="186">
        <v>46175</v>
      </c>
      <c r="B4501" s="184">
        <v>7002760601</v>
      </c>
      <c r="C4501" s="184">
        <v>1</v>
      </c>
      <c r="D4501" s="184" t="s">
        <v>762</v>
      </c>
    </row>
    <row r="4502" spans="1:4" ht="12.5">
      <c r="A4502" s="186">
        <v>46175</v>
      </c>
      <c r="B4502" s="184">
        <v>7002760686</v>
      </c>
      <c r="C4502" s="184">
        <v>123</v>
      </c>
      <c r="D4502" s="9" t="s">
        <v>752</v>
      </c>
    </row>
    <row r="4503" spans="1:4" ht="12.5">
      <c r="A4503" s="186">
        <v>46175</v>
      </c>
      <c r="B4503" s="184">
        <v>7002760743</v>
      </c>
      <c r="C4503" s="184">
        <v>1</v>
      </c>
      <c r="D4503" s="184" t="s">
        <v>762</v>
      </c>
    </row>
    <row r="4504" spans="1:4" ht="12.5">
      <c r="A4504" s="186">
        <v>46175</v>
      </c>
      <c r="B4504" s="184">
        <v>7002761094</v>
      </c>
      <c r="C4504" s="184">
        <v>1</v>
      </c>
      <c r="D4504" s="184" t="s">
        <v>762</v>
      </c>
    </row>
    <row r="4505" spans="1:4" ht="12.5">
      <c r="A4505" s="186">
        <v>46175</v>
      </c>
      <c r="B4505" s="184">
        <v>7002761692</v>
      </c>
      <c r="C4505" s="184">
        <v>5</v>
      </c>
      <c r="D4505" s="9" t="s">
        <v>751</v>
      </c>
    </row>
    <row r="4506" spans="1:4" ht="12.5">
      <c r="A4506" s="186">
        <v>46175</v>
      </c>
      <c r="B4506" s="184">
        <v>7002762038</v>
      </c>
      <c r="C4506" s="184">
        <v>14</v>
      </c>
      <c r="D4506" s="9" t="s">
        <v>752</v>
      </c>
    </row>
    <row r="4507" spans="1:4" ht="12.5">
      <c r="A4507" s="186">
        <v>46175</v>
      </c>
      <c r="B4507" s="184">
        <v>7002762112</v>
      </c>
      <c r="C4507" s="184">
        <v>7</v>
      </c>
      <c r="D4507" s="9" t="s">
        <v>763</v>
      </c>
    </row>
    <row r="4508" spans="1:4" ht="12.5">
      <c r="A4508" s="186">
        <v>46175</v>
      </c>
      <c r="B4508" s="184">
        <v>7002762407</v>
      </c>
      <c r="C4508" s="184">
        <v>35</v>
      </c>
      <c r="D4508" s="9" t="s">
        <v>752</v>
      </c>
    </row>
    <row r="4509" spans="1:4" ht="12.5">
      <c r="A4509" s="186">
        <v>46175</v>
      </c>
      <c r="B4509" s="184">
        <v>7002762469</v>
      </c>
      <c r="C4509" s="184">
        <v>2</v>
      </c>
      <c r="D4509" s="9" t="s">
        <v>751</v>
      </c>
    </row>
    <row r="4510" spans="1:4" ht="12.5">
      <c r="A4510" s="186">
        <v>46175</v>
      </c>
      <c r="B4510" s="184">
        <v>7002762495</v>
      </c>
      <c r="C4510" s="184">
        <v>4</v>
      </c>
      <c r="D4510" s="9" t="s">
        <v>751</v>
      </c>
    </row>
    <row r="4511" spans="1:4" ht="12.5">
      <c r="A4511" s="186">
        <v>46175</v>
      </c>
      <c r="B4511" s="184">
        <v>7002762528</v>
      </c>
      <c r="C4511" s="184">
        <v>3</v>
      </c>
      <c r="D4511" s="9" t="s">
        <v>751</v>
      </c>
    </row>
    <row r="4512" spans="1:4" ht="12.5">
      <c r="A4512" s="186">
        <v>46175</v>
      </c>
      <c r="B4512" s="184">
        <v>7002762604</v>
      </c>
      <c r="C4512" s="184">
        <v>1</v>
      </c>
      <c r="D4512" s="184" t="s">
        <v>762</v>
      </c>
    </row>
    <row r="4513" spans="1:4" ht="12.5">
      <c r="A4513" s="186">
        <v>46175</v>
      </c>
      <c r="B4513" s="184">
        <v>7002762739</v>
      </c>
      <c r="C4513" s="184">
        <v>1</v>
      </c>
      <c r="D4513" s="184" t="s">
        <v>762</v>
      </c>
    </row>
    <row r="4514" spans="1:4" ht="12.5">
      <c r="A4514" s="186">
        <v>46175</v>
      </c>
      <c r="B4514" s="184">
        <v>7002762741</v>
      </c>
      <c r="C4514" s="184">
        <v>1</v>
      </c>
      <c r="D4514" s="184" t="s">
        <v>762</v>
      </c>
    </row>
    <row r="4515" spans="1:4" ht="12.5">
      <c r="A4515" s="186">
        <v>46175</v>
      </c>
      <c r="B4515" s="184">
        <v>7002762833</v>
      </c>
      <c r="C4515" s="184">
        <v>26</v>
      </c>
      <c r="D4515" s="9" t="s">
        <v>752</v>
      </c>
    </row>
    <row r="4516" spans="1:4" ht="12.5">
      <c r="A4516" s="186">
        <v>46175</v>
      </c>
      <c r="B4516" s="184">
        <v>7002763085</v>
      </c>
      <c r="C4516" s="184">
        <v>2</v>
      </c>
      <c r="D4516" s="9" t="s">
        <v>751</v>
      </c>
    </row>
    <row r="4517" spans="1:4" ht="12.5">
      <c r="A4517" s="186">
        <v>46175</v>
      </c>
      <c r="B4517" s="184">
        <v>7002763220</v>
      </c>
      <c r="C4517" s="184">
        <v>14</v>
      </c>
      <c r="D4517" s="9" t="s">
        <v>752</v>
      </c>
    </row>
    <row r="4518" spans="1:4" ht="12.5">
      <c r="A4518" s="186">
        <v>46175</v>
      </c>
      <c r="B4518" s="184">
        <v>7002763265</v>
      </c>
      <c r="C4518" s="184">
        <v>1</v>
      </c>
      <c r="D4518" s="184" t="s">
        <v>762</v>
      </c>
    </row>
    <row r="4519" spans="1:4" ht="12.5">
      <c r="A4519" s="186">
        <v>46175</v>
      </c>
      <c r="B4519" s="184">
        <v>7002763468</v>
      </c>
      <c r="C4519" s="184">
        <v>2</v>
      </c>
      <c r="D4519" s="9" t="s">
        <v>751</v>
      </c>
    </row>
    <row r="4520" spans="1:4" ht="12.5">
      <c r="A4520" s="186">
        <v>46175</v>
      </c>
      <c r="B4520" s="184">
        <v>7002763504</v>
      </c>
      <c r="C4520" s="184">
        <v>4</v>
      </c>
      <c r="D4520" s="9" t="s">
        <v>751</v>
      </c>
    </row>
    <row r="4521" spans="1:4" ht="12.5">
      <c r="A4521" s="186">
        <v>46175</v>
      </c>
      <c r="B4521" s="184">
        <v>7002763558</v>
      </c>
      <c r="C4521" s="184">
        <v>10</v>
      </c>
      <c r="D4521" s="9" t="s">
        <v>763</v>
      </c>
    </row>
    <row r="4522" spans="1:4" ht="12.5">
      <c r="A4522" s="186">
        <v>46175</v>
      </c>
      <c r="B4522" s="184">
        <v>7002764181</v>
      </c>
      <c r="C4522" s="184">
        <v>2</v>
      </c>
      <c r="D4522" s="9" t="s">
        <v>751</v>
      </c>
    </row>
    <row r="4523" spans="1:4" ht="12.5">
      <c r="A4523" s="186">
        <v>46175</v>
      </c>
      <c r="B4523" s="184">
        <v>7002764519</v>
      </c>
      <c r="C4523" s="184">
        <v>131</v>
      </c>
      <c r="D4523" s="9" t="s">
        <v>752</v>
      </c>
    </row>
    <row r="4524" spans="1:4" ht="12.5">
      <c r="A4524" s="186">
        <v>46175</v>
      </c>
      <c r="B4524" s="184">
        <v>7002764561</v>
      </c>
      <c r="C4524" s="184">
        <v>1</v>
      </c>
      <c r="D4524" s="184" t="s">
        <v>762</v>
      </c>
    </row>
    <row r="4525" spans="1:4" ht="12.5">
      <c r="A4525" s="186">
        <v>46175</v>
      </c>
      <c r="B4525" s="184">
        <v>7002764763</v>
      </c>
      <c r="C4525" s="184">
        <v>2</v>
      </c>
      <c r="D4525" s="9" t="s">
        <v>751</v>
      </c>
    </row>
    <row r="4526" spans="1:4" ht="12.5">
      <c r="A4526" s="186">
        <v>46175</v>
      </c>
      <c r="B4526" s="184">
        <v>7002765076</v>
      </c>
      <c r="C4526" s="184">
        <v>1</v>
      </c>
      <c r="D4526" s="184" t="s">
        <v>762</v>
      </c>
    </row>
    <row r="4527" spans="1:4" ht="12.5">
      <c r="A4527" s="186">
        <v>46175</v>
      </c>
      <c r="B4527" s="184">
        <v>7002765100</v>
      </c>
      <c r="C4527" s="184">
        <v>8</v>
      </c>
      <c r="D4527" s="9" t="s">
        <v>763</v>
      </c>
    </row>
    <row r="4528" spans="1:4" ht="12.5">
      <c r="A4528" s="186">
        <v>46175</v>
      </c>
      <c r="B4528" s="184">
        <v>7002765270</v>
      </c>
      <c r="C4528" s="184">
        <v>1</v>
      </c>
      <c r="D4528" s="184" t="s">
        <v>762</v>
      </c>
    </row>
    <row r="4529" spans="1:4" ht="12.5">
      <c r="A4529" s="186">
        <v>46175</v>
      </c>
      <c r="B4529" s="184">
        <v>7002765379</v>
      </c>
      <c r="C4529" s="184">
        <v>3</v>
      </c>
      <c r="D4529" s="9" t="s">
        <v>751</v>
      </c>
    </row>
    <row r="4530" spans="1:4" ht="12.5">
      <c r="A4530" s="186">
        <v>46175</v>
      </c>
      <c r="B4530" s="184">
        <v>7002765438</v>
      </c>
      <c r="C4530" s="184">
        <v>1</v>
      </c>
      <c r="D4530" s="184" t="s">
        <v>762</v>
      </c>
    </row>
    <row r="4531" spans="1:4" ht="12.5">
      <c r="A4531" s="186">
        <v>46175</v>
      </c>
      <c r="B4531" s="184">
        <v>7002765464</v>
      </c>
      <c r="C4531" s="184">
        <v>3</v>
      </c>
      <c r="D4531" s="9" t="s">
        <v>751</v>
      </c>
    </row>
    <row r="4532" spans="1:4" ht="12.5">
      <c r="A4532" s="186">
        <v>46175</v>
      </c>
      <c r="B4532" s="184">
        <v>7002765472</v>
      </c>
      <c r="C4532" s="184">
        <v>6</v>
      </c>
      <c r="D4532" s="9" t="s">
        <v>763</v>
      </c>
    </row>
    <row r="4533" spans="1:4" ht="12.5">
      <c r="A4533" s="186">
        <v>46175</v>
      </c>
      <c r="B4533" s="184">
        <v>7002765520</v>
      </c>
      <c r="C4533" s="184">
        <v>2</v>
      </c>
      <c r="D4533" s="9" t="s">
        <v>751</v>
      </c>
    </row>
    <row r="4534" spans="1:4" ht="12.5">
      <c r="A4534" s="186">
        <v>46175</v>
      </c>
      <c r="B4534" s="184">
        <v>7002765768</v>
      </c>
      <c r="C4534" s="184">
        <v>2</v>
      </c>
      <c r="D4534" s="9" t="s">
        <v>751</v>
      </c>
    </row>
    <row r="4535" spans="1:4" ht="12.5">
      <c r="A4535" s="186">
        <v>46175</v>
      </c>
      <c r="B4535" s="184">
        <v>7002766164</v>
      </c>
      <c r="C4535" s="184">
        <v>21</v>
      </c>
      <c r="D4535" s="9" t="s">
        <v>752</v>
      </c>
    </row>
    <row r="4536" spans="1:4" ht="12.5">
      <c r="A4536" s="186">
        <v>46175</v>
      </c>
      <c r="B4536" s="184">
        <v>7002766259</v>
      </c>
      <c r="C4536" s="184">
        <v>10</v>
      </c>
      <c r="D4536" s="9" t="s">
        <v>763</v>
      </c>
    </row>
    <row r="4537" spans="1:4" ht="12.5">
      <c r="A4537" s="186">
        <v>46175</v>
      </c>
      <c r="B4537" s="184">
        <v>7002766263</v>
      </c>
      <c r="C4537" s="184">
        <v>1</v>
      </c>
      <c r="D4537" s="184" t="s">
        <v>762</v>
      </c>
    </row>
    <row r="4538" spans="1:4" ht="12.5">
      <c r="A4538" s="186">
        <v>46175</v>
      </c>
      <c r="B4538" s="184">
        <v>7002766334</v>
      </c>
      <c r="C4538" s="184">
        <v>1</v>
      </c>
      <c r="D4538" s="184" t="s">
        <v>762</v>
      </c>
    </row>
    <row r="4539" spans="1:4" ht="12.5">
      <c r="A4539" s="186">
        <v>46175</v>
      </c>
      <c r="B4539" s="184">
        <v>7002767021</v>
      </c>
      <c r="C4539" s="184">
        <v>1</v>
      </c>
      <c r="D4539" s="184" t="s">
        <v>762</v>
      </c>
    </row>
    <row r="4540" spans="1:4" ht="12.5">
      <c r="A4540" s="186">
        <v>46175</v>
      </c>
      <c r="B4540" s="184">
        <v>7002767264</v>
      </c>
      <c r="C4540" s="184">
        <v>2</v>
      </c>
      <c r="D4540" s="9" t="s">
        <v>751</v>
      </c>
    </row>
    <row r="4541" spans="1:4" ht="12.5">
      <c r="A4541" s="186">
        <v>46175</v>
      </c>
      <c r="B4541" s="184">
        <v>7002767330</v>
      </c>
      <c r="C4541" s="184">
        <v>1</v>
      </c>
      <c r="D4541" s="184" t="s">
        <v>762</v>
      </c>
    </row>
    <row r="4542" spans="1:4" ht="12.5">
      <c r="A4542" s="186">
        <v>46175</v>
      </c>
      <c r="B4542" s="184">
        <v>7002767403</v>
      </c>
      <c r="C4542" s="184">
        <v>2</v>
      </c>
      <c r="D4542" s="9" t="s">
        <v>751</v>
      </c>
    </row>
    <row r="4543" spans="1:4" ht="12.5">
      <c r="A4543" s="186">
        <v>46175</v>
      </c>
      <c r="B4543" s="184">
        <v>7002767435</v>
      </c>
      <c r="C4543" s="184">
        <v>4</v>
      </c>
      <c r="D4543" s="9" t="s">
        <v>751</v>
      </c>
    </row>
    <row r="4544" spans="1:4" ht="12.5">
      <c r="A4544" s="186">
        <v>46175</v>
      </c>
      <c r="B4544" s="184">
        <v>7002767765</v>
      </c>
      <c r="C4544" s="184">
        <v>7</v>
      </c>
      <c r="D4544" s="9" t="s">
        <v>763</v>
      </c>
    </row>
    <row r="4545" spans="1:4" ht="12.5">
      <c r="A4545" s="186">
        <v>46175</v>
      </c>
      <c r="B4545" s="184">
        <v>7002768142</v>
      </c>
      <c r="C4545" s="184">
        <v>2</v>
      </c>
      <c r="D4545" s="9" t="s">
        <v>751</v>
      </c>
    </row>
    <row r="4546" spans="1:4" ht="12.5">
      <c r="A4546" s="186">
        <v>46175</v>
      </c>
      <c r="B4546" s="184">
        <v>7002768161</v>
      </c>
      <c r="C4546" s="184">
        <v>26</v>
      </c>
      <c r="D4546" s="9" t="s">
        <v>752</v>
      </c>
    </row>
    <row r="4547" spans="1:4" ht="12.5">
      <c r="A4547" s="186">
        <v>46175</v>
      </c>
      <c r="B4547" s="184">
        <v>7002768188</v>
      </c>
      <c r="C4547" s="184">
        <v>2</v>
      </c>
      <c r="D4547" s="9" t="s">
        <v>751</v>
      </c>
    </row>
    <row r="4548" spans="1:4" ht="12.5">
      <c r="A4548" s="186">
        <v>46175</v>
      </c>
      <c r="B4548" s="184">
        <v>7002768383</v>
      </c>
      <c r="C4548" s="184">
        <v>35</v>
      </c>
      <c r="D4548" s="9" t="s">
        <v>752</v>
      </c>
    </row>
    <row r="4549" spans="1:4" ht="12.5">
      <c r="A4549" s="186">
        <v>46175</v>
      </c>
      <c r="B4549" s="184">
        <v>7002768396</v>
      </c>
      <c r="C4549" s="184">
        <v>20</v>
      </c>
      <c r="D4549" s="9" t="s">
        <v>752</v>
      </c>
    </row>
    <row r="4550" spans="1:4" ht="12.5">
      <c r="A4550" s="186">
        <v>46175</v>
      </c>
      <c r="B4550" s="184">
        <v>7002768443</v>
      </c>
      <c r="C4550" s="184">
        <v>5</v>
      </c>
      <c r="D4550" s="9" t="s">
        <v>751</v>
      </c>
    </row>
    <row r="4551" spans="1:4" ht="12.5">
      <c r="A4551" s="186">
        <v>46175</v>
      </c>
      <c r="B4551" s="184">
        <v>7002768547</v>
      </c>
      <c r="C4551" s="184">
        <v>4</v>
      </c>
      <c r="D4551" s="9" t="s">
        <v>751</v>
      </c>
    </row>
    <row r="4552" spans="1:4" ht="12.5">
      <c r="A4552" s="186">
        <v>46175</v>
      </c>
      <c r="B4552" s="184">
        <v>7002769189</v>
      </c>
      <c r="C4552" s="184">
        <v>4</v>
      </c>
      <c r="D4552" s="9" t="s">
        <v>751</v>
      </c>
    </row>
    <row r="4553" spans="1:4" ht="12.5">
      <c r="A4553" s="186">
        <v>46175</v>
      </c>
      <c r="B4553" s="184">
        <v>7002769257</v>
      </c>
      <c r="C4553" s="184">
        <v>1</v>
      </c>
      <c r="D4553" s="184" t="s">
        <v>762</v>
      </c>
    </row>
    <row r="4554" spans="1:4" ht="12.5">
      <c r="A4554" s="186">
        <v>46175</v>
      </c>
      <c r="B4554" s="184">
        <v>7002769459</v>
      </c>
      <c r="C4554" s="184">
        <v>1</v>
      </c>
      <c r="D4554" s="184" t="s">
        <v>762</v>
      </c>
    </row>
    <row r="4555" spans="1:4" ht="12.5">
      <c r="A4555" s="186">
        <v>46175</v>
      </c>
      <c r="B4555" s="184">
        <v>7002769608</v>
      </c>
      <c r="C4555" s="184">
        <v>1</v>
      </c>
      <c r="D4555" s="184" t="s">
        <v>762</v>
      </c>
    </row>
    <row r="4556" spans="1:4" ht="12.5">
      <c r="A4556" s="186">
        <v>46175</v>
      </c>
      <c r="B4556" s="184">
        <v>8000003181</v>
      </c>
      <c r="C4556" s="184">
        <v>1</v>
      </c>
      <c r="D4556" s="184" t="s">
        <v>762</v>
      </c>
    </row>
    <row r="4557" spans="1:4" ht="12.5">
      <c r="A4557" s="186">
        <v>46175</v>
      </c>
      <c r="B4557" s="184">
        <v>8000004074</v>
      </c>
      <c r="C4557" s="184">
        <v>1</v>
      </c>
      <c r="D4557" s="184" t="s">
        <v>762</v>
      </c>
    </row>
    <row r="4558" spans="1:4" ht="12.5">
      <c r="A4558" s="191"/>
      <c r="B4558" s="192"/>
      <c r="C4558" s="192"/>
      <c r="D4558" s="192"/>
    </row>
    <row r="4559" spans="1:4" ht="12.5">
      <c r="A4559" s="186">
        <v>46176</v>
      </c>
      <c r="B4559" s="184">
        <v>7001727096</v>
      </c>
      <c r="C4559" s="184">
        <v>2</v>
      </c>
      <c r="D4559" s="9" t="s">
        <v>751</v>
      </c>
    </row>
    <row r="4560" spans="1:4" ht="12.5">
      <c r="A4560" s="186">
        <v>46176</v>
      </c>
      <c r="B4560" s="184">
        <v>7002513445</v>
      </c>
      <c r="C4560" s="184">
        <v>4</v>
      </c>
      <c r="D4560" s="9" t="s">
        <v>751</v>
      </c>
    </row>
    <row r="4561" spans="1:4" ht="12.5">
      <c r="A4561" s="186">
        <v>46176</v>
      </c>
      <c r="B4561" s="184">
        <v>7002523292</v>
      </c>
      <c r="C4561" s="184">
        <v>23</v>
      </c>
      <c r="D4561" s="184" t="s">
        <v>752</v>
      </c>
    </row>
    <row r="4562" spans="1:4" ht="12.5">
      <c r="A4562" s="186">
        <v>46176</v>
      </c>
      <c r="B4562" s="184">
        <v>7002617778</v>
      </c>
      <c r="C4562" s="184">
        <v>7</v>
      </c>
      <c r="D4562" s="184" t="s">
        <v>758</v>
      </c>
    </row>
    <row r="4563" spans="1:4" ht="12.5">
      <c r="A4563" s="186">
        <v>46176</v>
      </c>
      <c r="B4563" s="184">
        <v>7002626091</v>
      </c>
      <c r="C4563" s="184">
        <v>99</v>
      </c>
      <c r="D4563" s="184" t="s">
        <v>752</v>
      </c>
    </row>
    <row r="4564" spans="1:4" ht="12.5">
      <c r="A4564" s="186">
        <v>46176</v>
      </c>
      <c r="B4564" s="184">
        <v>7002630715</v>
      </c>
      <c r="C4564" s="184">
        <v>46</v>
      </c>
      <c r="D4564" s="184" t="s">
        <v>752</v>
      </c>
    </row>
    <row r="4565" spans="1:4" ht="12.5">
      <c r="A4565" s="186">
        <v>46176</v>
      </c>
      <c r="B4565" s="184">
        <v>7002636782</v>
      </c>
      <c r="C4565" s="184">
        <v>5</v>
      </c>
      <c r="D4565" s="9" t="s">
        <v>751</v>
      </c>
    </row>
    <row r="4566" spans="1:4" ht="12.5">
      <c r="A4566" s="186">
        <v>46176</v>
      </c>
      <c r="B4566" s="184">
        <v>7002641175</v>
      </c>
      <c r="C4566" s="184">
        <v>160</v>
      </c>
      <c r="D4566" s="184" t="s">
        <v>752</v>
      </c>
    </row>
    <row r="4567" spans="1:4" ht="12.5">
      <c r="A4567" s="186">
        <v>46176</v>
      </c>
      <c r="B4567" s="184">
        <v>7002642876</v>
      </c>
      <c r="C4567" s="184">
        <v>1</v>
      </c>
      <c r="D4567" s="184" t="s">
        <v>762</v>
      </c>
    </row>
    <row r="4568" spans="1:4" ht="12.5">
      <c r="A4568" s="186">
        <v>46176</v>
      </c>
      <c r="B4568" s="184">
        <v>7002644725</v>
      </c>
      <c r="C4568" s="184">
        <v>1</v>
      </c>
      <c r="D4568" s="184" t="s">
        <v>762</v>
      </c>
    </row>
    <row r="4569" spans="1:4" ht="12.5">
      <c r="A4569" s="186">
        <v>46176</v>
      </c>
      <c r="B4569" s="184">
        <v>7002644906</v>
      </c>
      <c r="C4569" s="184">
        <v>1</v>
      </c>
      <c r="D4569" s="184" t="s">
        <v>762</v>
      </c>
    </row>
    <row r="4570" spans="1:4" ht="12.5">
      <c r="A4570" s="186">
        <v>46176</v>
      </c>
      <c r="B4570" s="184">
        <v>7002646856</v>
      </c>
      <c r="C4570" s="184">
        <v>1</v>
      </c>
      <c r="D4570" s="184" t="s">
        <v>762</v>
      </c>
    </row>
    <row r="4571" spans="1:4" ht="12.5">
      <c r="A4571" s="186">
        <v>46176</v>
      </c>
      <c r="B4571" s="184">
        <v>7002648862</v>
      </c>
      <c r="C4571" s="184">
        <v>1</v>
      </c>
      <c r="D4571" s="184" t="s">
        <v>762</v>
      </c>
    </row>
    <row r="4572" spans="1:4" ht="12.5">
      <c r="A4572" s="186">
        <v>46176</v>
      </c>
      <c r="B4572" s="184">
        <v>7002650993</v>
      </c>
      <c r="C4572" s="184">
        <v>9</v>
      </c>
      <c r="D4572" s="184" t="s">
        <v>758</v>
      </c>
    </row>
    <row r="4573" spans="1:4" ht="12.5">
      <c r="A4573" s="186">
        <v>46176</v>
      </c>
      <c r="B4573" s="184">
        <v>7002653244</v>
      </c>
      <c r="C4573" s="184">
        <v>8</v>
      </c>
      <c r="D4573" s="184" t="s">
        <v>758</v>
      </c>
    </row>
    <row r="4574" spans="1:4" ht="12.5">
      <c r="A4574" s="186">
        <v>46176</v>
      </c>
      <c r="B4574" s="184">
        <v>7002653323</v>
      </c>
      <c r="C4574" s="184">
        <v>3</v>
      </c>
      <c r="D4574" s="9" t="s">
        <v>751</v>
      </c>
    </row>
    <row r="4575" spans="1:4" ht="12.5">
      <c r="A4575" s="186">
        <v>46176</v>
      </c>
      <c r="B4575" s="184">
        <v>7002654116</v>
      </c>
      <c r="C4575" s="184">
        <v>8</v>
      </c>
      <c r="D4575" s="184" t="s">
        <v>758</v>
      </c>
    </row>
    <row r="4576" spans="1:4" ht="12.5">
      <c r="A4576" s="186">
        <v>46176</v>
      </c>
      <c r="B4576" s="184">
        <v>7002655199</v>
      </c>
      <c r="C4576" s="184">
        <v>7</v>
      </c>
      <c r="D4576" s="184" t="s">
        <v>758</v>
      </c>
    </row>
    <row r="4577" spans="1:4" ht="12.5">
      <c r="A4577" s="186">
        <v>46176</v>
      </c>
      <c r="B4577" s="184">
        <v>7002658362</v>
      </c>
      <c r="C4577" s="184">
        <v>3</v>
      </c>
      <c r="D4577" s="9" t="s">
        <v>751</v>
      </c>
    </row>
    <row r="4578" spans="1:4" ht="12.5">
      <c r="A4578" s="186">
        <v>46176</v>
      </c>
      <c r="B4578" s="184">
        <v>7002662282</v>
      </c>
      <c r="C4578" s="184">
        <v>37</v>
      </c>
      <c r="D4578" s="184" t="s">
        <v>752</v>
      </c>
    </row>
    <row r="4579" spans="1:4" ht="12.5">
      <c r="A4579" s="186">
        <v>46176</v>
      </c>
      <c r="B4579" s="184">
        <v>7002663299</v>
      </c>
      <c r="C4579" s="184">
        <v>16</v>
      </c>
      <c r="D4579" s="184" t="s">
        <v>752</v>
      </c>
    </row>
    <row r="4580" spans="1:4" ht="12.5">
      <c r="A4580" s="186">
        <v>46176</v>
      </c>
      <c r="B4580" s="184">
        <v>7002665286</v>
      </c>
      <c r="C4580" s="184">
        <v>69</v>
      </c>
      <c r="D4580" s="184" t="s">
        <v>752</v>
      </c>
    </row>
    <row r="4581" spans="1:4" ht="12.5">
      <c r="A4581" s="186">
        <v>46176</v>
      </c>
      <c r="B4581" s="184">
        <v>7002666273</v>
      </c>
      <c r="C4581" s="184">
        <v>5</v>
      </c>
      <c r="D4581" s="9" t="s">
        <v>751</v>
      </c>
    </row>
    <row r="4582" spans="1:4" ht="12.5">
      <c r="A4582" s="186">
        <v>46176</v>
      </c>
      <c r="B4582" s="184">
        <v>7002666320</v>
      </c>
      <c r="C4582" s="184">
        <v>57</v>
      </c>
      <c r="D4582" s="184" t="s">
        <v>752</v>
      </c>
    </row>
    <row r="4583" spans="1:4" ht="12.5">
      <c r="A4583" s="186">
        <v>46176</v>
      </c>
      <c r="B4583" s="184">
        <v>7002670859</v>
      </c>
      <c r="C4583" s="184">
        <v>3</v>
      </c>
      <c r="D4583" s="9" t="s">
        <v>751</v>
      </c>
    </row>
    <row r="4584" spans="1:4" ht="12.5">
      <c r="A4584" s="186">
        <v>46176</v>
      </c>
      <c r="B4584" s="184">
        <v>7002673162</v>
      </c>
      <c r="C4584" s="184">
        <v>10</v>
      </c>
      <c r="D4584" s="184" t="s">
        <v>758</v>
      </c>
    </row>
    <row r="4585" spans="1:4" ht="12.5">
      <c r="A4585" s="186">
        <v>46176</v>
      </c>
      <c r="B4585" s="184">
        <v>7002673397</v>
      </c>
      <c r="C4585" s="184">
        <v>9</v>
      </c>
      <c r="D4585" s="184" t="s">
        <v>758</v>
      </c>
    </row>
    <row r="4586" spans="1:4" ht="12.5">
      <c r="A4586" s="186">
        <v>46176</v>
      </c>
      <c r="B4586" s="184">
        <v>7002674721</v>
      </c>
      <c r="C4586" s="184">
        <v>6</v>
      </c>
      <c r="D4586" s="184" t="s">
        <v>758</v>
      </c>
    </row>
    <row r="4587" spans="1:4" ht="12.5">
      <c r="A4587" s="186">
        <v>46176</v>
      </c>
      <c r="B4587" s="184">
        <v>7002674992</v>
      </c>
      <c r="C4587" s="184">
        <v>139</v>
      </c>
      <c r="D4587" s="184" t="s">
        <v>752</v>
      </c>
    </row>
    <row r="4588" spans="1:4" ht="12.5">
      <c r="A4588" s="186">
        <v>46176</v>
      </c>
      <c r="B4588" s="189">
        <v>7002675326</v>
      </c>
      <c r="C4588" s="189">
        <v>0</v>
      </c>
      <c r="D4588" s="192"/>
    </row>
    <row r="4589" spans="1:4" ht="12.5">
      <c r="A4589" s="186">
        <v>46176</v>
      </c>
      <c r="B4589" s="189">
        <v>7002675500</v>
      </c>
      <c r="C4589" s="189">
        <v>6</v>
      </c>
      <c r="D4589" s="192" t="s">
        <v>758</v>
      </c>
    </row>
    <row r="4590" spans="1:4" ht="12.5">
      <c r="A4590" s="186">
        <v>46176</v>
      </c>
      <c r="B4590" s="189">
        <v>7002677672</v>
      </c>
      <c r="C4590" s="189">
        <v>24</v>
      </c>
      <c r="D4590" s="192" t="s">
        <v>752</v>
      </c>
    </row>
    <row r="4591" spans="1:4" ht="12.5">
      <c r="A4591" s="186">
        <v>46176</v>
      </c>
      <c r="B4591" s="189">
        <v>7002678269</v>
      </c>
      <c r="C4591" s="189">
        <v>0</v>
      </c>
      <c r="D4591" s="192"/>
    </row>
    <row r="4592" spans="1:4" ht="12.5">
      <c r="A4592" s="186">
        <v>46176</v>
      </c>
      <c r="B4592" s="189">
        <v>7002680625</v>
      </c>
      <c r="C4592" s="189">
        <v>64</v>
      </c>
      <c r="D4592" s="192" t="s">
        <v>752</v>
      </c>
    </row>
    <row r="4593" spans="1:4" ht="12.5">
      <c r="A4593" s="186">
        <v>46176</v>
      </c>
      <c r="B4593" s="189">
        <v>7002682719</v>
      </c>
      <c r="C4593" s="189">
        <v>6</v>
      </c>
      <c r="D4593" s="192" t="s">
        <v>758</v>
      </c>
    </row>
    <row r="4594" spans="1:4" ht="12.5">
      <c r="A4594" s="186">
        <v>46176</v>
      </c>
      <c r="B4594" s="189">
        <v>7002682823</v>
      </c>
      <c r="C4594" s="189">
        <v>1</v>
      </c>
      <c r="D4594" s="184" t="s">
        <v>762</v>
      </c>
    </row>
    <row r="4595" spans="1:4" ht="12.5">
      <c r="A4595" s="186">
        <v>46176</v>
      </c>
      <c r="B4595" s="189">
        <v>7002684394</v>
      </c>
      <c r="C4595" s="189">
        <v>3</v>
      </c>
      <c r="D4595" s="9" t="s">
        <v>751</v>
      </c>
    </row>
    <row r="4596" spans="1:4" ht="12.5">
      <c r="A4596" s="186">
        <v>46176</v>
      </c>
      <c r="B4596" s="189">
        <v>7002685104</v>
      </c>
      <c r="C4596" s="189">
        <v>178</v>
      </c>
      <c r="D4596" s="192" t="s">
        <v>752</v>
      </c>
    </row>
    <row r="4597" spans="1:4" ht="12.5">
      <c r="A4597" s="186">
        <v>46176</v>
      </c>
      <c r="B4597" s="189">
        <v>7002686053</v>
      </c>
      <c r="C4597" s="189">
        <v>125</v>
      </c>
      <c r="D4597" s="192" t="s">
        <v>752</v>
      </c>
    </row>
    <row r="4598" spans="1:4" ht="12.5">
      <c r="A4598" s="186">
        <v>46176</v>
      </c>
      <c r="B4598" s="189">
        <v>7002686401</v>
      </c>
      <c r="C4598" s="189">
        <v>8</v>
      </c>
      <c r="D4598" s="192" t="s">
        <v>758</v>
      </c>
    </row>
    <row r="4599" spans="1:4" ht="12.5">
      <c r="A4599" s="186">
        <v>46176</v>
      </c>
      <c r="B4599" s="189">
        <v>7002688102</v>
      </c>
      <c r="C4599" s="189">
        <v>120</v>
      </c>
      <c r="D4599" s="192" t="s">
        <v>752</v>
      </c>
    </row>
    <row r="4600" spans="1:4" ht="12.5">
      <c r="A4600" s="186">
        <v>46176</v>
      </c>
      <c r="B4600" s="189">
        <v>7002690646</v>
      </c>
      <c r="C4600" s="189">
        <v>0</v>
      </c>
      <c r="D4600" s="192"/>
    </row>
    <row r="4601" spans="1:4" ht="12.5">
      <c r="A4601" s="186">
        <v>46176</v>
      </c>
      <c r="B4601" s="189">
        <v>7002691333</v>
      </c>
      <c r="C4601" s="189">
        <v>1</v>
      </c>
      <c r="D4601" s="184" t="s">
        <v>762</v>
      </c>
    </row>
    <row r="4602" spans="1:4" ht="12.5">
      <c r="A4602" s="186">
        <v>46176</v>
      </c>
      <c r="B4602" s="189">
        <v>7002691752</v>
      </c>
      <c r="C4602" s="189">
        <v>11</v>
      </c>
      <c r="D4602" s="192" t="s">
        <v>752</v>
      </c>
    </row>
    <row r="4603" spans="1:4" ht="12.5">
      <c r="A4603" s="186">
        <v>46176</v>
      </c>
      <c r="B4603" s="189">
        <v>7002697405</v>
      </c>
      <c r="C4603" s="189">
        <v>3</v>
      </c>
      <c r="D4603" s="9" t="s">
        <v>751</v>
      </c>
    </row>
    <row r="4604" spans="1:4" ht="12.5">
      <c r="A4604" s="186">
        <v>46176</v>
      </c>
      <c r="B4604" s="189">
        <v>7002699108</v>
      </c>
      <c r="C4604" s="189">
        <v>2</v>
      </c>
      <c r="D4604" s="9" t="s">
        <v>751</v>
      </c>
    </row>
    <row r="4605" spans="1:4" ht="12.5">
      <c r="A4605" s="186">
        <v>46176</v>
      </c>
      <c r="B4605" s="189">
        <v>7002699670</v>
      </c>
      <c r="C4605" s="189">
        <v>2</v>
      </c>
      <c r="D4605" s="9" t="s">
        <v>751</v>
      </c>
    </row>
    <row r="4606" spans="1:4" ht="12.5">
      <c r="A4606" s="186">
        <v>46176</v>
      </c>
      <c r="B4606" s="189">
        <v>7002702312</v>
      </c>
      <c r="C4606" s="189">
        <v>3</v>
      </c>
      <c r="D4606" s="9" t="s">
        <v>751</v>
      </c>
    </row>
    <row r="4607" spans="1:4" ht="12.5">
      <c r="A4607" s="186">
        <v>46176</v>
      </c>
      <c r="B4607" s="189">
        <v>7002706058</v>
      </c>
      <c r="C4607" s="189">
        <v>1</v>
      </c>
      <c r="D4607" s="184" t="s">
        <v>762</v>
      </c>
    </row>
    <row r="4608" spans="1:4" ht="12.5">
      <c r="A4608" s="186">
        <v>46176</v>
      </c>
      <c r="B4608" s="189">
        <v>7002707212</v>
      </c>
      <c r="C4608" s="189">
        <v>1</v>
      </c>
      <c r="D4608" s="184" t="s">
        <v>762</v>
      </c>
    </row>
    <row r="4609" spans="1:4" ht="12.5">
      <c r="A4609" s="186">
        <v>46176</v>
      </c>
      <c r="B4609" s="189">
        <v>7002707302</v>
      </c>
      <c r="C4609" s="189">
        <v>3</v>
      </c>
      <c r="D4609" s="9" t="s">
        <v>751</v>
      </c>
    </row>
    <row r="4610" spans="1:4" ht="12.5">
      <c r="A4610" s="186">
        <v>46176</v>
      </c>
      <c r="B4610" s="189">
        <v>7002707536</v>
      </c>
      <c r="C4610" s="189">
        <v>1</v>
      </c>
      <c r="D4610" s="184" t="s">
        <v>762</v>
      </c>
    </row>
    <row r="4611" spans="1:4" ht="12.5">
      <c r="A4611" s="186">
        <v>46176</v>
      </c>
      <c r="B4611" s="189">
        <v>7002711736</v>
      </c>
      <c r="C4611" s="189">
        <v>23</v>
      </c>
      <c r="D4611" s="192" t="s">
        <v>752</v>
      </c>
    </row>
    <row r="4612" spans="1:4" ht="12.5">
      <c r="A4612" s="186">
        <v>46176</v>
      </c>
      <c r="B4612" s="189">
        <v>7002715722</v>
      </c>
      <c r="C4612" s="189">
        <v>18</v>
      </c>
      <c r="D4612" s="192" t="s">
        <v>752</v>
      </c>
    </row>
    <row r="4613" spans="1:4" ht="12.5">
      <c r="A4613" s="186">
        <v>46176</v>
      </c>
      <c r="B4613" s="189">
        <v>7002720403</v>
      </c>
      <c r="C4613" s="189">
        <v>156</v>
      </c>
      <c r="D4613" s="192" t="s">
        <v>752</v>
      </c>
    </row>
    <row r="4614" spans="1:4" ht="12.5">
      <c r="A4614" s="186">
        <v>46176</v>
      </c>
      <c r="B4614" s="189">
        <v>7002725250</v>
      </c>
      <c r="C4614" s="189">
        <v>1</v>
      </c>
      <c r="D4614" s="184" t="s">
        <v>762</v>
      </c>
    </row>
    <row r="4615" spans="1:4" ht="12.5">
      <c r="A4615" s="186">
        <v>46176</v>
      </c>
      <c r="B4615" s="189">
        <v>7002727672</v>
      </c>
      <c r="C4615" s="189">
        <v>6</v>
      </c>
      <c r="D4615" s="192" t="s">
        <v>758</v>
      </c>
    </row>
    <row r="4616" spans="1:4" ht="12.5">
      <c r="A4616" s="186">
        <v>46176</v>
      </c>
      <c r="B4616" s="189">
        <v>7002739606</v>
      </c>
      <c r="C4616" s="189">
        <v>2</v>
      </c>
      <c r="D4616" s="9" t="s">
        <v>751</v>
      </c>
    </row>
    <row r="4617" spans="1:4" ht="12.5">
      <c r="A4617" s="186">
        <v>46176</v>
      </c>
      <c r="B4617" s="189">
        <v>7002741585</v>
      </c>
      <c r="C4617" s="189">
        <v>1</v>
      </c>
      <c r="D4617" s="184" t="s">
        <v>762</v>
      </c>
    </row>
    <row r="4618" spans="1:4" ht="12.5">
      <c r="A4618" s="186">
        <v>46176</v>
      </c>
      <c r="B4618" s="189">
        <v>7002741952</v>
      </c>
      <c r="C4618" s="189">
        <v>1</v>
      </c>
      <c r="D4618" s="184" t="s">
        <v>762</v>
      </c>
    </row>
    <row r="4619" spans="1:4" ht="12.5">
      <c r="A4619" s="186">
        <v>46176</v>
      </c>
      <c r="B4619" s="189">
        <v>7002741968</v>
      </c>
      <c r="C4619" s="189">
        <v>2</v>
      </c>
      <c r="D4619" s="9" t="s">
        <v>751</v>
      </c>
    </row>
    <row r="4620" spans="1:4" ht="12.5">
      <c r="A4620" s="186">
        <v>46176</v>
      </c>
      <c r="B4620" s="189">
        <v>7002742373</v>
      </c>
      <c r="C4620" s="189">
        <v>63</v>
      </c>
      <c r="D4620" s="192" t="s">
        <v>752</v>
      </c>
    </row>
    <row r="4621" spans="1:4" ht="12.5">
      <c r="A4621" s="186">
        <v>46176</v>
      </c>
      <c r="B4621" s="189">
        <v>7002742967</v>
      </c>
      <c r="C4621" s="189">
        <v>11</v>
      </c>
      <c r="D4621" s="192" t="s">
        <v>752</v>
      </c>
    </row>
    <row r="4622" spans="1:4" ht="12.5">
      <c r="A4622" s="186">
        <v>46176</v>
      </c>
      <c r="B4622" s="189">
        <v>7002743978</v>
      </c>
      <c r="C4622" s="189">
        <v>2</v>
      </c>
      <c r="D4622" s="9" t="s">
        <v>751</v>
      </c>
    </row>
    <row r="4623" spans="1:4" ht="12.5">
      <c r="A4623" s="186">
        <v>46176</v>
      </c>
      <c r="B4623" s="189">
        <v>7002746382</v>
      </c>
      <c r="C4623" s="189">
        <v>10</v>
      </c>
      <c r="D4623" s="192" t="s">
        <v>758</v>
      </c>
    </row>
    <row r="4624" spans="1:4" ht="12.5">
      <c r="A4624" s="186">
        <v>46176</v>
      </c>
      <c r="B4624" s="189">
        <v>7002746970</v>
      </c>
      <c r="C4624" s="189">
        <v>1</v>
      </c>
      <c r="D4624" s="184" t="s">
        <v>762</v>
      </c>
    </row>
    <row r="4625" spans="1:4" ht="12.5">
      <c r="A4625" s="186">
        <v>46176</v>
      </c>
      <c r="B4625" s="189">
        <v>7002747971</v>
      </c>
      <c r="C4625" s="189">
        <v>49</v>
      </c>
      <c r="D4625" s="192" t="s">
        <v>752</v>
      </c>
    </row>
    <row r="4626" spans="1:4" ht="12.5">
      <c r="A4626" s="186">
        <v>46176</v>
      </c>
      <c r="B4626" s="189">
        <v>7002748378</v>
      </c>
      <c r="C4626" s="189">
        <v>28</v>
      </c>
      <c r="D4626" s="192" t="s">
        <v>752</v>
      </c>
    </row>
    <row r="4627" spans="1:4" ht="12.5">
      <c r="A4627" s="186">
        <v>46176</v>
      </c>
      <c r="B4627" s="189">
        <v>7002748964</v>
      </c>
      <c r="C4627" s="189">
        <v>47</v>
      </c>
      <c r="D4627" s="192" t="s">
        <v>752</v>
      </c>
    </row>
    <row r="4628" spans="1:4" ht="12.5">
      <c r="A4628" s="186">
        <v>46176</v>
      </c>
      <c r="B4628" s="189">
        <v>7002749987</v>
      </c>
      <c r="C4628" s="189">
        <v>1</v>
      </c>
      <c r="D4628" s="184" t="s">
        <v>762</v>
      </c>
    </row>
    <row r="4629" spans="1:4" ht="12.5">
      <c r="A4629" s="186">
        <v>46176</v>
      </c>
      <c r="B4629" s="189">
        <v>7002750545</v>
      </c>
      <c r="C4629" s="189">
        <v>3</v>
      </c>
      <c r="D4629" s="9" t="s">
        <v>751</v>
      </c>
    </row>
    <row r="4630" spans="1:4" ht="12.5">
      <c r="A4630" s="186">
        <v>46176</v>
      </c>
      <c r="B4630" s="189">
        <v>7002751007</v>
      </c>
      <c r="C4630" s="189">
        <v>4</v>
      </c>
      <c r="D4630" s="9" t="s">
        <v>751</v>
      </c>
    </row>
    <row r="4631" spans="1:4" ht="12.5">
      <c r="A4631" s="186">
        <v>46176</v>
      </c>
      <c r="B4631" s="189">
        <v>7002751024</v>
      </c>
      <c r="C4631" s="189">
        <v>17</v>
      </c>
      <c r="D4631" s="192" t="s">
        <v>752</v>
      </c>
    </row>
    <row r="4632" spans="1:4" ht="12.5">
      <c r="A4632" s="186">
        <v>46176</v>
      </c>
      <c r="B4632" s="189">
        <v>7002751270</v>
      </c>
      <c r="C4632" s="189">
        <v>3</v>
      </c>
      <c r="D4632" s="9" t="s">
        <v>751</v>
      </c>
    </row>
    <row r="4633" spans="1:4" ht="12.5">
      <c r="A4633" s="186">
        <v>46176</v>
      </c>
      <c r="B4633" s="189">
        <v>7002751723</v>
      </c>
      <c r="C4633" s="189">
        <v>3</v>
      </c>
      <c r="D4633" s="9" t="s">
        <v>751</v>
      </c>
    </row>
    <row r="4634" spans="1:4" ht="12.5">
      <c r="A4634" s="186">
        <v>46176</v>
      </c>
      <c r="B4634" s="189">
        <v>7002752023</v>
      </c>
      <c r="C4634" s="189">
        <v>6</v>
      </c>
      <c r="D4634" s="192" t="s">
        <v>758</v>
      </c>
    </row>
    <row r="4635" spans="1:4" ht="12.5">
      <c r="A4635" s="186">
        <v>46176</v>
      </c>
      <c r="B4635" s="189">
        <v>7002752127</v>
      </c>
      <c r="C4635" s="189">
        <v>22</v>
      </c>
      <c r="D4635" s="192" t="s">
        <v>752</v>
      </c>
    </row>
    <row r="4636" spans="1:4" ht="12.5">
      <c r="A4636" s="186">
        <v>46176</v>
      </c>
      <c r="B4636" s="189">
        <v>7002752203</v>
      </c>
      <c r="C4636" s="189">
        <v>20</v>
      </c>
      <c r="D4636" s="192" t="s">
        <v>752</v>
      </c>
    </row>
    <row r="4637" spans="1:4" ht="12.5">
      <c r="A4637" s="186">
        <v>46176</v>
      </c>
      <c r="B4637" s="189">
        <v>7002753188</v>
      </c>
      <c r="C4637" s="189">
        <v>1</v>
      </c>
      <c r="D4637" s="184" t="s">
        <v>762</v>
      </c>
    </row>
    <row r="4638" spans="1:4" ht="12.5">
      <c r="A4638" s="186">
        <v>46176</v>
      </c>
      <c r="B4638" s="189">
        <v>7002753202</v>
      </c>
      <c r="C4638" s="189">
        <v>8</v>
      </c>
      <c r="D4638" s="192" t="s">
        <v>758</v>
      </c>
    </row>
    <row r="4639" spans="1:4" ht="12.5">
      <c r="A4639" s="186">
        <v>46176</v>
      </c>
      <c r="B4639" s="189">
        <v>7002753886</v>
      </c>
      <c r="C4639" s="189">
        <v>12</v>
      </c>
      <c r="D4639" s="192" t="s">
        <v>752</v>
      </c>
    </row>
    <row r="4640" spans="1:4" ht="12.5">
      <c r="A4640" s="186">
        <v>46176</v>
      </c>
      <c r="B4640" s="189">
        <v>7002754522</v>
      </c>
      <c r="C4640" s="189">
        <v>16</v>
      </c>
      <c r="D4640" s="192" t="s">
        <v>752</v>
      </c>
    </row>
    <row r="4641" spans="1:4" ht="12.5">
      <c r="A4641" s="186">
        <v>46176</v>
      </c>
      <c r="B4641" s="189">
        <v>7002755025</v>
      </c>
      <c r="C4641" s="189">
        <v>1</v>
      </c>
      <c r="D4641" s="184" t="s">
        <v>762</v>
      </c>
    </row>
    <row r="4642" spans="1:4" ht="12.5">
      <c r="A4642" s="186">
        <v>46176</v>
      </c>
      <c r="B4642" s="189">
        <v>7002755113</v>
      </c>
      <c r="C4642" s="189">
        <v>25</v>
      </c>
      <c r="D4642" s="192" t="s">
        <v>752</v>
      </c>
    </row>
    <row r="4643" spans="1:4" ht="12.5">
      <c r="A4643" s="186">
        <v>46176</v>
      </c>
      <c r="B4643" s="189">
        <v>7002755121</v>
      </c>
      <c r="C4643" s="189">
        <v>6</v>
      </c>
      <c r="D4643" s="192" t="s">
        <v>758</v>
      </c>
    </row>
    <row r="4644" spans="1:4" ht="12.5">
      <c r="A4644" s="186">
        <v>46176</v>
      </c>
      <c r="B4644" s="189">
        <v>7002755145</v>
      </c>
      <c r="C4644" s="189">
        <v>2</v>
      </c>
      <c r="D4644" s="9" t="s">
        <v>751</v>
      </c>
    </row>
    <row r="4645" spans="1:4" ht="12.5">
      <c r="A4645" s="186">
        <v>46176</v>
      </c>
      <c r="B4645" s="189">
        <v>7002755251</v>
      </c>
      <c r="C4645" s="189">
        <v>3</v>
      </c>
      <c r="D4645" s="9" t="s">
        <v>751</v>
      </c>
    </row>
    <row r="4646" spans="1:4" ht="12.5">
      <c r="A4646" s="186">
        <v>46176</v>
      </c>
      <c r="B4646" s="189">
        <v>7002755538</v>
      </c>
      <c r="C4646" s="189">
        <v>5</v>
      </c>
      <c r="D4646" s="9" t="s">
        <v>751</v>
      </c>
    </row>
    <row r="4647" spans="1:4" ht="12.5">
      <c r="A4647" s="186">
        <v>46176</v>
      </c>
      <c r="B4647" s="189">
        <v>7002756026</v>
      </c>
      <c r="C4647" s="189">
        <v>40</v>
      </c>
      <c r="D4647" s="192" t="s">
        <v>752</v>
      </c>
    </row>
    <row r="4648" spans="1:4" ht="12.5">
      <c r="A4648" s="186">
        <v>46176</v>
      </c>
      <c r="B4648" s="189">
        <v>7002756074</v>
      </c>
      <c r="C4648" s="189">
        <v>15</v>
      </c>
      <c r="D4648" s="192" t="s">
        <v>752</v>
      </c>
    </row>
    <row r="4649" spans="1:4" ht="12.5">
      <c r="A4649" s="186">
        <v>46176</v>
      </c>
      <c r="B4649" s="189">
        <v>7002756146</v>
      </c>
      <c r="C4649" s="189">
        <v>98</v>
      </c>
      <c r="D4649" s="192" t="s">
        <v>752</v>
      </c>
    </row>
    <row r="4650" spans="1:4" ht="12.5">
      <c r="A4650" s="186">
        <v>46176</v>
      </c>
      <c r="B4650" s="189">
        <v>7002756247</v>
      </c>
      <c r="C4650" s="189">
        <v>2</v>
      </c>
      <c r="D4650" s="9" t="s">
        <v>751</v>
      </c>
    </row>
    <row r="4651" spans="1:4" ht="12.5">
      <c r="A4651" s="186">
        <v>46176</v>
      </c>
      <c r="B4651" s="189">
        <v>7002757015</v>
      </c>
      <c r="C4651" s="189">
        <v>10</v>
      </c>
      <c r="D4651" s="192" t="s">
        <v>758</v>
      </c>
    </row>
    <row r="4652" spans="1:4" ht="12.5">
      <c r="A4652" s="186">
        <v>46176</v>
      </c>
      <c r="B4652" s="189">
        <v>7002757134</v>
      </c>
      <c r="C4652" s="189">
        <v>4</v>
      </c>
      <c r="D4652" s="9" t="s">
        <v>751</v>
      </c>
    </row>
    <row r="4653" spans="1:4" ht="12.5">
      <c r="A4653" s="186">
        <v>46176</v>
      </c>
      <c r="B4653" s="189">
        <v>7002757230</v>
      </c>
      <c r="C4653" s="189">
        <v>3</v>
      </c>
      <c r="D4653" s="9" t="s">
        <v>751</v>
      </c>
    </row>
    <row r="4654" spans="1:4" ht="12.5">
      <c r="A4654" s="186">
        <v>46176</v>
      </c>
      <c r="B4654" s="189">
        <v>7002757479</v>
      </c>
      <c r="C4654" s="189">
        <v>23</v>
      </c>
      <c r="D4654" s="192" t="s">
        <v>752</v>
      </c>
    </row>
    <row r="4655" spans="1:4" ht="12.5">
      <c r="A4655" s="186">
        <v>46176</v>
      </c>
      <c r="B4655" s="189">
        <v>7002758037</v>
      </c>
      <c r="C4655" s="189">
        <v>40</v>
      </c>
      <c r="D4655" s="192" t="s">
        <v>752</v>
      </c>
    </row>
    <row r="4656" spans="1:4" ht="12.5">
      <c r="A4656" s="186">
        <v>46176</v>
      </c>
      <c r="B4656" s="189">
        <v>7002759001</v>
      </c>
      <c r="C4656" s="189">
        <v>2</v>
      </c>
      <c r="D4656" s="9" t="s">
        <v>751</v>
      </c>
    </row>
    <row r="4657" spans="1:4" ht="12.5">
      <c r="A4657" s="186">
        <v>46176</v>
      </c>
      <c r="B4657" s="189">
        <v>7002759017</v>
      </c>
      <c r="C4657" s="189">
        <v>4</v>
      </c>
      <c r="D4657" s="9" t="s">
        <v>751</v>
      </c>
    </row>
    <row r="4658" spans="1:4" ht="12.5">
      <c r="A4658" s="186">
        <v>46176</v>
      </c>
      <c r="B4658" s="189">
        <v>7002759559</v>
      </c>
      <c r="C4658" s="189">
        <v>1</v>
      </c>
      <c r="D4658" s="184" t="s">
        <v>762</v>
      </c>
    </row>
    <row r="4659" spans="1:4" ht="12.5">
      <c r="A4659" s="186">
        <v>46176</v>
      </c>
      <c r="B4659" s="189">
        <v>7002760180</v>
      </c>
      <c r="C4659" s="189">
        <v>1</v>
      </c>
      <c r="D4659" s="184" t="s">
        <v>762</v>
      </c>
    </row>
    <row r="4660" spans="1:4" ht="12.5">
      <c r="A4660" s="186">
        <v>46176</v>
      </c>
      <c r="B4660" s="189">
        <v>7002760210</v>
      </c>
      <c r="C4660" s="189">
        <v>5</v>
      </c>
      <c r="D4660" s="9" t="s">
        <v>751</v>
      </c>
    </row>
    <row r="4661" spans="1:4" ht="12.5">
      <c r="A4661" s="186">
        <v>46176</v>
      </c>
      <c r="B4661" s="189">
        <v>7002760977</v>
      </c>
      <c r="C4661" s="189">
        <v>1</v>
      </c>
      <c r="D4661" s="184" t="s">
        <v>762</v>
      </c>
    </row>
    <row r="4662" spans="1:4" ht="12.5">
      <c r="A4662" s="186">
        <v>46176</v>
      </c>
      <c r="B4662" s="189">
        <v>7002761214</v>
      </c>
      <c r="C4662" s="189">
        <v>1</v>
      </c>
      <c r="D4662" s="184" t="s">
        <v>762</v>
      </c>
    </row>
    <row r="4663" spans="1:4" ht="12.5">
      <c r="A4663" s="186">
        <v>46176</v>
      </c>
      <c r="B4663" s="189">
        <v>7002761279</v>
      </c>
      <c r="C4663" s="189">
        <v>10</v>
      </c>
      <c r="D4663" s="192" t="s">
        <v>758</v>
      </c>
    </row>
    <row r="4664" spans="1:4" ht="12.5">
      <c r="A4664" s="186">
        <v>46176</v>
      </c>
      <c r="B4664" s="189">
        <v>7002761465</v>
      </c>
      <c r="C4664" s="189">
        <v>9</v>
      </c>
      <c r="D4664" s="192" t="s">
        <v>758</v>
      </c>
    </row>
    <row r="4665" spans="1:4" ht="12.5">
      <c r="A4665" s="186">
        <v>46176</v>
      </c>
      <c r="B4665" s="189">
        <v>7002761538</v>
      </c>
      <c r="C4665" s="189">
        <v>2</v>
      </c>
      <c r="D4665" s="9" t="s">
        <v>751</v>
      </c>
    </row>
    <row r="4666" spans="1:4" ht="12.5">
      <c r="A4666" s="186">
        <v>46176</v>
      </c>
      <c r="B4666" s="189">
        <v>7002761953</v>
      </c>
      <c r="C4666" s="189">
        <v>13</v>
      </c>
      <c r="D4666" s="192" t="s">
        <v>752</v>
      </c>
    </row>
    <row r="4667" spans="1:4" ht="12.5">
      <c r="A4667" s="186">
        <v>46176</v>
      </c>
      <c r="B4667" s="189">
        <v>7002761969</v>
      </c>
      <c r="C4667" s="189">
        <v>1</v>
      </c>
      <c r="D4667" s="184" t="s">
        <v>762</v>
      </c>
    </row>
    <row r="4668" spans="1:4" ht="12.5">
      <c r="A4668" s="186">
        <v>46176</v>
      </c>
      <c r="B4668" s="189">
        <v>7002762947</v>
      </c>
      <c r="C4668" s="189">
        <v>22</v>
      </c>
      <c r="D4668" s="192" t="s">
        <v>752</v>
      </c>
    </row>
    <row r="4669" spans="1:4" ht="12.5">
      <c r="A4669" s="186">
        <v>46176</v>
      </c>
      <c r="B4669" s="189">
        <v>7002763176</v>
      </c>
      <c r="C4669" s="189">
        <v>4</v>
      </c>
      <c r="D4669" s="9" t="s">
        <v>751</v>
      </c>
    </row>
    <row r="4670" spans="1:4" ht="12.5">
      <c r="A4670" s="186">
        <v>46176</v>
      </c>
      <c r="B4670" s="189">
        <v>7002763543</v>
      </c>
      <c r="C4670" s="189">
        <v>2</v>
      </c>
      <c r="D4670" s="9" t="s">
        <v>751</v>
      </c>
    </row>
    <row r="4671" spans="1:4" ht="12.5">
      <c r="A4671" s="186">
        <v>46176</v>
      </c>
      <c r="B4671" s="189">
        <v>7002763905</v>
      </c>
      <c r="C4671" s="189">
        <v>1</v>
      </c>
      <c r="D4671" s="184" t="s">
        <v>762</v>
      </c>
    </row>
    <row r="4672" spans="1:4" ht="12.5">
      <c r="A4672" s="186">
        <v>46176</v>
      </c>
      <c r="B4672" s="189">
        <v>7002763922</v>
      </c>
      <c r="C4672" s="189">
        <v>2</v>
      </c>
      <c r="D4672" s="9" t="s">
        <v>751</v>
      </c>
    </row>
    <row r="4673" spans="1:4" ht="12.5">
      <c r="A4673" s="186">
        <v>46176</v>
      </c>
      <c r="B4673" s="189">
        <v>7002763933</v>
      </c>
      <c r="C4673" s="189">
        <v>8</v>
      </c>
      <c r="D4673" s="192" t="s">
        <v>758</v>
      </c>
    </row>
    <row r="4674" spans="1:4" ht="12.5">
      <c r="A4674" s="186">
        <v>46176</v>
      </c>
      <c r="B4674" s="189">
        <v>7002763951</v>
      </c>
      <c r="C4674" s="189">
        <v>60</v>
      </c>
      <c r="D4674" s="192" t="s">
        <v>752</v>
      </c>
    </row>
    <row r="4675" spans="1:4" ht="12.5">
      <c r="A4675" s="186">
        <v>46176</v>
      </c>
      <c r="B4675" s="189">
        <v>7002763980</v>
      </c>
      <c r="C4675" s="189">
        <v>1</v>
      </c>
      <c r="D4675" s="184" t="s">
        <v>762</v>
      </c>
    </row>
    <row r="4676" spans="1:4" ht="12.5">
      <c r="A4676" s="186">
        <v>46176</v>
      </c>
      <c r="B4676" s="189">
        <v>7002764338</v>
      </c>
      <c r="C4676" s="189">
        <v>3</v>
      </c>
      <c r="D4676" s="9" t="s">
        <v>751</v>
      </c>
    </row>
    <row r="4677" spans="1:4" ht="12.5">
      <c r="A4677" s="186">
        <v>46176</v>
      </c>
      <c r="B4677" s="189">
        <v>7002764498</v>
      </c>
      <c r="C4677" s="189">
        <v>5</v>
      </c>
      <c r="D4677" s="9" t="s">
        <v>751</v>
      </c>
    </row>
    <row r="4678" spans="1:4" ht="12.5">
      <c r="A4678" s="186">
        <v>46176</v>
      </c>
      <c r="B4678" s="189">
        <v>7002764561</v>
      </c>
      <c r="C4678" s="189">
        <v>1</v>
      </c>
      <c r="D4678" s="184" t="s">
        <v>762</v>
      </c>
    </row>
    <row r="4679" spans="1:4" ht="12.5">
      <c r="A4679" s="186">
        <v>46176</v>
      </c>
      <c r="B4679" s="189">
        <v>7002764625</v>
      </c>
      <c r="C4679" s="189">
        <v>1</v>
      </c>
      <c r="D4679" s="184" t="s">
        <v>762</v>
      </c>
    </row>
    <row r="4680" spans="1:4" ht="12.5">
      <c r="A4680" s="186">
        <v>46176</v>
      </c>
      <c r="B4680" s="189">
        <v>7002764945</v>
      </c>
      <c r="C4680" s="189">
        <v>12</v>
      </c>
      <c r="D4680" s="192" t="s">
        <v>752</v>
      </c>
    </row>
    <row r="4681" spans="1:4" ht="12.5">
      <c r="A4681" s="186">
        <v>46176</v>
      </c>
      <c r="B4681" s="189">
        <v>7002764978</v>
      </c>
      <c r="C4681" s="189">
        <v>1</v>
      </c>
      <c r="D4681" s="184" t="s">
        <v>762</v>
      </c>
    </row>
    <row r="4682" spans="1:4" ht="12.5">
      <c r="A4682" s="186">
        <v>46176</v>
      </c>
      <c r="B4682" s="189">
        <v>7002765941</v>
      </c>
      <c r="C4682" s="189">
        <v>6</v>
      </c>
      <c r="D4682" s="192" t="s">
        <v>758</v>
      </c>
    </row>
    <row r="4683" spans="1:4" ht="12.5">
      <c r="A4683" s="186">
        <v>46176</v>
      </c>
      <c r="B4683" s="189">
        <v>7002766545</v>
      </c>
      <c r="C4683" s="189">
        <v>8</v>
      </c>
      <c r="D4683" s="192" t="s">
        <v>758</v>
      </c>
    </row>
    <row r="4684" spans="1:4" ht="12.5">
      <c r="A4684" s="186">
        <v>46176</v>
      </c>
      <c r="B4684" s="189">
        <v>7002766667</v>
      </c>
      <c r="C4684" s="189">
        <v>2</v>
      </c>
      <c r="D4684" s="9" t="s">
        <v>751</v>
      </c>
    </row>
    <row r="4685" spans="1:4" ht="12.5">
      <c r="A4685" s="186">
        <v>46176</v>
      </c>
      <c r="B4685" s="189">
        <v>7002766957</v>
      </c>
      <c r="C4685" s="189">
        <v>2</v>
      </c>
      <c r="D4685" s="9" t="s">
        <v>751</v>
      </c>
    </row>
    <row r="4686" spans="1:4" ht="12.5">
      <c r="A4686" s="186">
        <v>46176</v>
      </c>
      <c r="B4686" s="189">
        <v>7002766961</v>
      </c>
      <c r="C4686" s="189">
        <v>4</v>
      </c>
      <c r="D4686" s="9" t="s">
        <v>751</v>
      </c>
    </row>
    <row r="4687" spans="1:4" ht="12.5">
      <c r="A4687" s="186">
        <v>46176</v>
      </c>
      <c r="B4687" s="189">
        <v>7002767293</v>
      </c>
      <c r="C4687" s="189">
        <v>13</v>
      </c>
      <c r="D4687" s="192" t="s">
        <v>752</v>
      </c>
    </row>
    <row r="4688" spans="1:4" ht="12.5">
      <c r="A4688" s="186">
        <v>46176</v>
      </c>
      <c r="B4688" s="189">
        <v>7002767927</v>
      </c>
      <c r="C4688" s="189">
        <v>7</v>
      </c>
      <c r="D4688" s="192" t="s">
        <v>758</v>
      </c>
    </row>
    <row r="4689" spans="1:4" ht="12.5">
      <c r="A4689" s="186">
        <v>46176</v>
      </c>
      <c r="B4689" s="189">
        <v>7002767936</v>
      </c>
      <c r="C4689" s="189">
        <v>3</v>
      </c>
      <c r="D4689" s="9" t="s">
        <v>751</v>
      </c>
    </row>
    <row r="4690" spans="1:4" ht="12.5">
      <c r="A4690" s="186">
        <v>46176</v>
      </c>
      <c r="B4690" s="189">
        <v>7002768354</v>
      </c>
      <c r="C4690" s="189">
        <v>2</v>
      </c>
      <c r="D4690" s="9" t="s">
        <v>751</v>
      </c>
    </row>
    <row r="4691" spans="1:4" ht="12.5">
      <c r="A4691" s="186">
        <v>46176</v>
      </c>
      <c r="B4691" s="189">
        <v>7002768470</v>
      </c>
      <c r="C4691" s="189">
        <v>10</v>
      </c>
      <c r="D4691" s="192" t="s">
        <v>758</v>
      </c>
    </row>
    <row r="4692" spans="1:4" ht="12.5">
      <c r="A4692" s="186">
        <v>46176</v>
      </c>
      <c r="B4692" s="189">
        <v>7002768523</v>
      </c>
      <c r="C4692" s="189">
        <v>7</v>
      </c>
      <c r="D4692" s="192" t="s">
        <v>758</v>
      </c>
    </row>
    <row r="4693" spans="1:4" ht="12.5">
      <c r="A4693" s="186">
        <v>46176</v>
      </c>
      <c r="B4693" s="189">
        <v>7002768648</v>
      </c>
      <c r="C4693" s="189">
        <v>1</v>
      </c>
      <c r="D4693" s="184" t="s">
        <v>762</v>
      </c>
    </row>
    <row r="4694" spans="1:4" ht="12.5">
      <c r="A4694" s="186">
        <v>46176</v>
      </c>
      <c r="B4694" s="189">
        <v>7002768864</v>
      </c>
      <c r="C4694" s="189">
        <v>1</v>
      </c>
      <c r="D4694" s="184" t="s">
        <v>762</v>
      </c>
    </row>
    <row r="4695" spans="1:4" ht="12.5">
      <c r="A4695" s="186">
        <v>46176</v>
      </c>
      <c r="B4695" s="189">
        <v>7002768963</v>
      </c>
      <c r="C4695" s="189">
        <v>3</v>
      </c>
      <c r="D4695" s="9" t="s">
        <v>751</v>
      </c>
    </row>
    <row r="4696" spans="1:4" ht="12.5">
      <c r="A4696" s="186">
        <v>46176</v>
      </c>
      <c r="B4696" s="189">
        <v>7002769459</v>
      </c>
      <c r="C4696" s="189">
        <v>1</v>
      </c>
      <c r="D4696" s="184" t="s">
        <v>762</v>
      </c>
    </row>
    <row r="4697" spans="1:4" ht="12.5">
      <c r="A4697" s="186">
        <v>46176</v>
      </c>
      <c r="B4697" s="189">
        <v>7002769569</v>
      </c>
      <c r="C4697" s="189">
        <v>33</v>
      </c>
      <c r="D4697" s="192" t="s">
        <v>752</v>
      </c>
    </row>
    <row r="4698" spans="1:4" ht="12.5">
      <c r="A4698" s="186">
        <v>46176</v>
      </c>
      <c r="B4698" s="189">
        <v>7002769901</v>
      </c>
      <c r="C4698" s="189">
        <v>1</v>
      </c>
      <c r="D4698" s="184" t="s">
        <v>762</v>
      </c>
    </row>
    <row r="4699" spans="1:4" ht="12.5">
      <c r="A4699" s="186">
        <v>46176</v>
      </c>
      <c r="B4699" s="189">
        <v>7002769955</v>
      </c>
      <c r="C4699" s="189">
        <v>189</v>
      </c>
      <c r="D4699" s="192" t="s">
        <v>752</v>
      </c>
    </row>
    <row r="4700" spans="1:4" ht="12.5">
      <c r="A4700" s="186">
        <v>46176</v>
      </c>
      <c r="B4700" s="189">
        <v>7002769993</v>
      </c>
      <c r="C4700" s="189">
        <v>2</v>
      </c>
      <c r="D4700" s="9" t="s">
        <v>751</v>
      </c>
    </row>
    <row r="4701" spans="1:4" ht="12.5">
      <c r="A4701" s="186">
        <v>46176</v>
      </c>
      <c r="B4701" s="189">
        <v>7002771022</v>
      </c>
      <c r="C4701" s="189">
        <v>1</v>
      </c>
      <c r="D4701" s="184" t="s">
        <v>762</v>
      </c>
    </row>
    <row r="4702" spans="1:4" ht="12.5">
      <c r="A4702" s="186">
        <v>46176</v>
      </c>
      <c r="B4702" s="189">
        <v>7002771046</v>
      </c>
      <c r="C4702" s="189">
        <v>1</v>
      </c>
      <c r="D4702" s="184" t="s">
        <v>762</v>
      </c>
    </row>
    <row r="4703" spans="1:4" ht="12.5">
      <c r="A4703" s="186">
        <v>46176</v>
      </c>
      <c r="B4703" s="189">
        <v>7002771051</v>
      </c>
      <c r="C4703" s="189">
        <v>1</v>
      </c>
      <c r="D4703" s="184" t="s">
        <v>762</v>
      </c>
    </row>
    <row r="4704" spans="1:4" ht="12.5">
      <c r="A4704" s="186">
        <v>46176</v>
      </c>
      <c r="B4704" s="189">
        <v>7002771079</v>
      </c>
      <c r="C4704" s="189">
        <v>2</v>
      </c>
      <c r="D4704" s="9" t="s">
        <v>751</v>
      </c>
    </row>
    <row r="4705" spans="1:4" ht="12.5">
      <c r="A4705" s="186">
        <v>46176</v>
      </c>
      <c r="B4705" s="189">
        <v>7002771103</v>
      </c>
      <c r="C4705" s="189">
        <v>2</v>
      </c>
      <c r="D4705" s="9" t="s">
        <v>751</v>
      </c>
    </row>
    <row r="4706" spans="1:4" ht="12.5">
      <c r="A4706" s="186">
        <v>46176</v>
      </c>
      <c r="B4706" s="189">
        <v>7002772045</v>
      </c>
      <c r="C4706" s="189">
        <v>2</v>
      </c>
      <c r="D4706" s="9" t="s">
        <v>751</v>
      </c>
    </row>
    <row r="4707" spans="1:4" ht="12.5">
      <c r="A4707" s="186">
        <v>46176</v>
      </c>
      <c r="B4707" s="189">
        <v>7002772084</v>
      </c>
      <c r="C4707" s="189">
        <v>1</v>
      </c>
      <c r="D4707" s="184" t="s">
        <v>762</v>
      </c>
    </row>
    <row r="4708" spans="1:4" ht="12.5">
      <c r="A4708" s="186">
        <v>46176</v>
      </c>
      <c r="B4708" s="189">
        <v>7002772139</v>
      </c>
      <c r="C4708" s="189">
        <v>2</v>
      </c>
      <c r="D4708" s="9" t="s">
        <v>751</v>
      </c>
    </row>
    <row r="4709" spans="1:4" ht="12.5">
      <c r="A4709" s="186">
        <v>46176</v>
      </c>
      <c r="B4709" s="189">
        <v>7002772156</v>
      </c>
      <c r="C4709" s="189">
        <v>6</v>
      </c>
      <c r="D4709" s="192" t="s">
        <v>758</v>
      </c>
    </row>
    <row r="4710" spans="1:4" ht="12.5">
      <c r="A4710" s="186">
        <v>46176</v>
      </c>
      <c r="B4710" s="189">
        <v>7002773031</v>
      </c>
      <c r="C4710" s="189">
        <v>1</v>
      </c>
      <c r="D4710" s="184" t="s">
        <v>762</v>
      </c>
    </row>
    <row r="4711" spans="1:4" ht="12.5">
      <c r="A4711" s="186">
        <v>46176</v>
      </c>
      <c r="B4711" s="189">
        <v>7002773049</v>
      </c>
      <c r="C4711" s="189">
        <v>2</v>
      </c>
      <c r="D4711" s="9" t="s">
        <v>751</v>
      </c>
    </row>
    <row r="4712" spans="1:4" ht="12.5">
      <c r="A4712" s="186">
        <v>46176</v>
      </c>
      <c r="B4712" s="189">
        <v>7002773065</v>
      </c>
      <c r="C4712" s="189">
        <v>3</v>
      </c>
      <c r="D4712" s="9" t="s">
        <v>751</v>
      </c>
    </row>
    <row r="4713" spans="1:4" ht="12.5">
      <c r="A4713" s="186">
        <v>46176</v>
      </c>
      <c r="B4713" s="189">
        <v>7002773083</v>
      </c>
      <c r="C4713" s="189">
        <v>1</v>
      </c>
      <c r="D4713" s="184" t="s">
        <v>762</v>
      </c>
    </row>
    <row r="4714" spans="1:4" ht="12.5">
      <c r="A4714" s="186">
        <v>46176</v>
      </c>
      <c r="B4714" s="189">
        <v>7002774024</v>
      </c>
      <c r="C4714" s="189">
        <v>5</v>
      </c>
      <c r="D4714" s="9" t="s">
        <v>751</v>
      </c>
    </row>
    <row r="4715" spans="1:4" ht="12.5">
      <c r="A4715" s="186">
        <v>46176</v>
      </c>
      <c r="B4715" s="189">
        <v>7002774322</v>
      </c>
      <c r="C4715" s="189">
        <v>17</v>
      </c>
      <c r="D4715" s="192" t="s">
        <v>752</v>
      </c>
    </row>
    <row r="4716" spans="1:4" ht="12.5">
      <c r="A4716" s="186">
        <v>46176</v>
      </c>
      <c r="B4716" s="189">
        <v>7002774994</v>
      </c>
      <c r="C4716" s="189">
        <v>1</v>
      </c>
      <c r="D4716" s="184" t="s">
        <v>762</v>
      </c>
    </row>
    <row r="4717" spans="1:4" ht="12.5">
      <c r="A4717" s="186">
        <v>46176</v>
      </c>
      <c r="B4717" s="189">
        <v>7002775015</v>
      </c>
      <c r="C4717" s="189">
        <v>1</v>
      </c>
      <c r="D4717" s="184" t="s">
        <v>762</v>
      </c>
    </row>
    <row r="4718" spans="1:4" ht="12.5">
      <c r="A4718" s="186">
        <v>46176</v>
      </c>
      <c r="B4718" s="189">
        <v>7002775091</v>
      </c>
      <c r="C4718" s="189">
        <v>1</v>
      </c>
      <c r="D4718" s="184" t="s">
        <v>762</v>
      </c>
    </row>
    <row r="4719" spans="1:4" ht="12.5">
      <c r="A4719" s="186">
        <v>46176</v>
      </c>
      <c r="B4719" s="189">
        <v>7002775147</v>
      </c>
      <c r="C4719" s="189">
        <v>2</v>
      </c>
      <c r="D4719" s="9" t="s">
        <v>751</v>
      </c>
    </row>
    <row r="4720" spans="1:4" ht="12.5">
      <c r="A4720" s="186">
        <v>46176</v>
      </c>
      <c r="B4720" s="189">
        <v>7002775950</v>
      </c>
      <c r="C4720" s="189">
        <v>1</v>
      </c>
      <c r="D4720" s="184" t="s">
        <v>762</v>
      </c>
    </row>
    <row r="4721" spans="1:4" ht="12.5">
      <c r="A4721" s="186">
        <v>46176</v>
      </c>
      <c r="B4721" s="189">
        <v>7002777001</v>
      </c>
      <c r="C4721" s="189">
        <v>1</v>
      </c>
      <c r="D4721" s="184" t="s">
        <v>762</v>
      </c>
    </row>
    <row r="4722" spans="1:4" ht="12.5">
      <c r="A4722" s="186">
        <v>46176</v>
      </c>
      <c r="B4722" s="189">
        <v>7002777038</v>
      </c>
      <c r="C4722" s="189">
        <v>1</v>
      </c>
      <c r="D4722" s="184" t="s">
        <v>762</v>
      </c>
    </row>
    <row r="4723" spans="1:4" ht="12.5">
      <c r="A4723" s="186">
        <v>46176</v>
      </c>
      <c r="B4723" s="189">
        <v>7002777072</v>
      </c>
      <c r="C4723" s="189">
        <v>2</v>
      </c>
      <c r="D4723" s="9" t="s">
        <v>751</v>
      </c>
    </row>
    <row r="4724" spans="1:4" ht="12.5">
      <c r="A4724" s="186">
        <v>46176</v>
      </c>
      <c r="B4724" s="189">
        <v>7002777149</v>
      </c>
      <c r="C4724" s="189">
        <v>1</v>
      </c>
      <c r="D4724" s="184" t="s">
        <v>762</v>
      </c>
    </row>
    <row r="4725" spans="1:4" ht="12.5">
      <c r="A4725" s="186">
        <v>46176</v>
      </c>
      <c r="B4725" s="189">
        <v>7002778041</v>
      </c>
      <c r="C4725" s="189">
        <v>1</v>
      </c>
      <c r="D4725" s="184" t="s">
        <v>762</v>
      </c>
    </row>
    <row r="4726" spans="1:4" ht="12.5">
      <c r="A4726" s="186">
        <v>46176</v>
      </c>
      <c r="B4726" s="189">
        <v>7002778087</v>
      </c>
      <c r="C4726" s="189">
        <v>1</v>
      </c>
      <c r="D4726" s="184" t="s">
        <v>762</v>
      </c>
    </row>
    <row r="4727" spans="1:4" ht="12.5">
      <c r="A4727" s="186">
        <v>46176</v>
      </c>
      <c r="B4727" s="189">
        <v>7002778166</v>
      </c>
      <c r="C4727" s="189">
        <v>3</v>
      </c>
      <c r="D4727" s="9" t="s">
        <v>751</v>
      </c>
    </row>
    <row r="4728" spans="1:4" ht="12.5">
      <c r="A4728" s="186">
        <v>46176</v>
      </c>
      <c r="B4728" s="189">
        <v>7002780165</v>
      </c>
      <c r="C4728" s="189">
        <v>2</v>
      </c>
      <c r="D4728" s="9" t="s">
        <v>751</v>
      </c>
    </row>
    <row r="4729" spans="1:4" ht="12.5">
      <c r="A4729" s="186">
        <v>46176</v>
      </c>
      <c r="B4729" s="189">
        <v>7002781277</v>
      </c>
      <c r="C4729" s="189">
        <v>2</v>
      </c>
      <c r="D4729" s="9" t="s">
        <v>751</v>
      </c>
    </row>
    <row r="4730" spans="1:4" ht="12.5">
      <c r="A4730" s="186">
        <v>46176</v>
      </c>
      <c r="B4730" s="189">
        <v>7002783949</v>
      </c>
      <c r="C4730" s="189">
        <v>1</v>
      </c>
      <c r="D4730" s="184" t="s">
        <v>762</v>
      </c>
    </row>
    <row r="4731" spans="1:4" ht="12.5">
      <c r="A4731" s="186">
        <v>46176</v>
      </c>
      <c r="B4731" s="189">
        <v>7002787189</v>
      </c>
      <c r="C4731" s="189">
        <v>3</v>
      </c>
      <c r="D4731" s="9" t="s">
        <v>751</v>
      </c>
    </row>
    <row r="4732" spans="1:4" ht="12.5">
      <c r="A4732" s="186">
        <v>46176</v>
      </c>
      <c r="B4732" s="189">
        <v>7002787235</v>
      </c>
      <c r="C4732" s="189">
        <v>1</v>
      </c>
      <c r="D4732" s="184" t="s">
        <v>762</v>
      </c>
    </row>
    <row r="4733" spans="1:4" ht="12.5">
      <c r="A4733" s="186">
        <v>46176</v>
      </c>
      <c r="B4733" s="189">
        <v>7002788144</v>
      </c>
      <c r="C4733" s="189">
        <v>6</v>
      </c>
      <c r="D4733" s="192" t="s">
        <v>758</v>
      </c>
    </row>
    <row r="4734" spans="1:4" ht="12.5">
      <c r="A4734" s="186">
        <v>46176</v>
      </c>
      <c r="B4734" s="189">
        <v>7002790331</v>
      </c>
      <c r="C4734" s="189">
        <v>100</v>
      </c>
      <c r="D4734" s="192" t="s">
        <v>752</v>
      </c>
    </row>
    <row r="4735" spans="1:4" ht="12.5">
      <c r="A4735" s="186">
        <v>46176</v>
      </c>
      <c r="B4735" s="189">
        <v>7002790349</v>
      </c>
      <c r="C4735" s="189">
        <v>1</v>
      </c>
      <c r="D4735" s="184" t="s">
        <v>762</v>
      </c>
    </row>
    <row r="4736" spans="1:4" ht="12.5">
      <c r="A4736" s="186">
        <v>46176</v>
      </c>
      <c r="B4736" s="189">
        <v>7002792375</v>
      </c>
      <c r="C4736" s="189">
        <v>2</v>
      </c>
      <c r="D4736" s="9" t="s">
        <v>751</v>
      </c>
    </row>
    <row r="4737" spans="1:4" ht="12.5">
      <c r="A4737" s="186">
        <v>46176</v>
      </c>
      <c r="B4737" s="189">
        <v>7002794332</v>
      </c>
      <c r="C4737" s="189">
        <v>50</v>
      </c>
      <c r="D4737" s="192" t="s">
        <v>752</v>
      </c>
    </row>
    <row r="4738" spans="1:4" ht="12.5">
      <c r="A4738" s="186">
        <v>46176</v>
      </c>
      <c r="B4738" s="189">
        <v>7002794378</v>
      </c>
      <c r="C4738" s="189">
        <v>3</v>
      </c>
      <c r="D4738" s="9" t="s">
        <v>751</v>
      </c>
    </row>
    <row r="4739" spans="1:4" ht="12.5">
      <c r="A4739" s="186">
        <v>46176</v>
      </c>
      <c r="B4739" s="189">
        <v>7002795341</v>
      </c>
      <c r="C4739" s="189">
        <v>1</v>
      </c>
      <c r="D4739" s="184" t="s">
        <v>762</v>
      </c>
    </row>
    <row r="4740" spans="1:4" ht="12.5">
      <c r="A4740" s="186">
        <v>46176</v>
      </c>
      <c r="B4740" s="189">
        <v>7002795387</v>
      </c>
      <c r="C4740" s="189">
        <v>1</v>
      </c>
      <c r="D4740" s="184" t="s">
        <v>762</v>
      </c>
    </row>
    <row r="4741" spans="1:4" ht="12.5">
      <c r="A4741" s="186">
        <v>46176</v>
      </c>
      <c r="B4741" s="189">
        <v>7002796335</v>
      </c>
      <c r="C4741" s="189">
        <v>1</v>
      </c>
      <c r="D4741" s="184" t="s">
        <v>762</v>
      </c>
    </row>
    <row r="4742" spans="1:4" ht="12.5">
      <c r="A4742" s="186">
        <v>46176</v>
      </c>
      <c r="B4742" s="189">
        <v>7002797327</v>
      </c>
      <c r="C4742" s="189">
        <v>62</v>
      </c>
      <c r="D4742" s="192" t="s">
        <v>752</v>
      </c>
    </row>
    <row r="4743" spans="1:4" ht="12.5">
      <c r="A4743" s="186">
        <v>46176</v>
      </c>
      <c r="B4743" s="189">
        <v>7002797358</v>
      </c>
      <c r="C4743" s="189">
        <v>1</v>
      </c>
      <c r="D4743" s="184" t="s">
        <v>762</v>
      </c>
    </row>
    <row r="4744" spans="1:4" ht="12.5">
      <c r="A4744" s="186">
        <v>46176</v>
      </c>
      <c r="B4744" s="189">
        <v>7002797370</v>
      </c>
      <c r="C4744" s="189">
        <v>11</v>
      </c>
      <c r="D4744" s="192" t="s">
        <v>752</v>
      </c>
    </row>
    <row r="4745" spans="1:4" ht="12.5">
      <c r="A4745" s="186">
        <v>46176</v>
      </c>
      <c r="B4745" s="189">
        <v>7002798337</v>
      </c>
      <c r="C4745" s="189">
        <v>10</v>
      </c>
      <c r="D4745" s="192" t="s">
        <v>758</v>
      </c>
    </row>
    <row r="4746" spans="1:4" ht="12.5">
      <c r="A4746" s="186">
        <v>46176</v>
      </c>
      <c r="B4746" s="189">
        <v>7002798359</v>
      </c>
      <c r="C4746" s="189">
        <v>3</v>
      </c>
      <c r="D4746" s="9" t="s">
        <v>751</v>
      </c>
    </row>
    <row r="4747" spans="1:4" ht="12.5">
      <c r="A4747" s="186">
        <v>46176</v>
      </c>
      <c r="B4747" s="189">
        <v>7002798371</v>
      </c>
      <c r="C4747" s="189">
        <v>2</v>
      </c>
      <c r="D4747" s="9" t="s">
        <v>751</v>
      </c>
    </row>
    <row r="4748" spans="1:4" ht="12.5">
      <c r="A4748" s="186">
        <v>46176</v>
      </c>
      <c r="B4748" s="189">
        <v>7002798385</v>
      </c>
      <c r="C4748" s="189">
        <v>1</v>
      </c>
      <c r="D4748" s="184" t="s">
        <v>762</v>
      </c>
    </row>
    <row r="4749" spans="1:4" ht="12.5">
      <c r="A4749" s="186">
        <v>46176</v>
      </c>
      <c r="B4749" s="189">
        <v>7002799329</v>
      </c>
      <c r="C4749" s="189">
        <v>1</v>
      </c>
      <c r="D4749" s="184" t="s">
        <v>762</v>
      </c>
    </row>
    <row r="4750" spans="1:4" ht="12.5">
      <c r="A4750" s="186">
        <v>46176</v>
      </c>
      <c r="B4750" s="189">
        <v>7002799338</v>
      </c>
      <c r="C4750" s="189">
        <v>4</v>
      </c>
      <c r="D4750" s="9" t="s">
        <v>751</v>
      </c>
    </row>
    <row r="4751" spans="1:4" ht="12.5">
      <c r="A4751" s="186">
        <v>46176</v>
      </c>
      <c r="B4751" s="189">
        <v>7002799386</v>
      </c>
      <c r="C4751" s="189">
        <v>1</v>
      </c>
      <c r="D4751" s="184" t="s">
        <v>762</v>
      </c>
    </row>
    <row r="4752" spans="1:4" ht="12.5">
      <c r="A4752" s="191"/>
      <c r="B4752" s="192"/>
      <c r="C4752" s="192"/>
      <c r="D4752" s="192"/>
    </row>
    <row r="4753" spans="1:4" ht="12.5">
      <c r="A4753" s="186">
        <v>46177</v>
      </c>
      <c r="B4753" s="184">
        <v>7001727096</v>
      </c>
      <c r="C4753" s="184">
        <v>2</v>
      </c>
      <c r="D4753" s="184" t="s">
        <v>751</v>
      </c>
    </row>
    <row r="4754" spans="1:4" ht="12.5">
      <c r="A4754" s="186">
        <v>46177</v>
      </c>
      <c r="B4754" s="184">
        <v>7002513445</v>
      </c>
      <c r="C4754" s="184">
        <v>4</v>
      </c>
      <c r="D4754" s="184" t="s">
        <v>751</v>
      </c>
    </row>
    <row r="4755" spans="1:4" ht="12.5">
      <c r="A4755" s="186">
        <v>46177</v>
      </c>
      <c r="B4755" s="184">
        <v>7002673162</v>
      </c>
      <c r="C4755" s="184">
        <v>10</v>
      </c>
      <c r="D4755" s="184" t="s">
        <v>758</v>
      </c>
    </row>
    <row r="4756" spans="1:4" ht="12.5">
      <c r="A4756" s="186">
        <v>46177</v>
      </c>
      <c r="B4756" s="184">
        <v>7002699284</v>
      </c>
      <c r="C4756" s="184">
        <v>2</v>
      </c>
      <c r="D4756" s="184" t="s">
        <v>751</v>
      </c>
    </row>
    <row r="4757" spans="1:4" ht="12.5">
      <c r="A4757" s="186">
        <v>46177</v>
      </c>
      <c r="B4757" s="184">
        <v>7002705502</v>
      </c>
      <c r="C4757" s="184">
        <v>18</v>
      </c>
      <c r="D4757" s="184" t="s">
        <v>752</v>
      </c>
    </row>
    <row r="4758" spans="1:4" ht="12.5">
      <c r="A4758" s="186">
        <v>46177</v>
      </c>
      <c r="B4758" s="184">
        <v>7002710921</v>
      </c>
      <c r="C4758" s="184">
        <v>7</v>
      </c>
      <c r="D4758" s="184" t="s">
        <v>758</v>
      </c>
    </row>
    <row r="4759" spans="1:4" ht="12.5">
      <c r="A4759" s="186">
        <v>46177</v>
      </c>
      <c r="B4759" s="184">
        <v>7002712948</v>
      </c>
      <c r="C4759" s="184">
        <v>2</v>
      </c>
      <c r="D4759" s="184" t="s">
        <v>751</v>
      </c>
    </row>
    <row r="4760" spans="1:4" ht="12.5">
      <c r="A4760" s="186">
        <v>46177</v>
      </c>
      <c r="B4760" s="184">
        <v>7002714980</v>
      </c>
      <c r="C4760" s="184">
        <v>1</v>
      </c>
      <c r="D4760" s="184" t="s">
        <v>762</v>
      </c>
    </row>
    <row r="4761" spans="1:4" ht="12.5">
      <c r="A4761" s="186">
        <v>46177</v>
      </c>
      <c r="B4761" s="184">
        <v>7002718927</v>
      </c>
      <c r="C4761" s="184">
        <v>1</v>
      </c>
      <c r="D4761" s="184" t="s">
        <v>762</v>
      </c>
    </row>
    <row r="4762" spans="1:4" ht="12.5">
      <c r="A4762" s="186">
        <v>46177</v>
      </c>
      <c r="B4762" s="184">
        <v>7002719937</v>
      </c>
      <c r="C4762" s="184">
        <v>2</v>
      </c>
      <c r="D4762" s="184" t="s">
        <v>751</v>
      </c>
    </row>
    <row r="4763" spans="1:4" ht="12.5">
      <c r="A4763" s="186">
        <v>46177</v>
      </c>
      <c r="B4763" s="184">
        <v>7002726060</v>
      </c>
      <c r="C4763" s="184">
        <v>2</v>
      </c>
      <c r="D4763" s="184" t="s">
        <v>751</v>
      </c>
    </row>
    <row r="4764" spans="1:4" ht="12.5">
      <c r="A4764" s="186">
        <v>46177</v>
      </c>
      <c r="B4764" s="184">
        <v>7002728089</v>
      </c>
      <c r="C4764" s="184">
        <v>15</v>
      </c>
      <c r="D4764" s="184" t="s">
        <v>752</v>
      </c>
    </row>
    <row r="4765" spans="1:4" ht="12.5">
      <c r="A4765" s="186">
        <v>46177</v>
      </c>
      <c r="B4765" s="184">
        <v>7002728997</v>
      </c>
      <c r="C4765" s="184">
        <v>6</v>
      </c>
      <c r="D4765" s="184" t="s">
        <v>758</v>
      </c>
    </row>
    <row r="4766" spans="1:4" ht="12.5">
      <c r="A4766" s="186">
        <v>46177</v>
      </c>
      <c r="B4766" s="184">
        <v>7002731480</v>
      </c>
      <c r="C4766" s="184">
        <v>1</v>
      </c>
      <c r="D4766" s="184" t="s">
        <v>762</v>
      </c>
    </row>
    <row r="4767" spans="1:4" ht="12.5">
      <c r="A4767" s="186">
        <v>46177</v>
      </c>
      <c r="B4767" s="184">
        <v>7002733572</v>
      </c>
      <c r="C4767" s="184">
        <v>8</v>
      </c>
      <c r="D4767" s="184" t="s">
        <v>758</v>
      </c>
    </row>
    <row r="4768" spans="1:4" ht="12.5">
      <c r="A4768" s="186">
        <v>46177</v>
      </c>
      <c r="B4768" s="184">
        <v>7002736524</v>
      </c>
      <c r="C4768" s="184">
        <v>1</v>
      </c>
      <c r="D4768" s="184" t="s">
        <v>762</v>
      </c>
    </row>
    <row r="4769" spans="1:4" ht="12.5">
      <c r="A4769" s="186">
        <v>46177</v>
      </c>
      <c r="B4769" s="184">
        <v>7002742373</v>
      </c>
      <c r="C4769" s="184">
        <v>63</v>
      </c>
      <c r="D4769" s="184" t="s">
        <v>752</v>
      </c>
    </row>
    <row r="4770" spans="1:4" ht="12.5">
      <c r="A4770" s="186">
        <v>46177</v>
      </c>
      <c r="B4770" s="184">
        <v>7002742998</v>
      </c>
      <c r="C4770" s="184">
        <v>19</v>
      </c>
      <c r="D4770" s="184" t="s">
        <v>752</v>
      </c>
    </row>
    <row r="4771" spans="1:4" ht="12.5">
      <c r="A4771" s="186">
        <v>46177</v>
      </c>
      <c r="B4771" s="184">
        <v>7002744983</v>
      </c>
      <c r="C4771" s="184">
        <v>9</v>
      </c>
      <c r="D4771" s="184" t="s">
        <v>758</v>
      </c>
    </row>
    <row r="4772" spans="1:4" ht="12.5">
      <c r="A4772" s="186">
        <v>46177</v>
      </c>
      <c r="B4772" s="184">
        <v>7002748378</v>
      </c>
      <c r="C4772" s="184">
        <v>30</v>
      </c>
      <c r="D4772" s="184" t="s">
        <v>752</v>
      </c>
    </row>
    <row r="4773" spans="1:4" ht="12.5">
      <c r="A4773" s="186">
        <v>46177</v>
      </c>
      <c r="B4773" s="184">
        <v>7002750096</v>
      </c>
      <c r="C4773" s="184">
        <v>5</v>
      </c>
      <c r="D4773" s="184" t="s">
        <v>751</v>
      </c>
    </row>
    <row r="4774" spans="1:4" ht="12.5">
      <c r="A4774" s="186">
        <v>46177</v>
      </c>
      <c r="B4774" s="184">
        <v>7002751069</v>
      </c>
      <c r="C4774" s="184">
        <v>2</v>
      </c>
      <c r="D4774" s="184" t="s">
        <v>751</v>
      </c>
    </row>
    <row r="4775" spans="1:4" ht="12.5">
      <c r="A4775" s="186">
        <v>46177</v>
      </c>
      <c r="B4775" s="184">
        <v>7002751956</v>
      </c>
      <c r="C4775" s="184">
        <v>2</v>
      </c>
      <c r="D4775" s="184" t="s">
        <v>751</v>
      </c>
    </row>
    <row r="4776" spans="1:4" ht="12.5">
      <c r="A4776" s="186">
        <v>46177</v>
      </c>
      <c r="B4776" s="184">
        <v>7002755113</v>
      </c>
      <c r="C4776" s="184">
        <v>25</v>
      </c>
      <c r="D4776" s="184" t="s">
        <v>752</v>
      </c>
    </row>
    <row r="4777" spans="1:4" ht="12.5">
      <c r="A4777" s="186">
        <v>46177</v>
      </c>
      <c r="B4777" s="184">
        <v>7002755233</v>
      </c>
      <c r="C4777" s="184">
        <v>9</v>
      </c>
      <c r="D4777" s="184" t="s">
        <v>758</v>
      </c>
    </row>
    <row r="4778" spans="1:4" ht="12.5">
      <c r="A4778" s="186">
        <v>46177</v>
      </c>
      <c r="B4778" s="184">
        <v>7002755304</v>
      </c>
      <c r="C4778" s="184">
        <v>2</v>
      </c>
      <c r="D4778" s="184" t="s">
        <v>751</v>
      </c>
    </row>
    <row r="4779" spans="1:4" ht="12.5">
      <c r="A4779" s="186">
        <v>46177</v>
      </c>
      <c r="B4779" s="184">
        <v>7002756061</v>
      </c>
      <c r="C4779" s="184">
        <v>4</v>
      </c>
      <c r="D4779" s="184" t="s">
        <v>751</v>
      </c>
    </row>
    <row r="4780" spans="1:4" ht="12.5">
      <c r="A4780" s="186">
        <v>46177</v>
      </c>
      <c r="B4780" s="184">
        <v>7002756088</v>
      </c>
      <c r="C4780" s="184">
        <v>1</v>
      </c>
      <c r="D4780" s="184" t="s">
        <v>762</v>
      </c>
    </row>
    <row r="4781" spans="1:4" ht="12.5">
      <c r="A4781" s="186">
        <v>46177</v>
      </c>
      <c r="B4781" s="184">
        <v>7002757070</v>
      </c>
      <c r="C4781" s="184">
        <v>1</v>
      </c>
      <c r="D4781" s="184" t="s">
        <v>762</v>
      </c>
    </row>
    <row r="4782" spans="1:4" ht="12.5">
      <c r="A4782" s="186">
        <v>46177</v>
      </c>
      <c r="B4782" s="184">
        <v>7002759017</v>
      </c>
      <c r="C4782" s="184">
        <v>4</v>
      </c>
      <c r="D4782" s="184" t="s">
        <v>751</v>
      </c>
    </row>
    <row r="4783" spans="1:4" ht="12.5">
      <c r="A4783" s="186">
        <v>46177</v>
      </c>
      <c r="B4783" s="184">
        <v>7002760359</v>
      </c>
      <c r="C4783" s="184">
        <v>4</v>
      </c>
      <c r="D4783" s="184" t="s">
        <v>751</v>
      </c>
    </row>
    <row r="4784" spans="1:4" ht="12.5">
      <c r="A4784" s="186">
        <v>46177</v>
      </c>
      <c r="B4784" s="184">
        <v>7002762906</v>
      </c>
      <c r="C4784" s="184">
        <v>4</v>
      </c>
      <c r="D4784" s="184" t="s">
        <v>751</v>
      </c>
    </row>
    <row r="4785" spans="1:4" ht="12.5">
      <c r="A4785" s="186">
        <v>46177</v>
      </c>
      <c r="B4785" s="184">
        <v>7002763626</v>
      </c>
      <c r="C4785" s="184">
        <v>1</v>
      </c>
      <c r="D4785" s="184" t="s">
        <v>762</v>
      </c>
    </row>
    <row r="4786" spans="1:4" ht="12.5">
      <c r="A4786" s="186">
        <v>46177</v>
      </c>
      <c r="B4786" s="184">
        <v>7002763998</v>
      </c>
      <c r="C4786" s="184">
        <v>60</v>
      </c>
      <c r="D4786" s="184" t="s">
        <v>752</v>
      </c>
    </row>
    <row r="4787" spans="1:4" ht="12.5">
      <c r="A4787" s="186">
        <v>46177</v>
      </c>
      <c r="B4787" s="184">
        <v>7002764660</v>
      </c>
      <c r="C4787" s="184">
        <v>7</v>
      </c>
      <c r="D4787" s="184" t="s">
        <v>758</v>
      </c>
    </row>
    <row r="4788" spans="1:4" ht="12.5">
      <c r="A4788" s="186">
        <v>46177</v>
      </c>
      <c r="B4788" s="184">
        <v>7002764877</v>
      </c>
      <c r="C4788" s="184">
        <v>2</v>
      </c>
      <c r="D4788" s="184" t="s">
        <v>751</v>
      </c>
    </row>
    <row r="4789" spans="1:4" ht="12.5">
      <c r="A4789" s="186">
        <v>46177</v>
      </c>
      <c r="B4789" s="184">
        <v>7002764913</v>
      </c>
      <c r="C4789" s="184">
        <v>4</v>
      </c>
      <c r="D4789" s="184" t="s">
        <v>751</v>
      </c>
    </row>
    <row r="4790" spans="1:4" ht="12.5">
      <c r="A4790" s="186">
        <v>46177</v>
      </c>
      <c r="B4790" s="184">
        <v>7002765861</v>
      </c>
      <c r="C4790" s="184">
        <v>10</v>
      </c>
      <c r="D4790" s="184" t="s">
        <v>758</v>
      </c>
    </row>
    <row r="4791" spans="1:4" ht="12.5">
      <c r="A4791" s="186">
        <v>46177</v>
      </c>
      <c r="B4791" s="184">
        <v>7002765987</v>
      </c>
      <c r="C4791" s="184">
        <v>35</v>
      </c>
      <c r="D4791" s="184" t="s">
        <v>752</v>
      </c>
    </row>
    <row r="4792" spans="1:4" ht="12.5">
      <c r="A4792" s="186">
        <v>46177</v>
      </c>
      <c r="B4792" s="184">
        <v>7002766858</v>
      </c>
      <c r="C4792" s="184">
        <v>2</v>
      </c>
      <c r="D4792" s="184" t="s">
        <v>751</v>
      </c>
    </row>
    <row r="4793" spans="1:4" ht="12.5">
      <c r="A4793" s="186">
        <v>46177</v>
      </c>
      <c r="B4793" s="184">
        <v>7002766919</v>
      </c>
      <c r="C4793" s="184">
        <v>21</v>
      </c>
      <c r="D4793" s="184" t="s">
        <v>752</v>
      </c>
    </row>
    <row r="4794" spans="1:4" ht="12.5">
      <c r="A4794" s="186">
        <v>46177</v>
      </c>
      <c r="B4794" s="184">
        <v>7002767623</v>
      </c>
      <c r="C4794" s="184">
        <v>1</v>
      </c>
      <c r="D4794" s="184" t="s">
        <v>762</v>
      </c>
    </row>
    <row r="4795" spans="1:4" ht="12.5">
      <c r="A4795" s="186">
        <v>46177</v>
      </c>
      <c r="B4795" s="184">
        <v>7002767859</v>
      </c>
      <c r="C4795" s="184">
        <v>22</v>
      </c>
      <c r="D4795" s="184" t="s">
        <v>752</v>
      </c>
    </row>
    <row r="4796" spans="1:4" ht="12.5">
      <c r="A4796" s="186">
        <v>46177</v>
      </c>
      <c r="B4796" s="184">
        <v>7002767885</v>
      </c>
      <c r="C4796" s="184">
        <v>9</v>
      </c>
      <c r="D4796" s="184" t="s">
        <v>758</v>
      </c>
    </row>
    <row r="4797" spans="1:4" ht="12.5">
      <c r="A4797" s="186">
        <v>46177</v>
      </c>
      <c r="B4797" s="184">
        <v>7002767943</v>
      </c>
      <c r="C4797" s="184">
        <v>3</v>
      </c>
      <c r="D4797" s="184" t="s">
        <v>751</v>
      </c>
    </row>
    <row r="4798" spans="1:4" ht="12.5">
      <c r="A4798" s="186">
        <v>46177</v>
      </c>
      <c r="B4798" s="184">
        <v>7002767962</v>
      </c>
      <c r="C4798" s="184">
        <v>5</v>
      </c>
      <c r="D4798" s="184" t="s">
        <v>751</v>
      </c>
    </row>
    <row r="4799" spans="1:4" ht="12.5">
      <c r="A4799" s="186">
        <v>46177</v>
      </c>
      <c r="B4799" s="184">
        <v>7002769620</v>
      </c>
      <c r="C4799" s="184">
        <v>14</v>
      </c>
      <c r="D4799" s="184" t="s">
        <v>752</v>
      </c>
    </row>
    <row r="4800" spans="1:4" ht="12.5">
      <c r="A4800" s="186">
        <v>46177</v>
      </c>
      <c r="B4800" s="184">
        <v>7002769940</v>
      </c>
      <c r="C4800" s="184">
        <v>5</v>
      </c>
      <c r="D4800" s="184" t="s">
        <v>751</v>
      </c>
    </row>
    <row r="4801" spans="1:4" ht="12.5">
      <c r="A4801" s="186">
        <v>46177</v>
      </c>
      <c r="B4801" s="184">
        <v>7002775175</v>
      </c>
      <c r="C4801" s="184">
        <v>55</v>
      </c>
      <c r="D4801" s="184" t="s">
        <v>752</v>
      </c>
    </row>
    <row r="4802" spans="1:4" ht="12.5">
      <c r="A4802" s="186">
        <v>46177</v>
      </c>
      <c r="B4802" s="184">
        <v>7002775716</v>
      </c>
      <c r="C4802" s="184">
        <v>18</v>
      </c>
      <c r="D4802" s="184" t="s">
        <v>752</v>
      </c>
    </row>
    <row r="4803" spans="1:4" ht="12.5">
      <c r="A4803" s="186">
        <v>46177</v>
      </c>
      <c r="B4803" s="184">
        <v>7002776085</v>
      </c>
      <c r="C4803" s="184">
        <v>2</v>
      </c>
      <c r="D4803" s="184" t="s">
        <v>751</v>
      </c>
    </row>
    <row r="4804" spans="1:4" ht="12.5">
      <c r="A4804" s="186">
        <v>46177</v>
      </c>
      <c r="B4804" s="184">
        <v>7002776148</v>
      </c>
      <c r="C4804" s="184">
        <v>2</v>
      </c>
      <c r="D4804" s="184" t="s">
        <v>751</v>
      </c>
    </row>
    <row r="4805" spans="1:4" ht="12.5">
      <c r="A4805" s="186">
        <v>46177</v>
      </c>
      <c r="B4805" s="184">
        <v>7002777040</v>
      </c>
      <c r="C4805" s="184">
        <v>7</v>
      </c>
      <c r="D4805" s="184" t="s">
        <v>758</v>
      </c>
    </row>
    <row r="4806" spans="1:4" ht="12.5">
      <c r="A4806" s="186">
        <v>46177</v>
      </c>
      <c r="B4806" s="184">
        <v>7002777516</v>
      </c>
      <c r="C4806" s="184">
        <v>1</v>
      </c>
      <c r="D4806" s="184" t="s">
        <v>762</v>
      </c>
    </row>
    <row r="4807" spans="1:4" ht="12.5">
      <c r="A4807" s="186">
        <v>46177</v>
      </c>
      <c r="B4807" s="184">
        <v>7002779133</v>
      </c>
      <c r="C4807" s="184">
        <v>3</v>
      </c>
      <c r="D4807" s="184" t="s">
        <v>751</v>
      </c>
    </row>
    <row r="4808" spans="1:4" ht="12.5">
      <c r="A4808" s="186">
        <v>46177</v>
      </c>
      <c r="B4808" s="184">
        <v>7002779180</v>
      </c>
      <c r="C4808" s="184">
        <v>28</v>
      </c>
      <c r="D4808" s="184" t="s">
        <v>752</v>
      </c>
    </row>
    <row r="4809" spans="1:4" ht="12.5">
      <c r="A4809" s="186">
        <v>46177</v>
      </c>
      <c r="B4809" s="184">
        <v>7002782467</v>
      </c>
      <c r="C4809" s="184">
        <v>15</v>
      </c>
      <c r="D4809" s="184" t="s">
        <v>752</v>
      </c>
    </row>
    <row r="4810" spans="1:4" ht="12.5">
      <c r="A4810" s="186">
        <v>46177</v>
      </c>
      <c r="B4810" s="184">
        <v>7002782865</v>
      </c>
      <c r="C4810" s="184">
        <v>10</v>
      </c>
      <c r="D4810" s="184" t="s">
        <v>758</v>
      </c>
    </row>
    <row r="4811" spans="1:4" ht="12.5">
      <c r="A4811" s="186">
        <v>46177</v>
      </c>
      <c r="B4811" s="184">
        <v>7002783003</v>
      </c>
      <c r="C4811" s="184">
        <v>12</v>
      </c>
      <c r="D4811" s="184" t="s">
        <v>752</v>
      </c>
    </row>
    <row r="4812" spans="1:4" ht="12.5">
      <c r="A4812" s="186">
        <v>46177</v>
      </c>
      <c r="B4812" s="184">
        <v>7002783518</v>
      </c>
      <c r="C4812" s="184">
        <v>3</v>
      </c>
      <c r="D4812" s="184" t="s">
        <v>751</v>
      </c>
    </row>
    <row r="4813" spans="1:4" ht="12.5">
      <c r="A4813" s="186">
        <v>46177</v>
      </c>
      <c r="B4813" s="184">
        <v>7002784982</v>
      </c>
      <c r="C4813" s="184">
        <v>1</v>
      </c>
      <c r="D4813" s="184" t="s">
        <v>762</v>
      </c>
    </row>
    <row r="4814" spans="1:4" ht="12.5">
      <c r="A4814" s="186">
        <v>46177</v>
      </c>
      <c r="B4814" s="184">
        <v>7002785369</v>
      </c>
      <c r="C4814" s="184">
        <v>1</v>
      </c>
      <c r="D4814" s="184" t="s">
        <v>762</v>
      </c>
    </row>
    <row r="4815" spans="1:4" ht="12.5">
      <c r="A4815" s="186">
        <v>46177</v>
      </c>
      <c r="B4815" s="184">
        <v>7002785419</v>
      </c>
      <c r="C4815" s="184">
        <v>1</v>
      </c>
      <c r="D4815" s="184" t="s">
        <v>762</v>
      </c>
    </row>
    <row r="4816" spans="1:4" ht="12.5">
      <c r="A4816" s="186">
        <v>46177</v>
      </c>
      <c r="B4816" s="184">
        <v>7002785490</v>
      </c>
      <c r="C4816" s="184">
        <v>4</v>
      </c>
      <c r="D4816" s="184" t="s">
        <v>751</v>
      </c>
    </row>
    <row r="4817" spans="1:4" ht="12.5">
      <c r="A4817" s="186">
        <v>46177</v>
      </c>
      <c r="B4817" s="184">
        <v>7002786188</v>
      </c>
      <c r="C4817" s="184">
        <v>1</v>
      </c>
      <c r="D4817" s="184" t="s">
        <v>762</v>
      </c>
    </row>
    <row r="4818" spans="1:4" ht="12.5">
      <c r="A4818" s="186">
        <v>46177</v>
      </c>
      <c r="B4818" s="184">
        <v>7002788007</v>
      </c>
      <c r="C4818" s="184">
        <v>1</v>
      </c>
      <c r="D4818" s="184" t="s">
        <v>762</v>
      </c>
    </row>
    <row r="4819" spans="1:4" ht="12.5">
      <c r="A4819" s="186">
        <v>46177</v>
      </c>
      <c r="B4819" s="184">
        <v>7002791330</v>
      </c>
      <c r="C4819" s="184">
        <v>63</v>
      </c>
      <c r="D4819" s="184" t="s">
        <v>752</v>
      </c>
    </row>
    <row r="4820" spans="1:4" ht="12.5">
      <c r="A4820" s="186">
        <v>46177</v>
      </c>
      <c r="B4820" s="184">
        <v>7002791369</v>
      </c>
      <c r="C4820" s="184">
        <v>1</v>
      </c>
      <c r="D4820" s="184" t="s">
        <v>762</v>
      </c>
    </row>
    <row r="4821" spans="1:4" ht="12.5">
      <c r="A4821" s="186">
        <v>46177</v>
      </c>
      <c r="B4821" s="184">
        <v>7002791382</v>
      </c>
      <c r="C4821" s="184">
        <v>1</v>
      </c>
      <c r="D4821" s="184" t="s">
        <v>762</v>
      </c>
    </row>
    <row r="4822" spans="1:4" ht="12.5">
      <c r="A4822" s="186">
        <v>46177</v>
      </c>
      <c r="B4822" s="184">
        <v>7002792334</v>
      </c>
      <c r="C4822" s="184">
        <v>1</v>
      </c>
      <c r="D4822" s="184" t="s">
        <v>762</v>
      </c>
    </row>
    <row r="4823" spans="1:4" ht="12.5">
      <c r="A4823" s="186">
        <v>46177</v>
      </c>
      <c r="B4823" s="184">
        <v>7002793333</v>
      </c>
      <c r="C4823" s="184">
        <v>3</v>
      </c>
      <c r="D4823" s="184" t="s">
        <v>751</v>
      </c>
    </row>
    <row r="4824" spans="1:4" ht="12.5">
      <c r="A4824" s="186">
        <v>46177</v>
      </c>
      <c r="B4824" s="184">
        <v>7002793380</v>
      </c>
      <c r="C4824" s="184">
        <v>1</v>
      </c>
      <c r="D4824" s="184" t="s">
        <v>762</v>
      </c>
    </row>
    <row r="4825" spans="1:4" ht="12.5">
      <c r="A4825" s="186">
        <v>46177</v>
      </c>
      <c r="B4825" s="184">
        <v>7002794006</v>
      </c>
      <c r="C4825" s="184">
        <v>1</v>
      </c>
      <c r="D4825" s="184" t="s">
        <v>762</v>
      </c>
    </row>
    <row r="4826" spans="1:4" ht="12.5">
      <c r="A4826" s="186">
        <v>46177</v>
      </c>
      <c r="B4826" s="184">
        <v>7002794366</v>
      </c>
      <c r="C4826" s="184">
        <v>1</v>
      </c>
      <c r="D4826" s="184" t="s">
        <v>762</v>
      </c>
    </row>
    <row r="4827" spans="1:4" ht="12.5">
      <c r="A4827" s="186">
        <v>46177</v>
      </c>
      <c r="B4827" s="184">
        <v>7002794384</v>
      </c>
      <c r="C4827" s="184">
        <v>1</v>
      </c>
      <c r="D4827" s="184" t="s">
        <v>762</v>
      </c>
    </row>
    <row r="4828" spans="1:4" ht="12.5">
      <c r="A4828" s="186">
        <v>46177</v>
      </c>
      <c r="B4828" s="184">
        <v>7002794444</v>
      </c>
      <c r="C4828" s="184">
        <v>2</v>
      </c>
      <c r="D4828" s="184" t="s">
        <v>751</v>
      </c>
    </row>
    <row r="4829" spans="1:4" ht="12.5">
      <c r="A4829" s="186">
        <v>46177</v>
      </c>
      <c r="B4829" s="184">
        <v>7002795339</v>
      </c>
      <c r="C4829" s="184">
        <v>6</v>
      </c>
      <c r="D4829" s="184" t="s">
        <v>758</v>
      </c>
    </row>
    <row r="4830" spans="1:4" ht="12.5">
      <c r="A4830" s="186">
        <v>46177</v>
      </c>
      <c r="B4830" s="184">
        <v>7002795373</v>
      </c>
      <c r="C4830" s="184">
        <v>2</v>
      </c>
      <c r="D4830" s="184" t="s">
        <v>751</v>
      </c>
    </row>
    <row r="4831" spans="1:4" ht="12.5">
      <c r="A4831" s="186">
        <v>46177</v>
      </c>
      <c r="B4831" s="184">
        <v>7002805458</v>
      </c>
      <c r="C4831" s="184">
        <v>9</v>
      </c>
      <c r="D4831" s="184" t="s">
        <v>758</v>
      </c>
    </row>
    <row r="4832" spans="1:4" ht="12.5">
      <c r="A4832" s="191"/>
      <c r="B4832" s="192"/>
      <c r="C4832" s="192"/>
      <c r="D4832" s="192"/>
    </row>
    <row r="4833" spans="1:4" ht="12.5">
      <c r="A4833" s="186">
        <v>46178</v>
      </c>
      <c r="B4833" s="184">
        <v>7001727096</v>
      </c>
      <c r="C4833" s="184">
        <v>2</v>
      </c>
      <c r="D4833" s="184" t="s">
        <v>751</v>
      </c>
    </row>
    <row r="4834" spans="1:4" ht="12.5">
      <c r="A4834" s="186">
        <v>46178</v>
      </c>
      <c r="B4834" s="184">
        <v>7002450281</v>
      </c>
      <c r="C4834" s="184">
        <v>1</v>
      </c>
      <c r="D4834" s="184" t="s">
        <v>762</v>
      </c>
    </row>
    <row r="4835" spans="1:4" ht="12.5">
      <c r="A4835" s="186">
        <v>46178</v>
      </c>
      <c r="B4835" s="184">
        <v>7002513445</v>
      </c>
      <c r="C4835" s="184">
        <v>4</v>
      </c>
      <c r="D4835" s="184" t="s">
        <v>751</v>
      </c>
    </row>
    <row r="4836" spans="1:4" ht="12.5">
      <c r="A4836" s="186">
        <v>46178</v>
      </c>
      <c r="B4836" s="184">
        <v>7002608337</v>
      </c>
      <c r="C4836" s="184">
        <v>3</v>
      </c>
      <c r="D4836" s="184" t="s">
        <v>751</v>
      </c>
    </row>
    <row r="4837" spans="1:4" ht="12.5">
      <c r="A4837" s="186">
        <v>46178</v>
      </c>
      <c r="B4837" s="184">
        <v>7002623863</v>
      </c>
      <c r="C4837" s="184">
        <v>3</v>
      </c>
      <c r="D4837" s="184" t="s">
        <v>751</v>
      </c>
    </row>
    <row r="4838" spans="1:4" ht="12.5">
      <c r="A4838" s="186">
        <v>46178</v>
      </c>
      <c r="B4838" s="184">
        <v>7002630541</v>
      </c>
      <c r="C4838" s="184">
        <v>1</v>
      </c>
      <c r="D4838" s="184" t="s">
        <v>762</v>
      </c>
    </row>
    <row r="4839" spans="1:4" ht="12.5">
      <c r="A4839" s="186">
        <v>46178</v>
      </c>
      <c r="B4839" s="184">
        <v>7002630807</v>
      </c>
      <c r="C4839" s="184">
        <v>6</v>
      </c>
      <c r="D4839" s="184" t="s">
        <v>758</v>
      </c>
    </row>
    <row r="4840" spans="1:4" ht="12.5">
      <c r="A4840" s="186">
        <v>46178</v>
      </c>
      <c r="B4840" s="184">
        <v>7002630876</v>
      </c>
      <c r="C4840" s="184">
        <v>7</v>
      </c>
      <c r="D4840" s="184" t="s">
        <v>758</v>
      </c>
    </row>
    <row r="4841" spans="1:4" ht="12.5">
      <c r="A4841" s="186">
        <v>46178</v>
      </c>
      <c r="B4841" s="184">
        <v>7002631336</v>
      </c>
      <c r="C4841" s="184">
        <v>10</v>
      </c>
      <c r="D4841" s="184" t="s">
        <v>758</v>
      </c>
    </row>
    <row r="4842" spans="1:4" ht="12.5">
      <c r="A4842" s="186">
        <v>46178</v>
      </c>
      <c r="B4842" s="184">
        <v>7002632335</v>
      </c>
      <c r="C4842" s="184">
        <v>3</v>
      </c>
      <c r="D4842" s="184" t="s">
        <v>751</v>
      </c>
    </row>
    <row r="4843" spans="1:4" ht="12.5">
      <c r="A4843" s="186">
        <v>46178</v>
      </c>
      <c r="B4843" s="184">
        <v>7002633562</v>
      </c>
      <c r="C4843" s="184">
        <v>3</v>
      </c>
      <c r="D4843" s="184" t="s">
        <v>751</v>
      </c>
    </row>
    <row r="4844" spans="1:4" ht="12.5">
      <c r="A4844" s="186">
        <v>46178</v>
      </c>
      <c r="B4844" s="184">
        <v>7002633967</v>
      </c>
      <c r="C4844" s="184">
        <v>2</v>
      </c>
      <c r="D4844" s="184" t="s">
        <v>751</v>
      </c>
    </row>
    <row r="4845" spans="1:4" ht="12.5">
      <c r="A4845" s="186">
        <v>46178</v>
      </c>
      <c r="B4845" s="184">
        <v>7002635781</v>
      </c>
      <c r="C4845" s="184">
        <v>6</v>
      </c>
      <c r="D4845" s="184" t="s">
        <v>758</v>
      </c>
    </row>
    <row r="4846" spans="1:4" ht="12.5">
      <c r="A4846" s="186">
        <v>46178</v>
      </c>
      <c r="B4846" s="184">
        <v>7002636815</v>
      </c>
      <c r="C4846" s="184">
        <v>6</v>
      </c>
      <c r="D4846" s="184" t="s">
        <v>758</v>
      </c>
    </row>
    <row r="4847" spans="1:4" ht="12.5">
      <c r="A4847" s="186">
        <v>46178</v>
      </c>
      <c r="B4847" s="184">
        <v>7002637777</v>
      </c>
      <c r="C4847" s="184">
        <v>5</v>
      </c>
      <c r="D4847" s="184" t="s">
        <v>751</v>
      </c>
    </row>
    <row r="4848" spans="1:4" ht="12.5">
      <c r="A4848" s="186">
        <v>46178</v>
      </c>
      <c r="B4848" s="184">
        <v>7002638287</v>
      </c>
      <c r="C4848" s="184">
        <v>2</v>
      </c>
      <c r="D4848" s="184" t="s">
        <v>751</v>
      </c>
    </row>
    <row r="4849" spans="1:4" ht="12.5">
      <c r="A4849" s="186">
        <v>46178</v>
      </c>
      <c r="B4849" s="184">
        <v>7002638568</v>
      </c>
      <c r="C4849" s="184">
        <v>2</v>
      </c>
      <c r="D4849" s="184" t="s">
        <v>751</v>
      </c>
    </row>
    <row r="4850" spans="1:4" ht="12.5">
      <c r="A4850" s="186">
        <v>46178</v>
      </c>
      <c r="B4850" s="184">
        <v>7002638778</v>
      </c>
      <c r="C4850" s="184">
        <v>6</v>
      </c>
      <c r="D4850" s="184" t="s">
        <v>758</v>
      </c>
    </row>
    <row r="4851" spans="1:4" ht="12.5">
      <c r="A4851" s="186">
        <v>46178</v>
      </c>
      <c r="B4851" s="184">
        <v>7002638817</v>
      </c>
      <c r="C4851" s="184">
        <v>5</v>
      </c>
      <c r="D4851" s="184" t="s">
        <v>751</v>
      </c>
    </row>
    <row r="4852" spans="1:4" ht="12.5">
      <c r="A4852" s="186">
        <v>46178</v>
      </c>
      <c r="B4852" s="184">
        <v>7002639582</v>
      </c>
      <c r="C4852" s="184">
        <v>2</v>
      </c>
      <c r="D4852" s="184" t="s">
        <v>751</v>
      </c>
    </row>
    <row r="4853" spans="1:4" ht="12.5">
      <c r="A4853" s="186">
        <v>46178</v>
      </c>
      <c r="B4853" s="184">
        <v>7002639802</v>
      </c>
      <c r="C4853" s="184">
        <v>6</v>
      </c>
      <c r="D4853" s="184" t="s">
        <v>758</v>
      </c>
    </row>
    <row r="4854" spans="1:4" ht="12.5">
      <c r="A4854" s="186">
        <v>46178</v>
      </c>
      <c r="B4854" s="184">
        <v>7002639964</v>
      </c>
      <c r="C4854" s="184">
        <v>2</v>
      </c>
      <c r="D4854" s="184" t="s">
        <v>751</v>
      </c>
    </row>
    <row r="4855" spans="1:4" ht="12.5">
      <c r="A4855" s="186">
        <v>46178</v>
      </c>
      <c r="B4855" s="184">
        <v>7002640016</v>
      </c>
      <c r="C4855" s="184">
        <v>7</v>
      </c>
      <c r="D4855" s="184" t="s">
        <v>758</v>
      </c>
    </row>
    <row r="4856" spans="1:4" ht="12.5">
      <c r="A4856" s="186">
        <v>46178</v>
      </c>
      <c r="B4856" s="184">
        <v>7002640124</v>
      </c>
      <c r="C4856" s="184">
        <v>2</v>
      </c>
      <c r="D4856" s="184" t="s">
        <v>751</v>
      </c>
    </row>
    <row r="4857" spans="1:4" ht="12.5">
      <c r="A4857" s="186">
        <v>46178</v>
      </c>
      <c r="B4857" s="184">
        <v>7002640674</v>
      </c>
      <c r="C4857" s="184">
        <v>1</v>
      </c>
      <c r="D4857" s="184" t="s">
        <v>762</v>
      </c>
    </row>
    <row r="4858" spans="1:4" ht="12.5">
      <c r="A4858" s="186">
        <v>46178</v>
      </c>
      <c r="B4858" s="184">
        <v>7002642736</v>
      </c>
      <c r="C4858" s="184">
        <v>1</v>
      </c>
      <c r="D4858" s="184" t="s">
        <v>762</v>
      </c>
    </row>
    <row r="4859" spans="1:4" ht="12.5">
      <c r="A4859" s="186">
        <v>46178</v>
      </c>
      <c r="B4859" s="184">
        <v>7002643823</v>
      </c>
      <c r="C4859" s="184">
        <v>3</v>
      </c>
      <c r="D4859" s="184" t="s">
        <v>751</v>
      </c>
    </row>
    <row r="4860" spans="1:4" ht="12.5">
      <c r="A4860" s="186">
        <v>46178</v>
      </c>
      <c r="B4860" s="184">
        <v>7002643924</v>
      </c>
      <c r="C4860" s="184">
        <v>1</v>
      </c>
      <c r="D4860" s="184" t="s">
        <v>762</v>
      </c>
    </row>
    <row r="4861" spans="1:4" ht="12.5">
      <c r="A4861" s="186">
        <v>46178</v>
      </c>
      <c r="B4861" s="184">
        <v>7002644500</v>
      </c>
      <c r="C4861" s="184">
        <v>5</v>
      </c>
      <c r="D4861" s="184" t="s">
        <v>751</v>
      </c>
    </row>
    <row r="4862" spans="1:4" ht="12.5">
      <c r="A4862" s="186">
        <v>46178</v>
      </c>
      <c r="B4862" s="184">
        <v>7002645103</v>
      </c>
      <c r="C4862" s="184">
        <v>4</v>
      </c>
      <c r="D4862" s="184" t="s">
        <v>751</v>
      </c>
    </row>
    <row r="4863" spans="1:4" ht="12.5">
      <c r="A4863" s="186">
        <v>46178</v>
      </c>
      <c r="B4863" s="184">
        <v>7002646290</v>
      </c>
      <c r="C4863" s="184">
        <v>2</v>
      </c>
      <c r="D4863" s="184" t="s">
        <v>751</v>
      </c>
    </row>
    <row r="4864" spans="1:4" ht="12.5">
      <c r="A4864" s="186">
        <v>46178</v>
      </c>
      <c r="B4864" s="184">
        <v>7002646459</v>
      </c>
      <c r="C4864" s="184">
        <v>10</v>
      </c>
      <c r="D4864" s="184" t="s">
        <v>758</v>
      </c>
    </row>
    <row r="4865" spans="1:4" ht="12.5">
      <c r="A4865" s="186">
        <v>46178</v>
      </c>
      <c r="B4865" s="184">
        <v>7002647100</v>
      </c>
      <c r="C4865" s="184">
        <v>6</v>
      </c>
      <c r="D4865" s="184" t="s">
        <v>758</v>
      </c>
    </row>
    <row r="4866" spans="1:4" ht="12.5">
      <c r="A4866" s="186">
        <v>46178</v>
      </c>
      <c r="B4866" s="184">
        <v>7002647289</v>
      </c>
      <c r="C4866" s="184">
        <v>1</v>
      </c>
      <c r="D4866" s="184" t="s">
        <v>762</v>
      </c>
    </row>
    <row r="4867" spans="1:4" ht="12.5">
      <c r="A4867" s="186">
        <v>46178</v>
      </c>
      <c r="B4867" s="184">
        <v>7002647861</v>
      </c>
      <c r="C4867" s="184">
        <v>4</v>
      </c>
      <c r="D4867" s="184" t="s">
        <v>751</v>
      </c>
    </row>
    <row r="4868" spans="1:4" ht="12.5">
      <c r="A4868" s="186">
        <v>46178</v>
      </c>
      <c r="B4868" s="184">
        <v>7002648368</v>
      </c>
      <c r="C4868" s="184">
        <v>1</v>
      </c>
      <c r="D4868" s="184" t="s">
        <v>762</v>
      </c>
    </row>
    <row r="4869" spans="1:4" ht="12.5">
      <c r="A4869" s="186">
        <v>46178</v>
      </c>
      <c r="B4869" s="184">
        <v>7002650075</v>
      </c>
      <c r="C4869" s="184">
        <v>4</v>
      </c>
      <c r="D4869" s="184" t="s">
        <v>751</v>
      </c>
    </row>
    <row r="4870" spans="1:4" ht="12.5">
      <c r="A4870" s="186">
        <v>46178</v>
      </c>
      <c r="B4870" s="184">
        <v>7002650437</v>
      </c>
      <c r="C4870" s="184">
        <v>5</v>
      </c>
      <c r="D4870" s="184" t="s">
        <v>751</v>
      </c>
    </row>
    <row r="4871" spans="1:4" ht="12.5">
      <c r="A4871" s="186">
        <v>46178</v>
      </c>
      <c r="B4871" s="184">
        <v>7002650917</v>
      </c>
      <c r="C4871" s="184">
        <v>4</v>
      </c>
      <c r="D4871" s="184" t="s">
        <v>751</v>
      </c>
    </row>
    <row r="4872" spans="1:4" ht="12.5">
      <c r="A4872" s="186">
        <v>46178</v>
      </c>
      <c r="B4872" s="184">
        <v>7002651080</v>
      </c>
      <c r="C4872" s="184">
        <v>2</v>
      </c>
      <c r="D4872" s="184" t="s">
        <v>751</v>
      </c>
    </row>
    <row r="4873" spans="1:4" ht="12.5">
      <c r="A4873" s="186">
        <v>46178</v>
      </c>
      <c r="B4873" s="184">
        <v>7002651840</v>
      </c>
      <c r="C4873" s="184">
        <v>12</v>
      </c>
      <c r="D4873" s="184" t="s">
        <v>752</v>
      </c>
    </row>
    <row r="4874" spans="1:4" ht="12.5">
      <c r="A4874" s="186">
        <v>46178</v>
      </c>
      <c r="B4874" s="184">
        <v>7002652505</v>
      </c>
      <c r="C4874" s="184">
        <v>5</v>
      </c>
      <c r="D4874" s="184" t="s">
        <v>751</v>
      </c>
    </row>
    <row r="4875" spans="1:4" ht="12.5">
      <c r="A4875" s="186">
        <v>46178</v>
      </c>
      <c r="B4875" s="184">
        <v>7002652754</v>
      </c>
      <c r="C4875" s="184">
        <v>5</v>
      </c>
      <c r="D4875" s="184" t="s">
        <v>751</v>
      </c>
    </row>
    <row r="4876" spans="1:4" ht="12.5">
      <c r="A4876" s="186">
        <v>46178</v>
      </c>
      <c r="B4876" s="184">
        <v>7002653271</v>
      </c>
      <c r="C4876" s="184">
        <v>1</v>
      </c>
      <c r="D4876" s="184" t="s">
        <v>762</v>
      </c>
    </row>
    <row r="4877" spans="1:4" ht="12.5">
      <c r="A4877" s="186">
        <v>46178</v>
      </c>
      <c r="B4877" s="184">
        <v>7002653988</v>
      </c>
      <c r="C4877" s="184">
        <v>4</v>
      </c>
      <c r="D4877" s="184" t="s">
        <v>751</v>
      </c>
    </row>
    <row r="4878" spans="1:4" ht="12.5">
      <c r="A4878" s="186">
        <v>46178</v>
      </c>
      <c r="B4878" s="184">
        <v>7002654322</v>
      </c>
      <c r="C4878" s="184">
        <v>1</v>
      </c>
      <c r="D4878" s="184" t="s">
        <v>762</v>
      </c>
    </row>
    <row r="4879" spans="1:4" ht="12.5">
      <c r="A4879" s="186">
        <v>46178</v>
      </c>
      <c r="B4879" s="184">
        <v>7002654346</v>
      </c>
      <c r="C4879" s="184">
        <v>11</v>
      </c>
      <c r="D4879" s="184" t="s">
        <v>752</v>
      </c>
    </row>
    <row r="4880" spans="1:4" ht="12.5">
      <c r="A4880" s="186">
        <v>46178</v>
      </c>
      <c r="B4880" s="184">
        <v>7002655338</v>
      </c>
      <c r="C4880" s="184">
        <v>1</v>
      </c>
      <c r="D4880" s="184" t="s">
        <v>762</v>
      </c>
    </row>
    <row r="4881" spans="1:4" ht="12.5">
      <c r="A4881" s="186">
        <v>46178</v>
      </c>
      <c r="B4881" s="184">
        <v>7002655340</v>
      </c>
      <c r="C4881" s="184">
        <v>3</v>
      </c>
      <c r="D4881" s="184" t="s">
        <v>751</v>
      </c>
    </row>
    <row r="4882" spans="1:4" ht="12.5">
      <c r="A4882" s="186">
        <v>46178</v>
      </c>
      <c r="B4882" s="184">
        <v>7002655467</v>
      </c>
      <c r="C4882" s="184">
        <v>12</v>
      </c>
      <c r="D4882" s="184" t="s">
        <v>752</v>
      </c>
    </row>
    <row r="4883" spans="1:4" ht="12.5">
      <c r="A4883" s="186">
        <v>46178</v>
      </c>
      <c r="B4883" s="184">
        <v>7002655896</v>
      </c>
      <c r="C4883" s="184">
        <v>13</v>
      </c>
      <c r="D4883" s="184" t="s">
        <v>752</v>
      </c>
    </row>
    <row r="4884" spans="1:4" ht="12.5">
      <c r="A4884" s="186">
        <v>46178</v>
      </c>
      <c r="B4884" s="184">
        <v>7002656176</v>
      </c>
      <c r="C4884" s="184">
        <v>12</v>
      </c>
      <c r="D4884" s="184" t="s">
        <v>752</v>
      </c>
    </row>
    <row r="4885" spans="1:4" ht="12.5">
      <c r="A4885" s="186">
        <v>46178</v>
      </c>
      <c r="B4885" s="184">
        <v>7002656254</v>
      </c>
      <c r="C4885" s="184">
        <v>20</v>
      </c>
      <c r="D4885" s="184" t="s">
        <v>752</v>
      </c>
    </row>
    <row r="4886" spans="1:4" ht="12.5">
      <c r="A4886" s="186">
        <v>46178</v>
      </c>
      <c r="B4886" s="184">
        <v>7002656423</v>
      </c>
      <c r="C4886" s="184">
        <v>12</v>
      </c>
      <c r="D4886" s="184" t="s">
        <v>752</v>
      </c>
    </row>
    <row r="4887" spans="1:4" ht="12.5">
      <c r="A4887" s="186">
        <v>46178</v>
      </c>
      <c r="B4887" s="184">
        <v>7002656434</v>
      </c>
      <c r="C4887" s="184">
        <v>1</v>
      </c>
      <c r="D4887" s="184" t="s">
        <v>762</v>
      </c>
    </row>
    <row r="4888" spans="1:4" ht="12.5">
      <c r="A4888" s="186">
        <v>46178</v>
      </c>
      <c r="B4888" s="184">
        <v>7002656619</v>
      </c>
      <c r="C4888" s="184">
        <v>8</v>
      </c>
      <c r="D4888" s="184" t="s">
        <v>758</v>
      </c>
    </row>
    <row r="4889" spans="1:4" ht="12.5">
      <c r="A4889" s="186">
        <v>46178</v>
      </c>
      <c r="B4889" s="184">
        <v>7002657430</v>
      </c>
      <c r="C4889" s="184">
        <v>8</v>
      </c>
      <c r="D4889" s="184" t="s">
        <v>758</v>
      </c>
    </row>
    <row r="4890" spans="1:4" ht="12.5">
      <c r="A4890" s="186">
        <v>46178</v>
      </c>
      <c r="B4890" s="184">
        <v>7002657934</v>
      </c>
      <c r="C4890" s="184">
        <v>2</v>
      </c>
      <c r="D4890" s="184" t="s">
        <v>751</v>
      </c>
    </row>
    <row r="4891" spans="1:4" ht="12.5">
      <c r="A4891" s="186">
        <v>46178</v>
      </c>
      <c r="B4891" s="184">
        <v>7002658496</v>
      </c>
      <c r="C4891" s="184">
        <v>2</v>
      </c>
      <c r="D4891" s="184" t="s">
        <v>751</v>
      </c>
    </row>
    <row r="4892" spans="1:4" ht="12.5">
      <c r="A4892" s="186">
        <v>46178</v>
      </c>
      <c r="B4892" s="184">
        <v>7002658703</v>
      </c>
      <c r="C4892" s="184">
        <v>6</v>
      </c>
      <c r="D4892" s="184" t="s">
        <v>758</v>
      </c>
    </row>
    <row r="4893" spans="1:4" ht="12.5">
      <c r="A4893" s="186">
        <v>46178</v>
      </c>
      <c r="B4893" s="184">
        <v>7002659466</v>
      </c>
      <c r="C4893" s="184">
        <v>2</v>
      </c>
      <c r="D4893" s="184" t="s">
        <v>751</v>
      </c>
    </row>
    <row r="4894" spans="1:4" ht="12.5">
      <c r="A4894" s="186">
        <v>46178</v>
      </c>
      <c r="B4894" s="184">
        <v>7002660592</v>
      </c>
      <c r="C4894" s="184">
        <v>1</v>
      </c>
      <c r="D4894" s="184" t="s">
        <v>762</v>
      </c>
    </row>
    <row r="4895" spans="1:4" ht="12.5">
      <c r="A4895" s="186">
        <v>46178</v>
      </c>
      <c r="B4895" s="184">
        <v>7002660604</v>
      </c>
      <c r="C4895" s="184">
        <v>1</v>
      </c>
      <c r="D4895" s="184" t="s">
        <v>762</v>
      </c>
    </row>
    <row r="4896" spans="1:4" ht="12.5">
      <c r="A4896" s="186">
        <v>46178</v>
      </c>
      <c r="B4896" s="184">
        <v>7002661148</v>
      </c>
      <c r="C4896" s="184">
        <v>1</v>
      </c>
      <c r="D4896" s="184" t="s">
        <v>762</v>
      </c>
    </row>
    <row r="4897" spans="1:4" ht="12.5">
      <c r="A4897" s="186">
        <v>46178</v>
      </c>
      <c r="B4897" s="184">
        <v>7002661356</v>
      </c>
      <c r="C4897" s="184">
        <v>2</v>
      </c>
      <c r="D4897" s="184" t="s">
        <v>751</v>
      </c>
    </row>
    <row r="4898" spans="1:4" ht="12.5">
      <c r="A4898" s="186">
        <v>46178</v>
      </c>
      <c r="B4898" s="184">
        <v>7002662248</v>
      </c>
      <c r="C4898" s="184">
        <v>4</v>
      </c>
      <c r="D4898" s="184" t="s">
        <v>751</v>
      </c>
    </row>
    <row r="4899" spans="1:4" ht="12.5">
      <c r="A4899" s="186">
        <v>46178</v>
      </c>
      <c r="B4899" s="184">
        <v>7002662372</v>
      </c>
      <c r="C4899" s="184">
        <v>1</v>
      </c>
      <c r="D4899" s="184" t="s">
        <v>762</v>
      </c>
    </row>
    <row r="4900" spans="1:4" ht="12.5">
      <c r="A4900" s="186">
        <v>46178</v>
      </c>
      <c r="B4900" s="184">
        <v>7002662812</v>
      </c>
      <c r="C4900" s="184">
        <v>24</v>
      </c>
      <c r="D4900" s="184" t="s">
        <v>752</v>
      </c>
    </row>
    <row r="4901" spans="1:4" ht="12.5">
      <c r="A4901" s="186">
        <v>46178</v>
      </c>
      <c r="B4901" s="184">
        <v>7002664389</v>
      </c>
      <c r="C4901" s="184">
        <v>17</v>
      </c>
      <c r="D4901" s="184" t="s">
        <v>752</v>
      </c>
    </row>
    <row r="4902" spans="1:4" ht="12.5">
      <c r="A4902" s="186">
        <v>46178</v>
      </c>
      <c r="B4902" s="184">
        <v>7002665032</v>
      </c>
      <c r="C4902" s="184">
        <v>4</v>
      </c>
      <c r="D4902" s="184" t="s">
        <v>751</v>
      </c>
    </row>
    <row r="4903" spans="1:4" ht="12.5">
      <c r="A4903" s="186">
        <v>46178</v>
      </c>
      <c r="B4903" s="184">
        <v>7002683017</v>
      </c>
      <c r="C4903" s="184">
        <v>1</v>
      </c>
      <c r="D4903" s="184" t="s">
        <v>762</v>
      </c>
    </row>
    <row r="4904" spans="1:4" ht="12.5">
      <c r="A4904" s="186">
        <v>46178</v>
      </c>
      <c r="B4904" s="184">
        <v>7002740995</v>
      </c>
      <c r="C4904" s="184">
        <v>13</v>
      </c>
      <c r="D4904" s="184" t="s">
        <v>752</v>
      </c>
    </row>
    <row r="4905" spans="1:4" ht="12.5">
      <c r="A4905" s="186">
        <v>46178</v>
      </c>
      <c r="B4905" s="184">
        <v>7002757091</v>
      </c>
      <c r="C4905" s="184">
        <v>1</v>
      </c>
      <c r="D4905" s="184" t="s">
        <v>762</v>
      </c>
    </row>
    <row r="4906" spans="1:4" ht="12.5">
      <c r="A4906" s="186">
        <v>46178</v>
      </c>
      <c r="B4906" s="184">
        <v>7002767989</v>
      </c>
      <c r="C4906" s="184">
        <v>2</v>
      </c>
      <c r="D4906" s="184" t="s">
        <v>751</v>
      </c>
    </row>
    <row r="4907" spans="1:4" ht="12.5">
      <c r="A4907" s="186">
        <v>46178</v>
      </c>
      <c r="B4907" s="184">
        <v>7002770006</v>
      </c>
      <c r="C4907" s="184">
        <v>3</v>
      </c>
      <c r="D4907" s="184" t="s">
        <v>751</v>
      </c>
    </row>
    <row r="4908" spans="1:4" ht="12.5">
      <c r="A4908" s="186">
        <v>46178</v>
      </c>
      <c r="B4908" s="184">
        <v>7002771404</v>
      </c>
      <c r="C4908" s="184">
        <v>4</v>
      </c>
      <c r="D4908" s="184" t="s">
        <v>751</v>
      </c>
    </row>
    <row r="4909" spans="1:4" ht="12.5">
      <c r="A4909" s="186">
        <v>46178</v>
      </c>
      <c r="B4909" s="184">
        <v>7002772013</v>
      </c>
      <c r="C4909" s="184">
        <v>10</v>
      </c>
      <c r="D4909" s="184" t="s">
        <v>758</v>
      </c>
    </row>
    <row r="4910" spans="1:4" ht="12.5">
      <c r="A4910" s="186">
        <v>46178</v>
      </c>
      <c r="B4910" s="184">
        <v>7002772050</v>
      </c>
      <c r="C4910" s="184">
        <v>7</v>
      </c>
      <c r="D4910" s="184" t="s">
        <v>758</v>
      </c>
    </row>
    <row r="4911" spans="1:4" ht="12.5">
      <c r="A4911" s="186">
        <v>46178</v>
      </c>
      <c r="B4911" s="184">
        <v>7002774440</v>
      </c>
      <c r="C4911" s="184">
        <v>3</v>
      </c>
      <c r="D4911" s="184" t="s">
        <v>751</v>
      </c>
    </row>
    <row r="4912" spans="1:4" ht="12.5">
      <c r="A4912" s="186">
        <v>46178</v>
      </c>
      <c r="B4912" s="184">
        <v>7002777108</v>
      </c>
      <c r="C4912" s="184">
        <v>8</v>
      </c>
      <c r="D4912" s="184" t="s">
        <v>758</v>
      </c>
    </row>
    <row r="4913" spans="1:4" ht="12.5">
      <c r="A4913" s="186">
        <v>46178</v>
      </c>
      <c r="B4913" s="184">
        <v>7002778094</v>
      </c>
      <c r="C4913" s="184">
        <v>3</v>
      </c>
      <c r="D4913" s="184" t="s">
        <v>751</v>
      </c>
    </row>
    <row r="4914" spans="1:4" ht="12.5">
      <c r="A4914" s="186">
        <v>46178</v>
      </c>
      <c r="B4914" s="184">
        <v>7002779090</v>
      </c>
      <c r="C4914" s="184">
        <v>3</v>
      </c>
      <c r="D4914" s="184" t="s">
        <v>751</v>
      </c>
    </row>
    <row r="4915" spans="1:4" ht="12.5">
      <c r="A4915" s="186">
        <v>46178</v>
      </c>
      <c r="B4915" s="184">
        <v>7002783299</v>
      </c>
      <c r="C4915" s="184">
        <v>1</v>
      </c>
      <c r="D4915" s="184" t="s">
        <v>762</v>
      </c>
    </row>
    <row r="4916" spans="1:4" ht="12.5">
      <c r="A4916" s="186">
        <v>46178</v>
      </c>
      <c r="B4916" s="184">
        <v>7002787136</v>
      </c>
      <c r="C4916" s="184">
        <v>7</v>
      </c>
      <c r="D4916" s="184" t="s">
        <v>758</v>
      </c>
    </row>
    <row r="4917" spans="1:4" ht="12.5">
      <c r="A4917" s="186">
        <v>46178</v>
      </c>
      <c r="B4917" s="184">
        <v>7002789186</v>
      </c>
      <c r="C4917" s="184">
        <v>4</v>
      </c>
      <c r="D4917" s="184" t="s">
        <v>751</v>
      </c>
    </row>
    <row r="4918" spans="1:4" ht="12.5">
      <c r="A4918" s="186">
        <v>46178</v>
      </c>
      <c r="B4918" s="184">
        <v>7002815995</v>
      </c>
      <c r="C4918" s="184">
        <v>50</v>
      </c>
      <c r="D4918" s="184" t="s">
        <v>752</v>
      </c>
    </row>
    <row r="4919" spans="1:4" ht="12.5">
      <c r="A4919" s="186">
        <v>46178</v>
      </c>
      <c r="B4919" s="184">
        <v>7002816573</v>
      </c>
      <c r="C4919" s="184">
        <v>2</v>
      </c>
      <c r="D4919" s="184" t="s">
        <v>751</v>
      </c>
    </row>
    <row r="4920" spans="1:4" ht="12.5">
      <c r="A4920" s="191"/>
      <c r="B4920" s="192"/>
      <c r="C4920" s="192"/>
      <c r="D4920" s="192"/>
    </row>
    <row r="4921" spans="1:4" ht="12.5">
      <c r="A4921" s="186">
        <v>46179</v>
      </c>
      <c r="B4921" s="14">
        <v>7002513445</v>
      </c>
      <c r="C4921" s="14">
        <v>4</v>
      </c>
      <c r="D4921" s="184" t="s">
        <v>751</v>
      </c>
    </row>
    <row r="4922" spans="1:4" ht="12.5">
      <c r="A4922" s="186">
        <v>46179</v>
      </c>
      <c r="B4922" s="14">
        <v>7002614478</v>
      </c>
      <c r="C4922" s="14">
        <v>60</v>
      </c>
      <c r="D4922" s="184" t="s">
        <v>752</v>
      </c>
    </row>
    <row r="4923" spans="1:4" ht="12.5">
      <c r="A4923" s="186">
        <v>46179</v>
      </c>
      <c r="B4923" s="14">
        <v>7002615550</v>
      </c>
      <c r="C4923" s="14">
        <v>64</v>
      </c>
      <c r="D4923" s="184" t="s">
        <v>752</v>
      </c>
    </row>
    <row r="4924" spans="1:4" ht="12.5">
      <c r="A4924" s="186">
        <v>46179</v>
      </c>
      <c r="B4924" s="14">
        <v>7002619493</v>
      </c>
      <c r="C4924" s="14">
        <v>60</v>
      </c>
      <c r="D4924" s="184" t="s">
        <v>752</v>
      </c>
    </row>
    <row r="4925" spans="1:4" ht="12.5">
      <c r="A4925" s="186">
        <v>46179</v>
      </c>
      <c r="B4925" s="14">
        <v>7002646290</v>
      </c>
      <c r="C4925" s="14">
        <v>2</v>
      </c>
      <c r="D4925" s="184" t="s">
        <v>751</v>
      </c>
    </row>
    <row r="4926" spans="1:4" ht="12.5">
      <c r="A4926" s="186">
        <v>46179</v>
      </c>
      <c r="B4926" s="14">
        <v>7002649488</v>
      </c>
      <c r="C4926" s="14">
        <v>7</v>
      </c>
      <c r="D4926" s="184" t="s">
        <v>758</v>
      </c>
    </row>
    <row r="4927" spans="1:4" ht="12.5">
      <c r="A4927" s="186">
        <v>46179</v>
      </c>
      <c r="B4927" s="14">
        <v>7002658336</v>
      </c>
      <c r="C4927" s="14">
        <v>18</v>
      </c>
      <c r="D4927" s="184" t="s">
        <v>752</v>
      </c>
    </row>
    <row r="4928" spans="1:4" ht="12.5">
      <c r="A4928" s="186">
        <v>46179</v>
      </c>
      <c r="B4928" s="14">
        <v>7002665353</v>
      </c>
      <c r="C4928" s="14">
        <v>3</v>
      </c>
      <c r="D4928" s="184" t="s">
        <v>751</v>
      </c>
    </row>
    <row r="4929" spans="1:4" ht="12.5">
      <c r="A4929" s="186">
        <v>46179</v>
      </c>
      <c r="B4929" s="14">
        <v>7002676586</v>
      </c>
      <c r="C4929" s="14">
        <v>6</v>
      </c>
      <c r="D4929" s="184" t="s">
        <v>758</v>
      </c>
    </row>
    <row r="4930" spans="1:4" ht="12.5">
      <c r="A4930" s="186">
        <v>46179</v>
      </c>
      <c r="B4930" s="14">
        <v>7002678639</v>
      </c>
      <c r="C4930" s="14">
        <v>24</v>
      </c>
      <c r="D4930" s="184" t="s">
        <v>752</v>
      </c>
    </row>
    <row r="4931" spans="1:4" ht="12.5">
      <c r="A4931" s="186">
        <v>46179</v>
      </c>
      <c r="B4931" s="14">
        <v>7002694970</v>
      </c>
      <c r="C4931" s="14">
        <v>45</v>
      </c>
      <c r="D4931" s="184" t="s">
        <v>752</v>
      </c>
    </row>
    <row r="4932" spans="1:4" ht="12.5">
      <c r="A4932" s="186">
        <v>46179</v>
      </c>
      <c r="B4932" s="14">
        <v>7002698967</v>
      </c>
      <c r="C4932" s="14">
        <v>1</v>
      </c>
      <c r="D4932" s="184" t="s">
        <v>762</v>
      </c>
    </row>
    <row r="4933" spans="1:4" ht="12.5">
      <c r="A4933" s="186">
        <v>46179</v>
      </c>
      <c r="B4933" s="14">
        <v>7002715894</v>
      </c>
      <c r="C4933" s="14">
        <v>42</v>
      </c>
      <c r="D4933" s="184" t="s">
        <v>752</v>
      </c>
    </row>
    <row r="4934" spans="1:4" ht="12.5">
      <c r="A4934" s="186">
        <v>46179</v>
      </c>
      <c r="B4934" s="14">
        <v>7002722697</v>
      </c>
      <c r="C4934" s="14">
        <v>1</v>
      </c>
      <c r="D4934" s="184" t="s">
        <v>762</v>
      </c>
    </row>
    <row r="4935" spans="1:4" ht="12.5">
      <c r="A4935" s="186">
        <v>46179</v>
      </c>
      <c r="B4935" s="14">
        <v>7002723463</v>
      </c>
      <c r="C4935" s="14">
        <v>6</v>
      </c>
      <c r="D4935" s="184" t="s">
        <v>758</v>
      </c>
    </row>
    <row r="4936" spans="1:4" ht="12.5">
      <c r="A4936" s="186">
        <v>46179</v>
      </c>
      <c r="B4936" s="14">
        <v>7002724713</v>
      </c>
      <c r="C4936" s="14">
        <v>10</v>
      </c>
      <c r="D4936" s="184" t="s">
        <v>758</v>
      </c>
    </row>
    <row r="4937" spans="1:4" ht="12.5">
      <c r="A4937" s="186">
        <v>46179</v>
      </c>
      <c r="B4937" s="14">
        <v>7002726790</v>
      </c>
      <c r="C4937" s="14">
        <v>1</v>
      </c>
      <c r="D4937" s="184" t="s">
        <v>762</v>
      </c>
    </row>
    <row r="4938" spans="1:4" ht="12.5">
      <c r="A4938" s="186">
        <v>46179</v>
      </c>
      <c r="B4938" s="14">
        <v>7002729642</v>
      </c>
      <c r="C4938" s="14">
        <v>68</v>
      </c>
      <c r="D4938" s="184" t="s">
        <v>752</v>
      </c>
    </row>
    <row r="4939" spans="1:4" ht="12.5">
      <c r="A4939" s="186">
        <v>46179</v>
      </c>
      <c r="B4939" s="14">
        <v>7002731106</v>
      </c>
      <c r="C4939" s="14">
        <v>17</v>
      </c>
      <c r="D4939" s="184" t="s">
        <v>752</v>
      </c>
    </row>
    <row r="4940" spans="1:4" ht="12.5">
      <c r="A4940" s="186">
        <v>46179</v>
      </c>
      <c r="B4940" s="14">
        <v>7002731134</v>
      </c>
      <c r="C4940" s="14">
        <v>3</v>
      </c>
      <c r="D4940" s="184" t="s">
        <v>751</v>
      </c>
    </row>
    <row r="4941" spans="1:4" ht="12.5">
      <c r="A4941" s="186">
        <v>46179</v>
      </c>
      <c r="B4941" s="14">
        <v>7002731199</v>
      </c>
      <c r="C4941" s="14">
        <v>4</v>
      </c>
      <c r="D4941" s="184" t="s">
        <v>751</v>
      </c>
    </row>
    <row r="4942" spans="1:4" ht="12.5">
      <c r="A4942" s="186">
        <v>46179</v>
      </c>
      <c r="B4942" s="14">
        <v>7002731451</v>
      </c>
      <c r="C4942" s="14">
        <v>1</v>
      </c>
      <c r="D4942" s="184" t="s">
        <v>762</v>
      </c>
    </row>
    <row r="4943" spans="1:4" ht="12.5">
      <c r="A4943" s="186">
        <v>46179</v>
      </c>
      <c r="B4943" s="14">
        <v>7002736313</v>
      </c>
      <c r="C4943" s="14">
        <v>5</v>
      </c>
      <c r="D4943" s="184" t="s">
        <v>751</v>
      </c>
    </row>
    <row r="4944" spans="1:4" ht="12.5">
      <c r="A4944" s="186">
        <v>46179</v>
      </c>
      <c r="B4944" s="14">
        <v>7002738334</v>
      </c>
      <c r="C4944" s="14">
        <v>1</v>
      </c>
      <c r="D4944" s="184" t="s">
        <v>762</v>
      </c>
    </row>
    <row r="4945" spans="1:4" ht="12.5">
      <c r="A4945" s="186">
        <v>46179</v>
      </c>
      <c r="B4945" s="14">
        <v>7002738513</v>
      </c>
      <c r="C4945" s="14">
        <v>4</v>
      </c>
      <c r="D4945" s="184" t="s">
        <v>751</v>
      </c>
    </row>
    <row r="4946" spans="1:4" ht="12.5">
      <c r="A4946" s="186">
        <v>46179</v>
      </c>
      <c r="B4946" s="14">
        <v>7002784976</v>
      </c>
      <c r="C4946" s="14">
        <v>2</v>
      </c>
      <c r="D4946" s="184" t="s">
        <v>751</v>
      </c>
    </row>
    <row r="4947" spans="1:4" ht="12.5">
      <c r="A4947" s="186">
        <v>46179</v>
      </c>
      <c r="B4947" s="14">
        <v>7002787576</v>
      </c>
      <c r="C4947" s="14">
        <v>4</v>
      </c>
      <c r="D4947" s="184" t="s">
        <v>751</v>
      </c>
    </row>
    <row r="4948" spans="1:4" ht="12.5">
      <c r="A4948" s="186">
        <v>46179</v>
      </c>
      <c r="B4948" s="14">
        <v>7002801089</v>
      </c>
      <c r="C4948" s="14">
        <v>1</v>
      </c>
      <c r="D4948" s="184" t="s">
        <v>762</v>
      </c>
    </row>
    <row r="4949" spans="1:4" ht="12.5">
      <c r="A4949" s="186">
        <v>46179</v>
      </c>
      <c r="B4949" s="14">
        <v>7002830918</v>
      </c>
      <c r="C4949" s="14">
        <v>9</v>
      </c>
      <c r="D4949" s="184" t="s">
        <v>758</v>
      </c>
    </row>
    <row r="4950" spans="1:4" ht="12.5">
      <c r="A4950" s="186">
        <v>46179</v>
      </c>
      <c r="B4950" s="14">
        <v>7002831780</v>
      </c>
      <c r="C4950" s="14">
        <v>4</v>
      </c>
      <c r="D4950" s="184" t="s">
        <v>751</v>
      </c>
    </row>
    <row r="4951" spans="1:4" ht="12.5">
      <c r="A4951" s="186">
        <v>46179</v>
      </c>
      <c r="B4951" s="14">
        <v>7002831929</v>
      </c>
      <c r="C4951" s="14">
        <v>1</v>
      </c>
      <c r="D4951" s="184" t="s">
        <v>762</v>
      </c>
    </row>
    <row r="4952" spans="1:4" ht="12.5">
      <c r="A4952" s="186">
        <v>46179</v>
      </c>
      <c r="B4952" s="14">
        <v>7002831964</v>
      </c>
      <c r="C4952" s="14">
        <v>5</v>
      </c>
      <c r="D4952" s="184" t="s">
        <v>751</v>
      </c>
    </row>
    <row r="4953" spans="1:4" ht="12.5">
      <c r="A4953" s="186">
        <v>46179</v>
      </c>
      <c r="B4953" s="14">
        <v>7002832829</v>
      </c>
      <c r="C4953" s="14">
        <v>2</v>
      </c>
      <c r="D4953" s="184" t="s">
        <v>751</v>
      </c>
    </row>
    <row r="4954" spans="1:4" ht="12.5">
      <c r="A4954" s="186">
        <v>46179</v>
      </c>
      <c r="B4954" s="14">
        <v>7002832893</v>
      </c>
      <c r="C4954" s="14">
        <v>2</v>
      </c>
      <c r="D4954" s="184" t="s">
        <v>751</v>
      </c>
    </row>
    <row r="4955" spans="1:4" ht="12.5">
      <c r="A4955" s="186">
        <v>46179</v>
      </c>
      <c r="B4955" s="14">
        <v>7002833800</v>
      </c>
      <c r="C4955" s="14">
        <v>1</v>
      </c>
      <c r="D4955" s="184" t="s">
        <v>762</v>
      </c>
    </row>
    <row r="4956" spans="1:4" ht="12.5">
      <c r="A4956" s="186">
        <v>46179</v>
      </c>
      <c r="B4956" s="14">
        <v>7002833892</v>
      </c>
      <c r="C4956" s="14">
        <v>5</v>
      </c>
      <c r="D4956" s="184" t="s">
        <v>751</v>
      </c>
    </row>
    <row r="4957" spans="1:4" ht="12.5">
      <c r="A4957" s="186">
        <v>46179</v>
      </c>
      <c r="B4957" s="14">
        <v>7002833936</v>
      </c>
      <c r="C4957" s="14">
        <v>67</v>
      </c>
      <c r="D4957" s="184" t="s">
        <v>752</v>
      </c>
    </row>
    <row r="4958" spans="1:4" ht="12.5">
      <c r="A4958" s="186">
        <v>46179</v>
      </c>
      <c r="B4958" s="14">
        <v>7002833962</v>
      </c>
      <c r="C4958" s="14">
        <v>2</v>
      </c>
      <c r="D4958" s="184" t="s">
        <v>751</v>
      </c>
    </row>
    <row r="4959" spans="1:4" ht="12.5">
      <c r="A4959" s="186">
        <v>46179</v>
      </c>
      <c r="B4959" s="14">
        <v>7002834795</v>
      </c>
      <c r="C4959" s="14">
        <v>120</v>
      </c>
      <c r="D4959" s="184" t="s">
        <v>752</v>
      </c>
    </row>
    <row r="4960" spans="1:4" ht="12.5">
      <c r="A4960" s="186">
        <v>46179</v>
      </c>
      <c r="B4960" s="14">
        <v>7002834889</v>
      </c>
      <c r="C4960" s="14">
        <v>78</v>
      </c>
      <c r="D4960" s="184" t="s">
        <v>752</v>
      </c>
    </row>
    <row r="4961" spans="1:4" ht="12.5">
      <c r="A4961" s="186">
        <v>46179</v>
      </c>
      <c r="B4961" s="14">
        <v>7002834891</v>
      </c>
      <c r="C4961" s="14">
        <v>3</v>
      </c>
      <c r="D4961" s="184" t="s">
        <v>751</v>
      </c>
    </row>
    <row r="4962" spans="1:4" ht="12.5">
      <c r="A4962" s="186">
        <v>46179</v>
      </c>
      <c r="B4962" s="14">
        <v>7002835882</v>
      </c>
      <c r="C4962" s="14">
        <v>11</v>
      </c>
      <c r="D4962" s="184" t="s">
        <v>752</v>
      </c>
    </row>
    <row r="4963" spans="1:4" ht="12.5">
      <c r="A4963" s="186">
        <v>46179</v>
      </c>
      <c r="B4963" s="14">
        <v>7002836883</v>
      </c>
      <c r="C4963" s="14">
        <v>63</v>
      </c>
      <c r="D4963" s="184" t="s">
        <v>752</v>
      </c>
    </row>
    <row r="4964" spans="1:4" ht="12.5">
      <c r="A4964" s="186">
        <v>46179</v>
      </c>
      <c r="B4964" s="14">
        <v>7002837998</v>
      </c>
      <c r="C4964" s="14">
        <v>1</v>
      </c>
      <c r="D4964" s="184" t="s">
        <v>762</v>
      </c>
    </row>
    <row r="4965" spans="1:4" ht="12.5">
      <c r="A4965" s="186">
        <v>46179</v>
      </c>
      <c r="B4965" s="14">
        <v>7002838879</v>
      </c>
      <c r="C4965" s="14">
        <v>2</v>
      </c>
      <c r="D4965" s="184" t="s">
        <v>751</v>
      </c>
    </row>
    <row r="4966" spans="1:4" ht="12.5">
      <c r="A4966" s="186">
        <v>46179</v>
      </c>
      <c r="B4966" s="14">
        <v>7002838906</v>
      </c>
      <c r="C4966" s="14">
        <v>6</v>
      </c>
      <c r="D4966" s="184" t="s">
        <v>758</v>
      </c>
    </row>
    <row r="4967" spans="1:4" ht="12.5">
      <c r="A4967" s="186">
        <v>46179</v>
      </c>
      <c r="B4967" s="14">
        <v>7002838968</v>
      </c>
      <c r="C4967" s="14">
        <v>2</v>
      </c>
      <c r="D4967" s="184" t="s">
        <v>751</v>
      </c>
    </row>
    <row r="4968" spans="1:4" ht="12.5">
      <c r="A4968" s="186">
        <v>46179</v>
      </c>
      <c r="B4968" s="14">
        <v>7002838999</v>
      </c>
      <c r="C4968" s="14">
        <v>30</v>
      </c>
      <c r="D4968" s="184" t="s">
        <v>752</v>
      </c>
    </row>
    <row r="4969" spans="1:4" ht="12.5">
      <c r="A4969" s="186">
        <v>46179</v>
      </c>
      <c r="B4969" s="14">
        <v>7002839790</v>
      </c>
      <c r="C4969" s="14">
        <v>1</v>
      </c>
      <c r="D4969" s="184" t="s">
        <v>762</v>
      </c>
    </row>
    <row r="4970" spans="1:4" ht="12.5">
      <c r="A4970" s="186">
        <v>46179</v>
      </c>
      <c r="B4970" s="14">
        <v>7002839907</v>
      </c>
      <c r="C4970" s="14">
        <v>3</v>
      </c>
      <c r="D4970" s="184" t="s">
        <v>751</v>
      </c>
    </row>
    <row r="4971" spans="1:4" ht="12.5">
      <c r="A4971" s="186">
        <v>46179</v>
      </c>
      <c r="B4971" s="14">
        <v>7002840142</v>
      </c>
      <c r="C4971" s="14">
        <v>1</v>
      </c>
      <c r="D4971" s="184" t="s">
        <v>762</v>
      </c>
    </row>
    <row r="4972" spans="1:4" ht="12.5">
      <c r="A4972" s="186">
        <v>46179</v>
      </c>
      <c r="B4972" s="14">
        <v>7002840331</v>
      </c>
      <c r="C4972" s="14">
        <v>1</v>
      </c>
      <c r="D4972" s="184" t="s">
        <v>762</v>
      </c>
    </row>
    <row r="4973" spans="1:4" ht="12.5">
      <c r="A4973" s="186">
        <v>46179</v>
      </c>
      <c r="B4973" s="14">
        <v>7002841255</v>
      </c>
      <c r="C4973" s="14">
        <v>3</v>
      </c>
      <c r="D4973" s="184" t="s">
        <v>751</v>
      </c>
    </row>
    <row r="4974" spans="1:4" ht="12.5">
      <c r="A4974" s="186">
        <v>46179</v>
      </c>
      <c r="B4974" s="14">
        <v>7002841264</v>
      </c>
      <c r="C4974" s="14">
        <v>1</v>
      </c>
      <c r="D4974" s="184" t="s">
        <v>762</v>
      </c>
    </row>
    <row r="4975" spans="1:4" ht="12.5">
      <c r="A4975" s="186">
        <v>46179</v>
      </c>
      <c r="B4975" s="14">
        <v>7002842237</v>
      </c>
      <c r="C4975" s="14">
        <v>138</v>
      </c>
      <c r="D4975" s="184" t="s">
        <v>752</v>
      </c>
    </row>
    <row r="4976" spans="1:4" ht="12.5">
      <c r="A4976" s="186">
        <v>46179</v>
      </c>
      <c r="B4976" s="14">
        <v>7002842487</v>
      </c>
      <c r="C4976" s="14">
        <v>2</v>
      </c>
      <c r="D4976" s="184" t="s">
        <v>751</v>
      </c>
    </row>
    <row r="4977" spans="1:4" ht="12.5">
      <c r="A4977" s="186">
        <v>46179</v>
      </c>
      <c r="B4977" s="14">
        <v>7002842597</v>
      </c>
      <c r="C4977" s="14">
        <v>1</v>
      </c>
      <c r="D4977" s="184" t="s">
        <v>762</v>
      </c>
    </row>
    <row r="4978" spans="1:4" ht="12.5">
      <c r="A4978" s="186">
        <v>46179</v>
      </c>
      <c r="B4978" s="14">
        <v>7002842804</v>
      </c>
      <c r="C4978" s="14">
        <v>2</v>
      </c>
      <c r="D4978" s="184" t="s">
        <v>751</v>
      </c>
    </row>
    <row r="4979" spans="1:4" ht="12.5">
      <c r="A4979" s="186">
        <v>46179</v>
      </c>
      <c r="B4979" s="14">
        <v>7002844010</v>
      </c>
      <c r="C4979" s="14">
        <v>1</v>
      </c>
      <c r="D4979" s="184" t="s">
        <v>762</v>
      </c>
    </row>
    <row r="4980" spans="1:4" ht="12.5">
      <c r="A4980" s="186">
        <v>46179</v>
      </c>
      <c r="B4980" s="14">
        <v>7002844075</v>
      </c>
      <c r="C4980" s="14">
        <v>28</v>
      </c>
      <c r="D4980" s="184" t="s">
        <v>752</v>
      </c>
    </row>
    <row r="4981" spans="1:4" ht="12.5">
      <c r="A4981" s="186">
        <v>46179</v>
      </c>
      <c r="B4981" s="14">
        <v>7002844191</v>
      </c>
      <c r="C4981" s="14">
        <v>1</v>
      </c>
      <c r="D4981" s="184" t="s">
        <v>762</v>
      </c>
    </row>
    <row r="4982" spans="1:4" ht="12.5">
      <c r="A4982" s="186">
        <v>46179</v>
      </c>
      <c r="B4982" s="14">
        <v>7002844309</v>
      </c>
      <c r="C4982" s="14">
        <v>1</v>
      </c>
      <c r="D4982" s="184" t="s">
        <v>762</v>
      </c>
    </row>
    <row r="4983" spans="1:4" ht="12.5">
      <c r="A4983" s="186">
        <v>46179</v>
      </c>
      <c r="B4983" s="14">
        <v>7002844485</v>
      </c>
      <c r="C4983" s="14">
        <v>5</v>
      </c>
      <c r="D4983" s="184" t="s">
        <v>751</v>
      </c>
    </row>
    <row r="4984" spans="1:4" ht="12.5">
      <c r="A4984" s="186">
        <v>46179</v>
      </c>
      <c r="B4984" s="14">
        <v>7002844972</v>
      </c>
      <c r="C4984" s="14">
        <v>1</v>
      </c>
      <c r="D4984" s="184" t="s">
        <v>762</v>
      </c>
    </row>
    <row r="4985" spans="1:4" ht="12.5">
      <c r="A4985" s="186">
        <v>46179</v>
      </c>
      <c r="B4985" s="14">
        <v>7002845028</v>
      </c>
      <c r="C4985" s="14">
        <v>1</v>
      </c>
      <c r="D4985" s="184" t="s">
        <v>762</v>
      </c>
    </row>
    <row r="4986" spans="1:4" ht="12.5">
      <c r="A4986" s="186">
        <v>46179</v>
      </c>
      <c r="B4986" s="14">
        <v>7002845071</v>
      </c>
      <c r="C4986" s="14">
        <v>3</v>
      </c>
      <c r="D4986" s="184" t="s">
        <v>751</v>
      </c>
    </row>
    <row r="4987" spans="1:4" ht="12.5">
      <c r="A4987" s="186">
        <v>46179</v>
      </c>
      <c r="B4987" s="14">
        <v>7002845176</v>
      </c>
      <c r="C4987" s="14">
        <v>16</v>
      </c>
      <c r="D4987" s="184" t="s">
        <v>752</v>
      </c>
    </row>
    <row r="4988" spans="1:4" ht="12.5">
      <c r="A4988" s="186">
        <v>46179</v>
      </c>
      <c r="B4988" s="14">
        <v>7002845755</v>
      </c>
      <c r="C4988" s="14">
        <v>2</v>
      </c>
      <c r="D4988" s="184" t="s">
        <v>751</v>
      </c>
    </row>
    <row r="4989" spans="1:4" ht="12.5">
      <c r="A4989" s="186">
        <v>46179</v>
      </c>
      <c r="B4989" s="14">
        <v>7002846388</v>
      </c>
      <c r="C4989" s="14">
        <v>8</v>
      </c>
      <c r="D4989" s="184" t="s">
        <v>758</v>
      </c>
    </row>
    <row r="4990" spans="1:4" ht="12.5">
      <c r="A4990" s="186">
        <v>46179</v>
      </c>
      <c r="B4990" s="14">
        <v>7002846592</v>
      </c>
      <c r="C4990" s="14">
        <v>8</v>
      </c>
      <c r="D4990" s="184" t="s">
        <v>758</v>
      </c>
    </row>
    <row r="4991" spans="1:4" ht="12.5">
      <c r="A4991" s="186">
        <v>46179</v>
      </c>
      <c r="B4991" s="14">
        <v>7002846604</v>
      </c>
      <c r="C4991" s="14">
        <v>3</v>
      </c>
      <c r="D4991" s="184" t="s">
        <v>751</v>
      </c>
    </row>
    <row r="4992" spans="1:4" ht="12.5">
      <c r="A4992" s="186">
        <v>46179</v>
      </c>
      <c r="B4992" s="14">
        <v>7002847094</v>
      </c>
      <c r="C4992" s="14">
        <v>1</v>
      </c>
      <c r="D4992" s="184" t="s">
        <v>762</v>
      </c>
    </row>
    <row r="4993" spans="1:4" ht="12.5">
      <c r="A4993" s="186">
        <v>46179</v>
      </c>
      <c r="B4993" s="14">
        <v>7002847205</v>
      </c>
      <c r="C4993" s="14">
        <v>115</v>
      </c>
      <c r="D4993" s="184" t="s">
        <v>752</v>
      </c>
    </row>
    <row r="4994" spans="1:4" ht="12.5">
      <c r="A4994" s="186">
        <v>46179</v>
      </c>
      <c r="B4994" s="14">
        <v>7002847343</v>
      </c>
      <c r="C4994" s="14">
        <v>10</v>
      </c>
      <c r="D4994" s="184" t="s">
        <v>758</v>
      </c>
    </row>
    <row r="4995" spans="1:4" ht="12.5">
      <c r="A4995" s="186">
        <v>46179</v>
      </c>
      <c r="B4995" s="14">
        <v>7002848328</v>
      </c>
      <c r="C4995" s="14">
        <v>1</v>
      </c>
      <c r="D4995" s="184" t="s">
        <v>762</v>
      </c>
    </row>
    <row r="4996" spans="1:4" ht="12.5">
      <c r="A4996" s="186">
        <v>46179</v>
      </c>
      <c r="B4996" s="14">
        <v>7002848363</v>
      </c>
      <c r="C4996" s="14">
        <v>1</v>
      </c>
      <c r="D4996" s="184" t="s">
        <v>762</v>
      </c>
    </row>
    <row r="4997" spans="1:4" ht="12.5">
      <c r="A4997" s="186">
        <v>46179</v>
      </c>
      <c r="B4997" s="14">
        <v>7002848371</v>
      </c>
      <c r="C4997" s="14">
        <v>2</v>
      </c>
      <c r="D4997" s="184" t="s">
        <v>751</v>
      </c>
    </row>
    <row r="4998" spans="1:4" ht="12.5">
      <c r="A4998" s="186">
        <v>46179</v>
      </c>
      <c r="B4998" s="14">
        <v>7002849089</v>
      </c>
      <c r="C4998" s="14">
        <v>3</v>
      </c>
      <c r="D4998" s="184" t="s">
        <v>751</v>
      </c>
    </row>
    <row r="4999" spans="1:4" ht="12.5">
      <c r="A4999" s="186">
        <v>46179</v>
      </c>
      <c r="B4999" s="14">
        <v>7002849317</v>
      </c>
      <c r="C4999" s="14">
        <v>1</v>
      </c>
      <c r="D4999" s="184" t="s">
        <v>762</v>
      </c>
    </row>
    <row r="5000" spans="1:4" ht="12.5">
      <c r="A5000" s="186">
        <v>46179</v>
      </c>
      <c r="B5000" s="14">
        <v>7002849386</v>
      </c>
      <c r="C5000" s="14">
        <v>1</v>
      </c>
      <c r="D5000" s="184" t="s">
        <v>762</v>
      </c>
    </row>
    <row r="5001" spans="1:4" ht="12.5">
      <c r="A5001" s="186">
        <v>46179</v>
      </c>
      <c r="B5001" s="14">
        <v>7002849498</v>
      </c>
      <c r="C5001" s="14">
        <v>1</v>
      </c>
      <c r="D5001" s="184" t="s">
        <v>762</v>
      </c>
    </row>
    <row r="5002" spans="1:4" ht="12.5">
      <c r="A5002" s="186">
        <v>46179</v>
      </c>
      <c r="B5002" s="14">
        <v>7002849574</v>
      </c>
      <c r="C5002" s="14">
        <v>1</v>
      </c>
      <c r="D5002" s="184" t="s">
        <v>762</v>
      </c>
    </row>
    <row r="5003" spans="1:4" ht="12.5">
      <c r="A5003" s="186">
        <v>46179</v>
      </c>
      <c r="B5003" s="14">
        <v>7002849759</v>
      </c>
      <c r="C5003" s="14">
        <v>1</v>
      </c>
      <c r="D5003" s="184" t="s">
        <v>762</v>
      </c>
    </row>
    <row r="5004" spans="1:4" ht="12.5">
      <c r="A5004" s="186">
        <v>46179</v>
      </c>
      <c r="B5004" s="14">
        <v>7002849785</v>
      </c>
      <c r="C5004" s="14">
        <v>1</v>
      </c>
      <c r="D5004" s="184" t="s">
        <v>762</v>
      </c>
    </row>
    <row r="5005" spans="1:4" ht="12.5">
      <c r="A5005" s="186">
        <v>46179</v>
      </c>
      <c r="B5005" s="14">
        <v>7002849831</v>
      </c>
      <c r="C5005" s="14">
        <v>1</v>
      </c>
      <c r="D5005" s="184" t="s">
        <v>762</v>
      </c>
    </row>
    <row r="5006" spans="1:4" ht="12.5">
      <c r="A5006" s="186">
        <v>46179</v>
      </c>
      <c r="B5006" s="14">
        <v>7002849849</v>
      </c>
      <c r="C5006" s="14">
        <v>2</v>
      </c>
      <c r="D5006" s="184" t="s">
        <v>751</v>
      </c>
    </row>
    <row r="5007" spans="1:4" ht="12.5">
      <c r="A5007" s="186">
        <v>46179</v>
      </c>
      <c r="B5007" s="14">
        <v>7002850181</v>
      </c>
      <c r="C5007" s="14">
        <v>3</v>
      </c>
      <c r="D5007" s="184" t="s">
        <v>751</v>
      </c>
    </row>
    <row r="5008" spans="1:4" ht="12.5">
      <c r="A5008" s="186">
        <v>46179</v>
      </c>
      <c r="B5008" s="14">
        <v>7002850329</v>
      </c>
      <c r="C5008" s="14">
        <v>33</v>
      </c>
      <c r="D5008" s="184" t="s">
        <v>752</v>
      </c>
    </row>
    <row r="5009" spans="1:4" ht="12.5">
      <c r="A5009" s="186">
        <v>46179</v>
      </c>
      <c r="B5009" s="14">
        <v>7002851736</v>
      </c>
      <c r="C5009" s="14">
        <v>2</v>
      </c>
      <c r="D5009" s="184" t="s">
        <v>751</v>
      </c>
    </row>
    <row r="5010" spans="1:4" ht="12.5">
      <c r="A5010" s="186">
        <v>46179</v>
      </c>
      <c r="B5010" s="14">
        <v>7002853245</v>
      </c>
      <c r="C5010" s="14">
        <v>5</v>
      </c>
      <c r="D5010" s="184" t="s">
        <v>751</v>
      </c>
    </row>
    <row r="5011" spans="1:4" ht="12.5">
      <c r="A5011" s="186">
        <v>46179</v>
      </c>
      <c r="B5011" s="14">
        <v>7002854169</v>
      </c>
      <c r="C5011" s="14">
        <v>5</v>
      </c>
      <c r="D5011" s="184" t="s">
        <v>751</v>
      </c>
    </row>
    <row r="5012" spans="1:4" ht="12.5">
      <c r="A5012" s="186">
        <v>46179</v>
      </c>
      <c r="B5012" s="14">
        <v>7002855309</v>
      </c>
      <c r="C5012" s="14">
        <v>1</v>
      </c>
      <c r="D5012" s="184" t="s">
        <v>762</v>
      </c>
    </row>
    <row r="5013" spans="1:4" ht="12.5">
      <c r="A5013" s="186">
        <v>46179</v>
      </c>
      <c r="B5013" s="14">
        <v>7002856236</v>
      </c>
      <c r="C5013" s="14">
        <v>2</v>
      </c>
      <c r="D5013" s="184" t="s">
        <v>751</v>
      </c>
    </row>
    <row r="5014" spans="1:4" ht="12.5">
      <c r="A5014" s="186">
        <v>46179</v>
      </c>
      <c r="B5014" s="14">
        <v>7002857077</v>
      </c>
      <c r="C5014" s="14">
        <v>7</v>
      </c>
      <c r="D5014" s="184" t="s">
        <v>758</v>
      </c>
    </row>
    <row r="5016" spans="1:4" ht="12.5">
      <c r="A5016" s="186">
        <v>46209</v>
      </c>
      <c r="B5016" s="14">
        <v>7002513445</v>
      </c>
      <c r="C5016" s="14">
        <v>4</v>
      </c>
      <c r="D5016" s="184" t="s">
        <v>751</v>
      </c>
    </row>
    <row r="5017" spans="1:4" ht="12.5">
      <c r="A5017" s="186">
        <v>46209</v>
      </c>
      <c r="B5017" s="14">
        <v>7002646290</v>
      </c>
      <c r="C5017" s="14">
        <v>2</v>
      </c>
      <c r="D5017" s="184" t="s">
        <v>751</v>
      </c>
    </row>
    <row r="5018" spans="1:4" ht="12.5">
      <c r="A5018" s="186">
        <v>46209</v>
      </c>
      <c r="B5018" s="14">
        <v>7002652533</v>
      </c>
      <c r="C5018" s="14">
        <v>10</v>
      </c>
      <c r="D5018" s="184" t="s">
        <v>758</v>
      </c>
    </row>
    <row r="5019" spans="1:4" ht="12.5">
      <c r="A5019" s="186">
        <v>46209</v>
      </c>
      <c r="B5019" s="14">
        <v>7002658336</v>
      </c>
      <c r="C5019" s="14">
        <v>18</v>
      </c>
      <c r="D5019" s="184" t="s">
        <v>752</v>
      </c>
    </row>
    <row r="5020" spans="1:4" ht="12.5">
      <c r="A5020" s="186">
        <v>46209</v>
      </c>
      <c r="B5020" s="14">
        <v>7002676586</v>
      </c>
      <c r="C5020" s="14">
        <v>6</v>
      </c>
      <c r="D5020" s="184" t="s">
        <v>758</v>
      </c>
    </row>
    <row r="5021" spans="1:4" ht="12.5">
      <c r="A5021" s="186">
        <v>46209</v>
      </c>
      <c r="B5021" s="14">
        <v>7002684302</v>
      </c>
      <c r="C5021" s="14">
        <v>3</v>
      </c>
      <c r="D5021" s="184" t="s">
        <v>751</v>
      </c>
    </row>
    <row r="5022" spans="1:4" ht="12.5">
      <c r="A5022" s="186">
        <v>46209</v>
      </c>
      <c r="B5022" s="14">
        <v>7002701428</v>
      </c>
      <c r="C5022" s="14">
        <v>1</v>
      </c>
      <c r="D5022" s="184" t="s">
        <v>750</v>
      </c>
    </row>
    <row r="5023" spans="1:4" ht="12.5">
      <c r="A5023" s="186">
        <v>46209</v>
      </c>
      <c r="B5023" s="14">
        <v>7002701463</v>
      </c>
      <c r="C5023" s="14">
        <v>1</v>
      </c>
      <c r="D5023" s="184" t="s">
        <v>750</v>
      </c>
    </row>
    <row r="5024" spans="1:4" ht="12.5">
      <c r="A5024" s="186">
        <v>46209</v>
      </c>
      <c r="B5024" s="14">
        <v>7002703749</v>
      </c>
      <c r="C5024" s="14">
        <v>8</v>
      </c>
      <c r="D5024" s="184" t="s">
        <v>758</v>
      </c>
    </row>
    <row r="5025" spans="1:4" ht="12.5">
      <c r="A5025" s="186">
        <v>46209</v>
      </c>
      <c r="B5025" s="14">
        <v>7002713999</v>
      </c>
      <c r="C5025" s="14">
        <v>10</v>
      </c>
      <c r="D5025" s="184" t="s">
        <v>758</v>
      </c>
    </row>
    <row r="5026" spans="1:4" ht="12.5">
      <c r="A5026" s="186">
        <v>46209</v>
      </c>
      <c r="B5026" s="14">
        <v>7002716826</v>
      </c>
      <c r="C5026" s="14">
        <v>8</v>
      </c>
      <c r="D5026" s="184" t="s">
        <v>758</v>
      </c>
    </row>
    <row r="5027" spans="1:4" ht="12.5">
      <c r="A5027" s="186">
        <v>46209</v>
      </c>
      <c r="B5027" s="14">
        <v>7002727146</v>
      </c>
      <c r="C5027" s="14">
        <v>10</v>
      </c>
      <c r="D5027" s="184" t="s">
        <v>758</v>
      </c>
    </row>
    <row r="5028" spans="1:4" ht="12.5">
      <c r="A5028" s="186">
        <v>46209</v>
      </c>
      <c r="B5028" s="14">
        <v>7002734055</v>
      </c>
      <c r="C5028" s="14">
        <v>22</v>
      </c>
      <c r="D5028" s="184" t="s">
        <v>752</v>
      </c>
    </row>
    <row r="5029" spans="1:4" ht="12.5">
      <c r="A5029" s="186">
        <v>46209</v>
      </c>
      <c r="B5029" s="14">
        <v>7002738513</v>
      </c>
      <c r="C5029" s="14">
        <v>4</v>
      </c>
      <c r="D5029" s="184" t="s">
        <v>751</v>
      </c>
    </row>
    <row r="5030" spans="1:4" ht="12.5">
      <c r="A5030" s="186">
        <v>46209</v>
      </c>
      <c r="B5030" s="14">
        <v>7002744560</v>
      </c>
      <c r="C5030" s="14">
        <v>12</v>
      </c>
      <c r="D5030" s="184" t="s">
        <v>752</v>
      </c>
    </row>
    <row r="5031" spans="1:4" ht="12.5">
      <c r="A5031" s="186">
        <v>46209</v>
      </c>
      <c r="B5031" s="14">
        <v>7002752158</v>
      </c>
      <c r="C5031" s="14">
        <v>3</v>
      </c>
      <c r="D5031" s="184" t="s">
        <v>751</v>
      </c>
    </row>
    <row r="5032" spans="1:4" ht="12.5">
      <c r="A5032" s="186">
        <v>46209</v>
      </c>
      <c r="B5032" s="14">
        <v>7002753354</v>
      </c>
      <c r="C5032" s="14">
        <v>1</v>
      </c>
      <c r="D5032" s="184" t="s">
        <v>750</v>
      </c>
    </row>
    <row r="5033" spans="1:4" ht="12.5">
      <c r="A5033" s="186">
        <v>46209</v>
      </c>
      <c r="B5033" s="14">
        <v>7002753436</v>
      </c>
      <c r="C5033" s="14">
        <v>13</v>
      </c>
      <c r="D5033" s="184" t="s">
        <v>752</v>
      </c>
    </row>
    <row r="5034" spans="1:4" ht="12.5">
      <c r="A5034" s="186">
        <v>46209</v>
      </c>
      <c r="B5034" s="14">
        <v>7002758998</v>
      </c>
      <c r="C5034" s="14">
        <v>41</v>
      </c>
      <c r="D5034" s="184" t="s">
        <v>752</v>
      </c>
    </row>
    <row r="5035" spans="1:4" ht="12.5">
      <c r="A5035" s="186">
        <v>46209</v>
      </c>
      <c r="B5035" s="14">
        <v>7002759149</v>
      </c>
      <c r="C5035" s="14">
        <v>3</v>
      </c>
      <c r="D5035" s="184" t="s">
        <v>751</v>
      </c>
    </row>
    <row r="5036" spans="1:4" ht="12.5">
      <c r="A5036" s="186">
        <v>46209</v>
      </c>
      <c r="B5036" s="14">
        <v>7002768119</v>
      </c>
      <c r="C5036" s="14">
        <v>33</v>
      </c>
      <c r="D5036" s="184" t="s">
        <v>752</v>
      </c>
    </row>
    <row r="5037" spans="1:4" ht="12.5">
      <c r="A5037" s="186">
        <v>46209</v>
      </c>
      <c r="B5037" s="14">
        <v>7002769006</v>
      </c>
      <c r="C5037" s="14">
        <v>17</v>
      </c>
      <c r="D5037" s="184" t="s">
        <v>752</v>
      </c>
    </row>
    <row r="5038" spans="1:4" ht="12.5">
      <c r="A5038" s="186">
        <v>46209</v>
      </c>
      <c r="B5038" s="14">
        <v>7002769203</v>
      </c>
      <c r="C5038" s="14">
        <v>24</v>
      </c>
      <c r="D5038" s="184" t="s">
        <v>752</v>
      </c>
    </row>
    <row r="5039" spans="1:4" ht="12.5">
      <c r="A5039" s="186">
        <v>46209</v>
      </c>
      <c r="B5039" s="14">
        <v>7002770052</v>
      </c>
      <c r="C5039" s="14">
        <v>1</v>
      </c>
      <c r="D5039" s="184" t="s">
        <v>750</v>
      </c>
    </row>
    <row r="5040" spans="1:4" ht="12.5">
      <c r="A5040" s="186">
        <v>46209</v>
      </c>
      <c r="B5040" s="14">
        <v>7002770321</v>
      </c>
      <c r="C5040" s="14">
        <v>1</v>
      </c>
      <c r="D5040" s="184" t="s">
        <v>750</v>
      </c>
    </row>
    <row r="5041" spans="1:4" ht="12.5">
      <c r="A5041" s="186">
        <v>46209</v>
      </c>
      <c r="B5041" s="14">
        <v>7002770901</v>
      </c>
      <c r="C5041" s="14">
        <v>5</v>
      </c>
      <c r="D5041" s="184" t="s">
        <v>751</v>
      </c>
    </row>
    <row r="5042" spans="1:4" ht="12.5">
      <c r="A5042" s="186">
        <v>46209</v>
      </c>
      <c r="B5042" s="14">
        <v>7002771900</v>
      </c>
      <c r="C5042" s="14">
        <v>4</v>
      </c>
      <c r="D5042" s="184" t="s">
        <v>751</v>
      </c>
    </row>
    <row r="5043" spans="1:4" ht="12.5">
      <c r="A5043" s="186">
        <v>46209</v>
      </c>
      <c r="B5043" s="14">
        <v>7002771959</v>
      </c>
      <c r="C5043" s="14">
        <v>6</v>
      </c>
      <c r="D5043" s="184" t="s">
        <v>758</v>
      </c>
    </row>
    <row r="5044" spans="1:4" ht="12.5">
      <c r="A5044" s="186">
        <v>46209</v>
      </c>
      <c r="B5044" s="14">
        <v>7002772765</v>
      </c>
      <c r="C5044" s="14">
        <v>9</v>
      </c>
      <c r="D5044" s="184" t="s">
        <v>758</v>
      </c>
    </row>
    <row r="5045" spans="1:4" ht="12.5">
      <c r="A5045" s="186">
        <v>46209</v>
      </c>
      <c r="B5045" s="14">
        <v>7002772915</v>
      </c>
      <c r="C5045" s="14">
        <v>5</v>
      </c>
      <c r="D5045" s="184" t="s">
        <v>751</v>
      </c>
    </row>
    <row r="5046" spans="1:4" ht="12.5">
      <c r="A5046" s="186">
        <v>46209</v>
      </c>
      <c r="B5046" s="14">
        <v>7002772927</v>
      </c>
      <c r="C5046" s="14">
        <v>7</v>
      </c>
      <c r="D5046" s="184" t="s">
        <v>758</v>
      </c>
    </row>
    <row r="5047" spans="1:4" ht="12.5">
      <c r="A5047" s="186">
        <v>46209</v>
      </c>
      <c r="B5047" s="14">
        <v>7002773782</v>
      </c>
      <c r="C5047" s="14">
        <v>5</v>
      </c>
      <c r="D5047" s="184" t="s">
        <v>751</v>
      </c>
    </row>
    <row r="5048" spans="1:4" ht="12.5">
      <c r="A5048" s="186">
        <v>46209</v>
      </c>
      <c r="B5048" s="14">
        <v>7002773919</v>
      </c>
      <c r="C5048" s="14">
        <v>2</v>
      </c>
      <c r="D5048" s="184" t="s">
        <v>751</v>
      </c>
    </row>
    <row r="5049" spans="1:4" ht="12.5">
      <c r="A5049" s="186">
        <v>46209</v>
      </c>
      <c r="B5049" s="14">
        <v>7002776738</v>
      </c>
      <c r="C5049" s="14">
        <v>3</v>
      </c>
      <c r="D5049" s="184" t="s">
        <v>751</v>
      </c>
    </row>
    <row r="5050" spans="1:4" ht="12.5">
      <c r="A5050" s="186">
        <v>46209</v>
      </c>
      <c r="B5050" s="14">
        <v>7002777571</v>
      </c>
      <c r="C5050" s="14">
        <v>11</v>
      </c>
      <c r="D5050" s="184" t="s">
        <v>752</v>
      </c>
    </row>
    <row r="5051" spans="1:4" ht="12.5">
      <c r="A5051" s="186">
        <v>46209</v>
      </c>
      <c r="B5051" s="14">
        <v>7002777880</v>
      </c>
      <c r="C5051" s="14">
        <v>4</v>
      </c>
      <c r="D5051" s="184" t="s">
        <v>751</v>
      </c>
    </row>
    <row r="5052" spans="1:4" ht="12.5">
      <c r="A5052" s="186">
        <v>46209</v>
      </c>
      <c r="B5052" s="14">
        <v>7002778600</v>
      </c>
      <c r="C5052" s="14">
        <v>2</v>
      </c>
      <c r="D5052" s="184" t="s">
        <v>751</v>
      </c>
    </row>
    <row r="5053" spans="1:4" ht="12.5">
      <c r="A5053" s="186">
        <v>46209</v>
      </c>
      <c r="B5053" s="14">
        <v>7002778911</v>
      </c>
      <c r="C5053" s="14">
        <v>44</v>
      </c>
      <c r="D5053" s="184" t="s">
        <v>752</v>
      </c>
    </row>
    <row r="5054" spans="1:4" ht="12.5">
      <c r="A5054" s="186">
        <v>46209</v>
      </c>
      <c r="B5054" s="14">
        <v>7002779638</v>
      </c>
      <c r="C5054" s="14">
        <v>87</v>
      </c>
      <c r="D5054" s="184" t="s">
        <v>752</v>
      </c>
    </row>
    <row r="5055" spans="1:4" ht="12.5">
      <c r="A5055" s="186">
        <v>46209</v>
      </c>
      <c r="B5055" s="14">
        <v>7002779912</v>
      </c>
      <c r="C5055" s="14">
        <v>2</v>
      </c>
      <c r="D5055" s="184" t="s">
        <v>751</v>
      </c>
    </row>
    <row r="5056" spans="1:4" ht="12.5">
      <c r="A5056" s="186">
        <v>46209</v>
      </c>
      <c r="B5056" s="14">
        <v>7002780017</v>
      </c>
      <c r="C5056" s="14">
        <v>13</v>
      </c>
      <c r="D5056" s="184" t="s">
        <v>752</v>
      </c>
    </row>
    <row r="5057" spans="1:4" ht="12.5">
      <c r="A5057" s="186">
        <v>46209</v>
      </c>
      <c r="B5057" s="14">
        <v>7002780725</v>
      </c>
      <c r="C5057" s="14">
        <v>1</v>
      </c>
      <c r="D5057" s="184" t="s">
        <v>750</v>
      </c>
    </row>
    <row r="5058" spans="1:4" ht="12.5">
      <c r="A5058" s="186">
        <v>46209</v>
      </c>
      <c r="B5058" s="14">
        <v>7002781373</v>
      </c>
      <c r="C5058" s="14">
        <v>2</v>
      </c>
      <c r="D5058" s="184" t="s">
        <v>751</v>
      </c>
    </row>
    <row r="5059" spans="1:4" ht="12.5">
      <c r="A5059" s="186">
        <v>46209</v>
      </c>
      <c r="B5059" s="14">
        <v>7002781690</v>
      </c>
      <c r="C5059" s="14">
        <v>2</v>
      </c>
      <c r="D5059" s="184" t="s">
        <v>751</v>
      </c>
    </row>
    <row r="5060" spans="1:4" ht="12.5">
      <c r="A5060" s="186">
        <v>46209</v>
      </c>
      <c r="B5060" s="14">
        <v>7002781755</v>
      </c>
      <c r="C5060" s="14">
        <v>2</v>
      </c>
      <c r="D5060" s="184" t="s">
        <v>751</v>
      </c>
    </row>
    <row r="5061" spans="1:4" ht="12.5">
      <c r="A5061" s="186">
        <v>46209</v>
      </c>
      <c r="B5061" s="14">
        <v>7002781979</v>
      </c>
      <c r="C5061" s="14">
        <v>1</v>
      </c>
      <c r="D5061" s="184" t="s">
        <v>750</v>
      </c>
    </row>
    <row r="5062" spans="1:4" ht="12.5">
      <c r="A5062" s="186">
        <v>46209</v>
      </c>
      <c r="B5062" s="14">
        <v>7002782673</v>
      </c>
      <c r="C5062" s="14">
        <v>1</v>
      </c>
      <c r="D5062" s="184" t="s">
        <v>750</v>
      </c>
    </row>
    <row r="5063" spans="1:4" ht="12.5">
      <c r="A5063" s="186">
        <v>46209</v>
      </c>
      <c r="B5063" s="14">
        <v>7002782945</v>
      </c>
      <c r="C5063" s="14">
        <v>1</v>
      </c>
      <c r="D5063" s="184" t="s">
        <v>750</v>
      </c>
    </row>
    <row r="5064" spans="1:4" ht="12.5">
      <c r="A5064" s="186">
        <v>46209</v>
      </c>
      <c r="B5064" s="14">
        <v>7002783088</v>
      </c>
      <c r="C5064" s="14">
        <v>2</v>
      </c>
      <c r="D5064" s="184" t="s">
        <v>751</v>
      </c>
    </row>
    <row r="5065" spans="1:4" ht="12.5">
      <c r="A5065" s="186">
        <v>46209</v>
      </c>
      <c r="B5065" s="14">
        <v>7002783811</v>
      </c>
      <c r="C5065" s="14">
        <v>4</v>
      </c>
      <c r="D5065" s="184" t="s">
        <v>751</v>
      </c>
    </row>
    <row r="5066" spans="1:4" ht="12.5">
      <c r="A5066" s="186">
        <v>46209</v>
      </c>
      <c r="B5066" s="14">
        <v>7002783848</v>
      </c>
      <c r="C5066" s="14">
        <v>2</v>
      </c>
      <c r="D5066" s="184" t="s">
        <v>751</v>
      </c>
    </row>
    <row r="5067" spans="1:4" ht="12.5">
      <c r="A5067" s="186">
        <v>46209</v>
      </c>
      <c r="B5067" s="14">
        <v>7002784726</v>
      </c>
      <c r="C5067" s="14">
        <v>8</v>
      </c>
      <c r="D5067" s="184" t="s">
        <v>758</v>
      </c>
    </row>
    <row r="5068" spans="1:4" ht="12.5">
      <c r="A5068" s="186">
        <v>46209</v>
      </c>
      <c r="B5068" s="14">
        <v>7002786202</v>
      </c>
      <c r="C5068" s="14">
        <v>1</v>
      </c>
      <c r="D5068" s="184" t="s">
        <v>750</v>
      </c>
    </row>
    <row r="5069" spans="1:4" ht="12.5">
      <c r="A5069" s="186">
        <v>46209</v>
      </c>
      <c r="B5069" s="14">
        <v>7002787767</v>
      </c>
      <c r="C5069" s="14">
        <v>4</v>
      </c>
      <c r="D5069" s="184" t="s">
        <v>751</v>
      </c>
    </row>
    <row r="5070" spans="1:4" ht="12.5">
      <c r="A5070" s="186">
        <v>46209</v>
      </c>
      <c r="B5070" s="14">
        <v>7002787940</v>
      </c>
      <c r="C5070" s="14">
        <v>1</v>
      </c>
      <c r="D5070" s="184" t="s">
        <v>750</v>
      </c>
    </row>
    <row r="5071" spans="1:4" ht="12.5">
      <c r="A5071" s="186">
        <v>46209</v>
      </c>
      <c r="B5071" s="14">
        <v>7002789292</v>
      </c>
      <c r="C5071" s="14">
        <v>3</v>
      </c>
      <c r="D5071" s="184" t="s">
        <v>751</v>
      </c>
    </row>
    <row r="5072" spans="1:4" ht="12.5">
      <c r="A5072" s="186">
        <v>46209</v>
      </c>
      <c r="B5072" s="14">
        <v>7002790653</v>
      </c>
      <c r="C5072" s="14">
        <v>14</v>
      </c>
      <c r="D5072" s="184" t="s">
        <v>752</v>
      </c>
    </row>
    <row r="5073" spans="1:4" ht="12.5">
      <c r="A5073" s="186">
        <v>46209</v>
      </c>
      <c r="B5073" s="14">
        <v>7002790766</v>
      </c>
      <c r="C5073" s="14">
        <v>1</v>
      </c>
      <c r="D5073" s="184" t="s">
        <v>750</v>
      </c>
    </row>
    <row r="5074" spans="1:4" ht="12.5">
      <c r="A5074" s="186">
        <v>46209</v>
      </c>
      <c r="B5074" s="14">
        <v>7002792795</v>
      </c>
      <c r="C5074" s="14">
        <v>26</v>
      </c>
      <c r="D5074" s="184" t="s">
        <v>752</v>
      </c>
    </row>
    <row r="5075" spans="1:4" ht="12.5">
      <c r="A5075" s="186">
        <v>46209</v>
      </c>
      <c r="B5075" s="14">
        <v>7002793367</v>
      </c>
      <c r="C5075" s="14">
        <v>2</v>
      </c>
      <c r="D5075" s="184" t="s">
        <v>751</v>
      </c>
    </row>
    <row r="5076" spans="1:4" ht="12.5">
      <c r="A5076" s="186">
        <v>46209</v>
      </c>
      <c r="B5076" s="14">
        <v>7002796390</v>
      </c>
      <c r="C5076" s="14">
        <v>2</v>
      </c>
      <c r="D5076" s="184" t="s">
        <v>751</v>
      </c>
    </row>
    <row r="5077" spans="1:4" ht="12.5">
      <c r="A5077" s="186">
        <v>46209</v>
      </c>
      <c r="B5077" s="14">
        <v>7002799808</v>
      </c>
      <c r="C5077" s="14">
        <v>32</v>
      </c>
      <c r="D5077" s="184" t="s">
        <v>752</v>
      </c>
    </row>
    <row r="5078" spans="1:4" ht="12.5">
      <c r="A5078" s="186">
        <v>46209</v>
      </c>
      <c r="B5078" s="14">
        <v>7002801004</v>
      </c>
      <c r="C5078" s="14">
        <v>38</v>
      </c>
      <c r="D5078" s="184" t="s">
        <v>752</v>
      </c>
    </row>
    <row r="5079" spans="1:4" ht="12.5">
      <c r="A5079" s="186">
        <v>46209</v>
      </c>
      <c r="B5079" s="14">
        <v>7002802090</v>
      </c>
      <c r="C5079" s="14">
        <v>97</v>
      </c>
      <c r="D5079" s="184" t="s">
        <v>752</v>
      </c>
    </row>
    <row r="5080" spans="1:4" ht="12.5">
      <c r="A5080" s="186">
        <v>46209</v>
      </c>
      <c r="B5080" s="14">
        <v>7002803087</v>
      </c>
      <c r="C5080" s="14">
        <v>170</v>
      </c>
      <c r="D5080" s="184" t="s">
        <v>752</v>
      </c>
    </row>
    <row r="5081" spans="1:4" ht="12.5">
      <c r="A5081" s="186">
        <v>46209</v>
      </c>
      <c r="B5081" s="14">
        <v>7002805080</v>
      </c>
      <c r="C5081" s="14">
        <v>70</v>
      </c>
      <c r="D5081" s="184" t="s">
        <v>752</v>
      </c>
    </row>
    <row r="5082" spans="1:4" ht="12.5">
      <c r="A5082" s="186">
        <v>46209</v>
      </c>
      <c r="B5082" s="14">
        <v>7002807024</v>
      </c>
      <c r="C5082" s="14">
        <v>35</v>
      </c>
      <c r="D5082" s="184" t="s">
        <v>752</v>
      </c>
    </row>
    <row r="5083" spans="1:4" ht="12.5">
      <c r="A5083" s="186">
        <v>46209</v>
      </c>
      <c r="B5083" s="14">
        <v>7002815995</v>
      </c>
      <c r="C5083" s="14">
        <v>50</v>
      </c>
      <c r="D5083" s="184" t="s">
        <v>752</v>
      </c>
    </row>
    <row r="5084" spans="1:4" ht="12.5">
      <c r="A5084" s="186">
        <v>46209</v>
      </c>
      <c r="B5084" s="14">
        <v>7002823107</v>
      </c>
      <c r="C5084" s="14">
        <v>3</v>
      </c>
      <c r="D5084" s="184" t="s">
        <v>751</v>
      </c>
    </row>
    <row r="5085" spans="1:4" ht="12.5">
      <c r="A5085" s="186">
        <v>46209</v>
      </c>
      <c r="B5085" s="14">
        <v>7002829321</v>
      </c>
      <c r="C5085" s="14">
        <v>7</v>
      </c>
      <c r="D5085" s="184" t="s">
        <v>758</v>
      </c>
    </row>
    <row r="5086" spans="1:4" ht="12.5">
      <c r="A5086" s="186">
        <v>46209</v>
      </c>
      <c r="B5086" s="14">
        <v>7002832778</v>
      </c>
      <c r="C5086" s="14">
        <v>4</v>
      </c>
      <c r="D5086" s="184" t="s">
        <v>751</v>
      </c>
    </row>
    <row r="5087" spans="1:4" ht="12.5">
      <c r="A5087" s="186">
        <v>46209</v>
      </c>
      <c r="B5087" s="14">
        <v>7002832797</v>
      </c>
      <c r="C5087" s="14">
        <v>60</v>
      </c>
      <c r="D5087" s="184" t="s">
        <v>752</v>
      </c>
    </row>
    <row r="5088" spans="1:4" ht="12.5">
      <c r="A5088" s="186">
        <v>46209</v>
      </c>
      <c r="B5088" s="14">
        <v>7002832886</v>
      </c>
      <c r="C5088" s="14">
        <v>11</v>
      </c>
      <c r="D5088" s="184" t="s">
        <v>752</v>
      </c>
    </row>
    <row r="5089" spans="1:4" ht="12.5">
      <c r="A5089" s="186">
        <v>46209</v>
      </c>
      <c r="B5089" s="14">
        <v>7002832971</v>
      </c>
      <c r="C5089" s="14">
        <v>11</v>
      </c>
      <c r="D5089" s="184" t="s">
        <v>752</v>
      </c>
    </row>
    <row r="5090" spans="1:4" ht="12.5">
      <c r="A5090" s="186">
        <v>46209</v>
      </c>
      <c r="B5090" s="14">
        <v>7002833837</v>
      </c>
      <c r="C5090" s="14">
        <v>11</v>
      </c>
      <c r="D5090" s="184" t="s">
        <v>752</v>
      </c>
    </row>
    <row r="5091" spans="1:4" ht="12.5">
      <c r="A5091" s="186">
        <v>46209</v>
      </c>
      <c r="B5091" s="14">
        <v>7002834935</v>
      </c>
      <c r="C5091" s="14">
        <v>11</v>
      </c>
      <c r="D5091" s="184" t="s">
        <v>752</v>
      </c>
    </row>
    <row r="5092" spans="1:4" ht="12.5">
      <c r="A5092" s="186">
        <v>46209</v>
      </c>
      <c r="B5092" s="14">
        <v>7002834961</v>
      </c>
      <c r="C5092" s="14">
        <v>10</v>
      </c>
      <c r="D5092" s="184" t="s">
        <v>758</v>
      </c>
    </row>
    <row r="5093" spans="1:4" ht="12.5">
      <c r="A5093" s="186">
        <v>46209</v>
      </c>
      <c r="B5093" s="14">
        <v>7002834988</v>
      </c>
      <c r="C5093" s="14">
        <v>12</v>
      </c>
      <c r="D5093" s="184" t="s">
        <v>752</v>
      </c>
    </row>
    <row r="5094" spans="1:4" ht="12.5">
      <c r="A5094" s="186">
        <v>46209</v>
      </c>
      <c r="B5094" s="14">
        <v>7002835908</v>
      </c>
      <c r="C5094" s="14">
        <v>14</v>
      </c>
      <c r="D5094" s="184" t="s">
        <v>752</v>
      </c>
    </row>
    <row r="5095" spans="1:4" ht="12.5">
      <c r="A5095" s="186">
        <v>46209</v>
      </c>
      <c r="B5095" s="14">
        <v>7002835920</v>
      </c>
      <c r="C5095" s="14">
        <v>3</v>
      </c>
      <c r="D5095" s="184" t="s">
        <v>751</v>
      </c>
    </row>
    <row r="5096" spans="1:4" ht="12.5">
      <c r="A5096" s="186">
        <v>46209</v>
      </c>
      <c r="B5096" s="14">
        <v>7002835977</v>
      </c>
      <c r="C5096" s="14">
        <v>30</v>
      </c>
      <c r="D5096" s="184" t="s">
        <v>752</v>
      </c>
    </row>
    <row r="5097" spans="1:4" ht="12.5">
      <c r="A5097" s="186">
        <v>46209</v>
      </c>
      <c r="B5097" s="14">
        <v>7002835983</v>
      </c>
      <c r="C5097" s="14">
        <v>15</v>
      </c>
      <c r="D5097" s="184" t="s">
        <v>752</v>
      </c>
    </row>
    <row r="5098" spans="1:4" ht="12.5">
      <c r="A5098" s="186">
        <v>46209</v>
      </c>
      <c r="B5098" s="14">
        <v>7002836808</v>
      </c>
      <c r="C5098" s="14">
        <v>14</v>
      </c>
      <c r="D5098" s="184" t="s">
        <v>752</v>
      </c>
    </row>
    <row r="5099" spans="1:4" ht="12.5">
      <c r="A5099" s="186">
        <v>46209</v>
      </c>
      <c r="B5099" s="14">
        <v>7002836865</v>
      </c>
      <c r="C5099" s="14">
        <v>52</v>
      </c>
      <c r="D5099" s="184" t="s">
        <v>752</v>
      </c>
    </row>
    <row r="5100" spans="1:4" ht="12.5">
      <c r="A5100" s="186">
        <v>46209</v>
      </c>
      <c r="B5100" s="14">
        <v>7002836978</v>
      </c>
      <c r="C5100" s="14">
        <v>2</v>
      </c>
      <c r="D5100" s="184" t="s">
        <v>751</v>
      </c>
    </row>
    <row r="5101" spans="1:4" ht="12.5">
      <c r="A5101" s="186">
        <v>46209</v>
      </c>
      <c r="B5101" s="14">
        <v>7002837850</v>
      </c>
      <c r="C5101" s="14">
        <v>57</v>
      </c>
      <c r="D5101" s="184" t="s">
        <v>752</v>
      </c>
    </row>
    <row r="5102" spans="1:4" ht="12.5">
      <c r="A5102" s="186">
        <v>46209</v>
      </c>
      <c r="B5102" s="14">
        <v>7002837897</v>
      </c>
      <c r="C5102" s="14">
        <v>2</v>
      </c>
      <c r="D5102" s="184" t="s">
        <v>751</v>
      </c>
    </row>
    <row r="5103" spans="1:4" ht="12.5">
      <c r="A5103" s="186">
        <v>46209</v>
      </c>
      <c r="B5103" s="14">
        <v>7002837914</v>
      </c>
      <c r="C5103" s="14">
        <v>1</v>
      </c>
      <c r="D5103" s="184" t="s">
        <v>750</v>
      </c>
    </row>
    <row r="5104" spans="1:4" ht="12.5">
      <c r="A5104" s="186">
        <v>46209</v>
      </c>
      <c r="B5104" s="14">
        <v>7002837951</v>
      </c>
      <c r="C5104" s="14">
        <v>9</v>
      </c>
      <c r="D5104" s="184" t="s">
        <v>758</v>
      </c>
    </row>
    <row r="5105" spans="1:4" ht="12.5">
      <c r="A5105" s="186">
        <v>46209</v>
      </c>
      <c r="B5105" s="14">
        <v>7002838278</v>
      </c>
      <c r="C5105" s="14">
        <v>17</v>
      </c>
      <c r="D5105" s="184" t="s">
        <v>752</v>
      </c>
    </row>
    <row r="5106" spans="1:4" ht="12.5">
      <c r="A5106" s="186">
        <v>46209</v>
      </c>
      <c r="B5106" s="14">
        <v>7002838910</v>
      </c>
      <c r="C5106" s="14">
        <v>2</v>
      </c>
      <c r="D5106" s="184" t="s">
        <v>751</v>
      </c>
    </row>
    <row r="5107" spans="1:4" ht="12.5">
      <c r="A5107" s="186">
        <v>46209</v>
      </c>
      <c r="B5107" s="14">
        <v>7002838981</v>
      </c>
      <c r="C5107" s="14">
        <v>9</v>
      </c>
      <c r="D5107" s="184" t="s">
        <v>758</v>
      </c>
    </row>
    <row r="5108" spans="1:4" ht="12.5">
      <c r="A5108" s="186">
        <v>46209</v>
      </c>
      <c r="B5108" s="14">
        <v>7002839757</v>
      </c>
      <c r="C5108" s="14">
        <v>3</v>
      </c>
      <c r="D5108" s="184" t="s">
        <v>751</v>
      </c>
    </row>
    <row r="5109" spans="1:4" ht="12.5">
      <c r="A5109" s="186">
        <v>46209</v>
      </c>
      <c r="B5109" s="14">
        <v>7002839834</v>
      </c>
      <c r="C5109" s="14">
        <v>2</v>
      </c>
      <c r="D5109" s="184" t="s">
        <v>751</v>
      </c>
    </row>
    <row r="5110" spans="1:4" ht="12.5">
      <c r="A5110" s="186">
        <v>46209</v>
      </c>
      <c r="B5110" s="14">
        <v>7002839868</v>
      </c>
      <c r="C5110" s="14">
        <v>3</v>
      </c>
      <c r="D5110" s="184" t="s">
        <v>751</v>
      </c>
    </row>
    <row r="5111" spans="1:4" ht="12.5">
      <c r="A5111" s="186">
        <v>46209</v>
      </c>
      <c r="B5111" s="14">
        <v>7002839969</v>
      </c>
      <c r="C5111" s="14">
        <v>1</v>
      </c>
      <c r="D5111" s="184" t="s">
        <v>750</v>
      </c>
    </row>
    <row r="5112" spans="1:4" ht="12.5">
      <c r="A5112" s="186">
        <v>46209</v>
      </c>
      <c r="B5112" s="14">
        <v>7002840046</v>
      </c>
      <c r="C5112" s="14">
        <v>3</v>
      </c>
      <c r="D5112" s="184" t="s">
        <v>751</v>
      </c>
    </row>
    <row r="5113" spans="1:4" ht="12.5">
      <c r="A5113" s="186">
        <v>46209</v>
      </c>
      <c r="B5113" s="14">
        <v>7002840067</v>
      </c>
      <c r="C5113" s="14">
        <v>2</v>
      </c>
      <c r="D5113" s="184" t="s">
        <v>751</v>
      </c>
    </row>
    <row r="5114" spans="1:4" ht="12.5">
      <c r="A5114" s="186">
        <v>46209</v>
      </c>
      <c r="B5114" s="14">
        <v>7002840098</v>
      </c>
      <c r="C5114" s="14">
        <v>1</v>
      </c>
      <c r="D5114" s="184" t="s">
        <v>750</v>
      </c>
    </row>
    <row r="5115" spans="1:4" ht="12.5">
      <c r="A5115" s="186">
        <v>46209</v>
      </c>
      <c r="B5115" s="14">
        <v>7002840294</v>
      </c>
      <c r="C5115" s="14">
        <v>45</v>
      </c>
      <c r="D5115" s="184" t="s">
        <v>752</v>
      </c>
    </row>
    <row r="5116" spans="1:4" ht="12.5">
      <c r="A5116" s="186">
        <v>46209</v>
      </c>
      <c r="B5116" s="14">
        <v>7002840669</v>
      </c>
      <c r="C5116" s="14">
        <v>8</v>
      </c>
      <c r="D5116" s="184" t="s">
        <v>758</v>
      </c>
    </row>
    <row r="5117" spans="1:4" ht="12.5">
      <c r="A5117" s="186">
        <v>46209</v>
      </c>
      <c r="B5117" s="14">
        <v>7002841066</v>
      </c>
      <c r="C5117" s="14">
        <v>3</v>
      </c>
      <c r="D5117" s="184" t="s">
        <v>751</v>
      </c>
    </row>
    <row r="5118" spans="1:4" ht="12.5">
      <c r="A5118" s="186">
        <v>46209</v>
      </c>
      <c r="B5118" s="14">
        <v>7002841286</v>
      </c>
      <c r="C5118" s="14">
        <v>3</v>
      </c>
      <c r="D5118" s="184" t="s">
        <v>751</v>
      </c>
    </row>
    <row r="5119" spans="1:4" ht="12.5">
      <c r="A5119" s="186">
        <v>46209</v>
      </c>
      <c r="B5119" s="14">
        <v>7002841675</v>
      </c>
      <c r="C5119" s="14">
        <v>10</v>
      </c>
      <c r="D5119" s="184" t="s">
        <v>758</v>
      </c>
    </row>
    <row r="5120" spans="1:4" ht="12.5">
      <c r="A5120" s="186">
        <v>46209</v>
      </c>
      <c r="B5120" s="14">
        <v>7002841958</v>
      </c>
      <c r="C5120" s="14">
        <v>3</v>
      </c>
      <c r="D5120" s="184" t="s">
        <v>751</v>
      </c>
    </row>
    <row r="5121" spans="1:4" ht="12.5">
      <c r="A5121" s="186">
        <v>46209</v>
      </c>
      <c r="B5121" s="14">
        <v>7002842049</v>
      </c>
      <c r="C5121" s="14">
        <v>3</v>
      </c>
      <c r="D5121" s="184" t="s">
        <v>751</v>
      </c>
    </row>
    <row r="5122" spans="1:4" ht="12.5">
      <c r="A5122" s="186">
        <v>46209</v>
      </c>
      <c r="B5122" s="14">
        <v>7002842065</v>
      </c>
      <c r="C5122" s="14">
        <v>17</v>
      </c>
      <c r="D5122" s="184" t="s">
        <v>752</v>
      </c>
    </row>
    <row r="5123" spans="1:4" ht="12.5">
      <c r="A5123" s="186">
        <v>46209</v>
      </c>
      <c r="B5123" s="14">
        <v>7002842077</v>
      </c>
      <c r="C5123" s="14">
        <v>3</v>
      </c>
      <c r="D5123" s="184" t="s">
        <v>751</v>
      </c>
    </row>
    <row r="5124" spans="1:4" ht="12.5">
      <c r="A5124" s="186">
        <v>46209</v>
      </c>
      <c r="B5124" s="14">
        <v>7002842129</v>
      </c>
      <c r="C5124" s="14">
        <v>3</v>
      </c>
      <c r="D5124" s="184" t="s">
        <v>751</v>
      </c>
    </row>
    <row r="5125" spans="1:4" ht="12.5">
      <c r="A5125" s="186">
        <v>46209</v>
      </c>
      <c r="B5125" s="14">
        <v>7002842193</v>
      </c>
      <c r="C5125" s="14">
        <v>2</v>
      </c>
      <c r="D5125" s="184" t="s">
        <v>751</v>
      </c>
    </row>
    <row r="5126" spans="1:4" ht="12.5">
      <c r="A5126" s="186">
        <v>46209</v>
      </c>
      <c r="B5126" s="14">
        <v>7002842200</v>
      </c>
      <c r="C5126" s="14">
        <v>64</v>
      </c>
      <c r="D5126" s="184" t="s">
        <v>752</v>
      </c>
    </row>
    <row r="5127" spans="1:4" ht="12.5">
      <c r="A5127" s="186">
        <v>46209</v>
      </c>
      <c r="B5127" s="14">
        <v>7002842228</v>
      </c>
      <c r="C5127" s="14">
        <v>2</v>
      </c>
      <c r="D5127" s="184" t="s">
        <v>751</v>
      </c>
    </row>
    <row r="5128" spans="1:4" ht="12.5">
      <c r="A5128" s="186">
        <v>46209</v>
      </c>
      <c r="B5128" s="14">
        <v>7002842244</v>
      </c>
      <c r="C5128" s="14">
        <v>57</v>
      </c>
      <c r="D5128" s="184" t="s">
        <v>752</v>
      </c>
    </row>
    <row r="5129" spans="1:4" ht="12.5">
      <c r="A5129" s="186">
        <v>46209</v>
      </c>
      <c r="B5129" s="14">
        <v>7002842399</v>
      </c>
      <c r="C5129" s="14">
        <v>3</v>
      </c>
      <c r="D5129" s="184" t="s">
        <v>751</v>
      </c>
    </row>
    <row r="5130" spans="1:4" ht="12.5">
      <c r="A5130" s="186">
        <v>46209</v>
      </c>
      <c r="B5130" s="14">
        <v>7002843048</v>
      </c>
      <c r="C5130" s="14">
        <v>4</v>
      </c>
      <c r="D5130" s="184" t="s">
        <v>751</v>
      </c>
    </row>
    <row r="5131" spans="1:4" ht="12.5">
      <c r="A5131" s="186">
        <v>46209</v>
      </c>
      <c r="B5131" s="14">
        <v>7002843069</v>
      </c>
      <c r="C5131" s="14">
        <v>1</v>
      </c>
      <c r="D5131" s="184" t="s">
        <v>750</v>
      </c>
    </row>
    <row r="5132" spans="1:4" ht="12.5">
      <c r="A5132" s="186">
        <v>46209</v>
      </c>
      <c r="B5132" s="14">
        <v>7002843100</v>
      </c>
      <c r="C5132" s="14">
        <v>36</v>
      </c>
      <c r="D5132" s="184" t="s">
        <v>752</v>
      </c>
    </row>
    <row r="5133" spans="1:4" ht="12.5">
      <c r="A5133" s="186">
        <v>46209</v>
      </c>
      <c r="B5133" s="14">
        <v>7002844006</v>
      </c>
      <c r="C5133" s="14">
        <v>2</v>
      </c>
      <c r="D5133" s="184" t="s">
        <v>751</v>
      </c>
    </row>
    <row r="5134" spans="1:4" ht="12.5">
      <c r="A5134" s="186">
        <v>46209</v>
      </c>
      <c r="B5134" s="14">
        <v>7002844068</v>
      </c>
      <c r="C5134" s="14">
        <v>1</v>
      </c>
      <c r="D5134" s="184" t="s">
        <v>750</v>
      </c>
    </row>
    <row r="5135" spans="1:4" ht="12.5">
      <c r="A5135" s="186">
        <v>46209</v>
      </c>
      <c r="B5135" s="14">
        <v>7002844081</v>
      </c>
      <c r="C5135" s="14">
        <v>2</v>
      </c>
      <c r="D5135" s="184" t="s">
        <v>751</v>
      </c>
    </row>
    <row r="5136" spans="1:4" ht="12.5">
      <c r="A5136" s="186">
        <v>46209</v>
      </c>
      <c r="B5136" s="14">
        <v>7002844099</v>
      </c>
      <c r="C5136" s="14">
        <v>4</v>
      </c>
      <c r="D5136" s="184" t="s">
        <v>751</v>
      </c>
    </row>
    <row r="5137" spans="1:4" ht="12.5">
      <c r="A5137" s="186">
        <v>46209</v>
      </c>
      <c r="B5137" s="14">
        <v>7002844203</v>
      </c>
      <c r="C5137" s="14">
        <v>4</v>
      </c>
      <c r="D5137" s="184" t="s">
        <v>751</v>
      </c>
    </row>
    <row r="5138" spans="1:4" ht="12.5">
      <c r="A5138" s="186">
        <v>46209</v>
      </c>
      <c r="B5138" s="14">
        <v>7002844683</v>
      </c>
      <c r="C5138" s="14">
        <v>8</v>
      </c>
      <c r="D5138" s="184" t="s">
        <v>758</v>
      </c>
    </row>
    <row r="5139" spans="1:4" ht="12.5">
      <c r="A5139" s="186">
        <v>46209</v>
      </c>
      <c r="B5139" s="14">
        <v>7002844696</v>
      </c>
      <c r="C5139" s="14">
        <v>6</v>
      </c>
      <c r="D5139" s="184" t="s">
        <v>758</v>
      </c>
    </row>
    <row r="5140" spans="1:4" ht="12.5">
      <c r="A5140" s="186">
        <v>46209</v>
      </c>
      <c r="B5140" s="14">
        <v>7002845000</v>
      </c>
      <c r="C5140" s="14">
        <v>2</v>
      </c>
      <c r="D5140" s="184" t="s">
        <v>751</v>
      </c>
    </row>
    <row r="5141" spans="1:4" ht="12.5">
      <c r="A5141" s="186">
        <v>46209</v>
      </c>
      <c r="B5141" s="14">
        <v>7002845085</v>
      </c>
      <c r="C5141" s="14">
        <v>6</v>
      </c>
      <c r="D5141" s="184" t="s">
        <v>758</v>
      </c>
    </row>
    <row r="5142" spans="1:4" ht="12.5">
      <c r="A5142" s="186">
        <v>46209</v>
      </c>
      <c r="B5142" s="14">
        <v>7002845092</v>
      </c>
      <c r="C5142" s="14">
        <v>3</v>
      </c>
      <c r="D5142" s="184" t="s">
        <v>751</v>
      </c>
    </row>
    <row r="5143" spans="1:4" ht="12.5">
      <c r="A5143" s="186">
        <v>46209</v>
      </c>
      <c r="B5143" s="14">
        <v>7002845111</v>
      </c>
      <c r="C5143" s="14">
        <v>1</v>
      </c>
      <c r="D5143" s="184" t="s">
        <v>750</v>
      </c>
    </row>
    <row r="5144" spans="1:4" ht="12.5">
      <c r="A5144" s="186">
        <v>46209</v>
      </c>
      <c r="B5144" s="14">
        <v>7002845208</v>
      </c>
      <c r="C5144" s="14">
        <v>22</v>
      </c>
      <c r="D5144" s="184" t="s">
        <v>752</v>
      </c>
    </row>
    <row r="5145" spans="1:4" ht="12.5">
      <c r="A5145" s="186">
        <v>46209</v>
      </c>
      <c r="B5145" s="14">
        <v>7002845254</v>
      </c>
      <c r="C5145" s="14">
        <v>27</v>
      </c>
      <c r="D5145" s="184" t="s">
        <v>752</v>
      </c>
    </row>
    <row r="5146" spans="1:4" ht="12.5">
      <c r="A5146" s="186">
        <v>46209</v>
      </c>
      <c r="B5146" s="14">
        <v>7002845690</v>
      </c>
      <c r="C5146" s="14">
        <v>4</v>
      </c>
      <c r="D5146" s="184" t="s">
        <v>751</v>
      </c>
    </row>
    <row r="5147" spans="1:4" ht="12.5">
      <c r="A5147" s="186">
        <v>46209</v>
      </c>
      <c r="B5147" s="14">
        <v>7002845809</v>
      </c>
      <c r="C5147" s="14">
        <v>1</v>
      </c>
      <c r="D5147" s="184" t="s">
        <v>750</v>
      </c>
    </row>
    <row r="5148" spans="1:4" ht="12.5">
      <c r="A5148" s="186">
        <v>46209</v>
      </c>
      <c r="B5148" s="14">
        <v>7002846064</v>
      </c>
      <c r="C5148" s="14">
        <v>6</v>
      </c>
      <c r="D5148" s="184" t="s">
        <v>758</v>
      </c>
    </row>
    <row r="5149" spans="1:4" ht="12.5">
      <c r="A5149" s="186">
        <v>46209</v>
      </c>
      <c r="B5149" s="14">
        <v>7002846086</v>
      </c>
      <c r="C5149" s="14">
        <v>1</v>
      </c>
      <c r="D5149" s="184" t="s">
        <v>750</v>
      </c>
    </row>
    <row r="5150" spans="1:4" ht="12.5">
      <c r="A5150" s="186">
        <v>46209</v>
      </c>
      <c r="B5150" s="14">
        <v>7002846867</v>
      </c>
      <c r="C5150" s="14">
        <v>5</v>
      </c>
      <c r="D5150" s="184" t="s">
        <v>751</v>
      </c>
    </row>
    <row r="5151" spans="1:4" ht="12.5">
      <c r="A5151" s="186">
        <v>46209</v>
      </c>
      <c r="B5151" s="14">
        <v>7002847073</v>
      </c>
      <c r="C5151" s="14">
        <v>3</v>
      </c>
      <c r="D5151" s="184" t="s">
        <v>751</v>
      </c>
    </row>
    <row r="5152" spans="1:4" ht="12.5">
      <c r="A5152" s="186">
        <v>46209</v>
      </c>
      <c r="B5152" s="14">
        <v>7002847246</v>
      </c>
      <c r="C5152" s="14">
        <v>3</v>
      </c>
      <c r="D5152" s="184" t="s">
        <v>751</v>
      </c>
    </row>
    <row r="5153" spans="1:4" ht="12.5">
      <c r="A5153" s="186">
        <v>46209</v>
      </c>
      <c r="B5153" s="14">
        <v>7002847298</v>
      </c>
      <c r="C5153" s="14">
        <v>70</v>
      </c>
      <c r="D5153" s="184" t="s">
        <v>752</v>
      </c>
    </row>
    <row r="5154" spans="1:4" ht="12.5">
      <c r="A5154" s="186">
        <v>46209</v>
      </c>
      <c r="B5154" s="14">
        <v>7002847315</v>
      </c>
      <c r="C5154" s="14">
        <v>9</v>
      </c>
      <c r="D5154" s="184" t="s">
        <v>758</v>
      </c>
    </row>
    <row r="5155" spans="1:4" ht="12.5">
      <c r="A5155" s="186">
        <v>46209</v>
      </c>
      <c r="B5155" s="14">
        <v>7002847412</v>
      </c>
      <c r="C5155" s="14">
        <v>3</v>
      </c>
      <c r="D5155" s="184" t="s">
        <v>751</v>
      </c>
    </row>
    <row r="5156" spans="1:4" ht="12.5">
      <c r="A5156" s="186">
        <v>46209</v>
      </c>
      <c r="B5156" s="14">
        <v>7002847420</v>
      </c>
      <c r="C5156" s="14">
        <v>2</v>
      </c>
      <c r="D5156" s="184" t="s">
        <v>751</v>
      </c>
    </row>
    <row r="5157" spans="1:4" ht="12.5">
      <c r="A5157" s="186">
        <v>46209</v>
      </c>
      <c r="B5157" s="14">
        <v>7002847564</v>
      </c>
      <c r="C5157" s="14">
        <v>3</v>
      </c>
      <c r="D5157" s="184" t="s">
        <v>751</v>
      </c>
    </row>
    <row r="5158" spans="1:4" ht="12.5">
      <c r="A5158" s="186">
        <v>46209</v>
      </c>
      <c r="B5158" s="14">
        <v>7002847911</v>
      </c>
      <c r="C5158" s="14">
        <v>60</v>
      </c>
      <c r="D5158" s="184" t="s">
        <v>752</v>
      </c>
    </row>
    <row r="5159" spans="1:4" ht="12.5">
      <c r="A5159" s="186">
        <v>46209</v>
      </c>
      <c r="B5159" s="14">
        <v>7002848035</v>
      </c>
      <c r="C5159" s="14">
        <v>2</v>
      </c>
      <c r="D5159" s="184" t="s">
        <v>751</v>
      </c>
    </row>
    <row r="5160" spans="1:4" ht="12.5">
      <c r="A5160" s="186">
        <v>46209</v>
      </c>
      <c r="B5160" s="14">
        <v>7002848594</v>
      </c>
      <c r="C5160" s="14">
        <v>1</v>
      </c>
      <c r="D5160" s="184" t="s">
        <v>750</v>
      </c>
    </row>
    <row r="5161" spans="1:4" ht="12.5">
      <c r="A5161" s="186">
        <v>46209</v>
      </c>
      <c r="B5161" s="14">
        <v>7002849058</v>
      </c>
      <c r="C5161" s="14">
        <v>4</v>
      </c>
      <c r="D5161" s="184" t="s">
        <v>751</v>
      </c>
    </row>
    <row r="5162" spans="1:4" ht="12.5">
      <c r="A5162" s="186">
        <v>46209</v>
      </c>
      <c r="B5162" s="14">
        <v>7002849355</v>
      </c>
      <c r="C5162" s="14">
        <v>1</v>
      </c>
      <c r="D5162" s="184" t="s">
        <v>750</v>
      </c>
    </row>
    <row r="5163" spans="1:4" ht="12.5">
      <c r="A5163" s="186">
        <v>46209</v>
      </c>
      <c r="B5163" s="14">
        <v>7002850175</v>
      </c>
      <c r="C5163" s="14">
        <v>4</v>
      </c>
      <c r="D5163" s="184" t="s">
        <v>751</v>
      </c>
    </row>
    <row r="5164" spans="1:4" ht="12.5">
      <c r="A5164" s="186">
        <v>46209</v>
      </c>
      <c r="B5164" s="14">
        <v>7002850269</v>
      </c>
      <c r="C5164" s="14">
        <v>5</v>
      </c>
      <c r="D5164" s="184" t="s">
        <v>751</v>
      </c>
    </row>
    <row r="5165" spans="1:4" ht="12.5">
      <c r="A5165" s="186">
        <v>46209</v>
      </c>
      <c r="B5165" s="14">
        <v>7002850542</v>
      </c>
      <c r="C5165" s="14">
        <v>11</v>
      </c>
      <c r="D5165" s="184" t="s">
        <v>752</v>
      </c>
    </row>
    <row r="5166" spans="1:4" ht="12.5">
      <c r="A5166" s="186">
        <v>46209</v>
      </c>
      <c r="B5166" s="14">
        <v>7002851090</v>
      </c>
      <c r="C5166" s="14">
        <v>4</v>
      </c>
      <c r="D5166" s="184" t="s">
        <v>751</v>
      </c>
    </row>
    <row r="5167" spans="1:4" ht="12.5">
      <c r="A5167" s="186">
        <v>46209</v>
      </c>
      <c r="B5167" s="14">
        <v>7002851247</v>
      </c>
      <c r="C5167" s="14">
        <v>11</v>
      </c>
      <c r="D5167" s="184" t="s">
        <v>752</v>
      </c>
    </row>
    <row r="5168" spans="1:4" ht="12.5">
      <c r="A5168" s="186">
        <v>46209</v>
      </c>
      <c r="B5168" s="14">
        <v>7002851300</v>
      </c>
      <c r="C5168" s="14">
        <v>2</v>
      </c>
      <c r="D5168" s="184" t="s">
        <v>751</v>
      </c>
    </row>
    <row r="5169" spans="1:4" ht="12.5">
      <c r="A5169" s="186">
        <v>46209</v>
      </c>
      <c r="B5169" s="14">
        <v>7002851337</v>
      </c>
      <c r="C5169" s="14">
        <v>5</v>
      </c>
      <c r="D5169" s="184" t="s">
        <v>751</v>
      </c>
    </row>
    <row r="5170" spans="1:4" ht="12.5">
      <c r="A5170" s="186">
        <v>46209</v>
      </c>
      <c r="B5170" s="14">
        <v>7002851715</v>
      </c>
      <c r="C5170" s="14">
        <v>2</v>
      </c>
      <c r="D5170" s="184" t="s">
        <v>751</v>
      </c>
    </row>
    <row r="5171" spans="1:4" ht="12.5">
      <c r="A5171" s="186">
        <v>46209</v>
      </c>
      <c r="B5171" s="14">
        <v>7002852246</v>
      </c>
      <c r="C5171" s="14">
        <v>1</v>
      </c>
      <c r="D5171" s="184" t="s">
        <v>750</v>
      </c>
    </row>
    <row r="5172" spans="1:4" ht="12.5">
      <c r="A5172" s="186">
        <v>46209</v>
      </c>
      <c r="B5172" s="14">
        <v>7002852304</v>
      </c>
      <c r="C5172" s="14">
        <v>3</v>
      </c>
      <c r="D5172" s="184" t="s">
        <v>751</v>
      </c>
    </row>
    <row r="5173" spans="1:4" ht="12.5">
      <c r="A5173" s="186">
        <v>46209</v>
      </c>
      <c r="B5173" s="14">
        <v>7002852774</v>
      </c>
      <c r="C5173" s="14">
        <v>1</v>
      </c>
      <c r="D5173" s="184" t="s">
        <v>750</v>
      </c>
    </row>
    <row r="5174" spans="1:4" ht="12.5">
      <c r="A5174" s="186">
        <v>46209</v>
      </c>
      <c r="B5174" s="14">
        <v>7002852930</v>
      </c>
      <c r="C5174" s="14">
        <v>15</v>
      </c>
      <c r="D5174" s="184" t="s">
        <v>752</v>
      </c>
    </row>
    <row r="5175" spans="1:4" ht="12.5">
      <c r="A5175" s="186">
        <v>46209</v>
      </c>
      <c r="B5175" s="14">
        <v>7002853108</v>
      </c>
      <c r="C5175" s="14">
        <v>5</v>
      </c>
      <c r="D5175" s="184" t="s">
        <v>751</v>
      </c>
    </row>
    <row r="5176" spans="1:4" ht="12.5">
      <c r="A5176" s="186">
        <v>46209</v>
      </c>
      <c r="B5176" s="14">
        <v>7002853149</v>
      </c>
      <c r="C5176" s="14">
        <v>3</v>
      </c>
      <c r="D5176" s="184" t="s">
        <v>751</v>
      </c>
    </row>
    <row r="5177" spans="1:4" ht="12.5">
      <c r="A5177" s="186">
        <v>46209</v>
      </c>
      <c r="B5177" s="14">
        <v>7002853303</v>
      </c>
      <c r="C5177" s="14">
        <v>3</v>
      </c>
      <c r="D5177" s="184" t="s">
        <v>751</v>
      </c>
    </row>
    <row r="5178" spans="1:4" ht="12.5">
      <c r="A5178" s="186">
        <v>46209</v>
      </c>
      <c r="B5178" s="14">
        <v>7002853689</v>
      </c>
      <c r="C5178" s="14">
        <v>1</v>
      </c>
      <c r="D5178" s="184" t="s">
        <v>750</v>
      </c>
    </row>
    <row r="5179" spans="1:4" ht="12.5">
      <c r="A5179" s="186">
        <v>46209</v>
      </c>
      <c r="B5179" s="14">
        <v>7002854176</v>
      </c>
      <c r="C5179" s="14">
        <v>6</v>
      </c>
      <c r="D5179" s="184" t="s">
        <v>758</v>
      </c>
    </row>
    <row r="5180" spans="1:4" ht="12.5">
      <c r="A5180" s="186">
        <v>46209</v>
      </c>
      <c r="B5180" s="14">
        <v>7002854296</v>
      </c>
      <c r="C5180" s="14">
        <v>3</v>
      </c>
      <c r="D5180" s="184" t="s">
        <v>751</v>
      </c>
    </row>
    <row r="5181" spans="1:4" ht="12.5">
      <c r="A5181" s="186">
        <v>46209</v>
      </c>
      <c r="B5181" s="14">
        <v>7002854360</v>
      </c>
      <c r="C5181" s="14">
        <v>1</v>
      </c>
      <c r="D5181" s="184" t="s">
        <v>750</v>
      </c>
    </row>
    <row r="5182" spans="1:4" ht="12.5">
      <c r="A5182" s="186">
        <v>46209</v>
      </c>
      <c r="B5182" s="14">
        <v>7002854591</v>
      </c>
      <c r="C5182" s="14">
        <v>1</v>
      </c>
      <c r="D5182" s="184" t="s">
        <v>750</v>
      </c>
    </row>
    <row r="5183" spans="1:4" ht="12.5">
      <c r="A5183" s="186">
        <v>46209</v>
      </c>
      <c r="B5183" s="14">
        <v>7002854878</v>
      </c>
      <c r="C5183" s="14">
        <v>1</v>
      </c>
      <c r="D5183" s="184" t="s">
        <v>750</v>
      </c>
    </row>
    <row r="5184" spans="1:4" ht="12.5">
      <c r="A5184" s="186">
        <v>46209</v>
      </c>
      <c r="B5184" s="14">
        <v>7002855158</v>
      </c>
      <c r="C5184" s="14">
        <v>3</v>
      </c>
      <c r="D5184" s="184" t="s">
        <v>751</v>
      </c>
    </row>
    <row r="5185" spans="1:4" ht="12.5">
      <c r="A5185" s="186">
        <v>46209</v>
      </c>
      <c r="B5185" s="14">
        <v>7002855189</v>
      </c>
      <c r="C5185" s="14">
        <v>4</v>
      </c>
      <c r="D5185" s="184" t="s">
        <v>751</v>
      </c>
    </row>
    <row r="5186" spans="1:4" ht="12.5">
      <c r="A5186" s="186">
        <v>46209</v>
      </c>
      <c r="B5186" s="14">
        <v>7002855191</v>
      </c>
      <c r="C5186" s="14">
        <v>3</v>
      </c>
      <c r="D5186" s="184" t="s">
        <v>751</v>
      </c>
    </row>
    <row r="5187" spans="1:4" ht="12.5">
      <c r="A5187" s="186">
        <v>46209</v>
      </c>
      <c r="B5187" s="14">
        <v>7002855332</v>
      </c>
      <c r="C5187" s="14">
        <v>1</v>
      </c>
      <c r="D5187" s="184" t="s">
        <v>750</v>
      </c>
    </row>
    <row r="5188" spans="1:4" ht="12.5">
      <c r="A5188" s="186">
        <v>46209</v>
      </c>
      <c r="B5188" s="14">
        <v>7002855582</v>
      </c>
      <c r="C5188" s="14">
        <v>1</v>
      </c>
      <c r="D5188" s="184" t="s">
        <v>750</v>
      </c>
    </row>
    <row r="5189" spans="1:4" ht="12.5">
      <c r="A5189" s="186">
        <v>46209</v>
      </c>
      <c r="B5189" s="14">
        <v>7002855631</v>
      </c>
      <c r="C5189" s="14">
        <v>1</v>
      </c>
      <c r="D5189" s="184" t="s">
        <v>750</v>
      </c>
    </row>
    <row r="5190" spans="1:4" ht="12.5">
      <c r="A5190" s="186">
        <v>46209</v>
      </c>
      <c r="B5190" s="14">
        <v>7002855683</v>
      </c>
      <c r="C5190" s="14">
        <v>1</v>
      </c>
      <c r="D5190" s="184" t="s">
        <v>750</v>
      </c>
    </row>
    <row r="5191" spans="1:4" ht="12.5">
      <c r="A5191" s="186">
        <v>46209</v>
      </c>
      <c r="B5191" s="14">
        <v>7002855856</v>
      </c>
      <c r="C5191" s="14">
        <v>19</v>
      </c>
      <c r="D5191" s="184" t="s">
        <v>752</v>
      </c>
    </row>
    <row r="5192" spans="1:4" ht="12.5">
      <c r="A5192" s="186">
        <v>46209</v>
      </c>
      <c r="B5192" s="14">
        <v>7002855986</v>
      </c>
      <c r="C5192" s="14">
        <v>1</v>
      </c>
      <c r="D5192" s="184" t="s">
        <v>750</v>
      </c>
    </row>
    <row r="5193" spans="1:4" ht="12.5">
      <c r="A5193" s="186">
        <v>46209</v>
      </c>
      <c r="B5193" s="14">
        <v>7002856159</v>
      </c>
      <c r="C5193" s="14">
        <v>10</v>
      </c>
      <c r="D5193" s="184" t="s">
        <v>758</v>
      </c>
    </row>
    <row r="5194" spans="1:4" ht="12.5">
      <c r="A5194" s="186">
        <v>46209</v>
      </c>
      <c r="B5194" s="14">
        <v>7002856163</v>
      </c>
      <c r="C5194" s="14">
        <v>9</v>
      </c>
      <c r="D5194" s="184" t="s">
        <v>758</v>
      </c>
    </row>
    <row r="5195" spans="1:4" ht="12.5">
      <c r="A5195" s="186">
        <v>46209</v>
      </c>
      <c r="B5195" s="14">
        <v>7002856171</v>
      </c>
      <c r="C5195" s="14">
        <v>4</v>
      </c>
      <c r="D5195" s="184" t="s">
        <v>751</v>
      </c>
    </row>
    <row r="5196" spans="1:4" ht="12.5">
      <c r="A5196" s="186">
        <v>46209</v>
      </c>
      <c r="B5196" s="14">
        <v>7002856270</v>
      </c>
      <c r="C5196" s="14">
        <v>1</v>
      </c>
      <c r="D5196" s="184" t="s">
        <v>750</v>
      </c>
    </row>
    <row r="5197" spans="1:4" ht="12.5">
      <c r="A5197" s="186">
        <v>46209</v>
      </c>
      <c r="B5197" s="14">
        <v>7002856678</v>
      </c>
      <c r="C5197" s="14">
        <v>1</v>
      </c>
      <c r="D5197" s="184" t="s">
        <v>750</v>
      </c>
    </row>
    <row r="5198" spans="1:4" ht="12.5">
      <c r="A5198" s="186">
        <v>46209</v>
      </c>
      <c r="B5198" s="14">
        <v>7002856803</v>
      </c>
      <c r="C5198" s="14">
        <v>4</v>
      </c>
      <c r="D5198" s="184" t="s">
        <v>751</v>
      </c>
    </row>
    <row r="5199" spans="1:4" ht="12.5">
      <c r="A5199" s="186">
        <v>46209</v>
      </c>
      <c r="B5199" s="14">
        <v>7002856861</v>
      </c>
      <c r="C5199" s="14">
        <v>1</v>
      </c>
      <c r="D5199" s="184" t="s">
        <v>750</v>
      </c>
    </row>
    <row r="5200" spans="1:4" ht="12.5">
      <c r="A5200" s="186">
        <v>46209</v>
      </c>
      <c r="B5200" s="14">
        <v>7002857164</v>
      </c>
      <c r="C5200" s="14">
        <v>6</v>
      </c>
      <c r="D5200" s="184" t="s">
        <v>758</v>
      </c>
    </row>
    <row r="5201" spans="1:4" ht="12.5">
      <c r="A5201" s="186">
        <v>46209</v>
      </c>
      <c r="B5201" s="14">
        <v>7002857306</v>
      </c>
      <c r="C5201" s="14">
        <v>10</v>
      </c>
      <c r="D5201" s="184" t="s">
        <v>758</v>
      </c>
    </row>
    <row r="5202" spans="1:4" ht="12.5">
      <c r="A5202" s="186">
        <v>46209</v>
      </c>
      <c r="B5202" s="14">
        <v>7002857334</v>
      </c>
      <c r="C5202" s="14">
        <v>5</v>
      </c>
      <c r="D5202" s="184" t="s">
        <v>751</v>
      </c>
    </row>
    <row r="5203" spans="1:4" ht="12.5">
      <c r="A5203" s="186">
        <v>46209</v>
      </c>
      <c r="B5203" s="14">
        <v>7002857667</v>
      </c>
      <c r="C5203" s="14">
        <v>8</v>
      </c>
      <c r="D5203" s="184" t="s">
        <v>758</v>
      </c>
    </row>
    <row r="5204" spans="1:4" ht="12.5">
      <c r="A5204" s="186">
        <v>46209</v>
      </c>
      <c r="B5204" s="14">
        <v>7002857836</v>
      </c>
      <c r="C5204" s="14">
        <v>1</v>
      </c>
      <c r="D5204" s="184" t="s">
        <v>750</v>
      </c>
    </row>
    <row r="5205" spans="1:4" ht="12.5">
      <c r="A5205" s="186">
        <v>46209</v>
      </c>
      <c r="B5205" s="14">
        <v>7002858505</v>
      </c>
      <c r="C5205" s="14">
        <v>2</v>
      </c>
      <c r="D5205" s="184" t="s">
        <v>751</v>
      </c>
    </row>
    <row r="5206" spans="1:4" ht="12.5">
      <c r="A5206" s="186">
        <v>46209</v>
      </c>
      <c r="B5206" s="14">
        <v>7002858551</v>
      </c>
      <c r="C5206" s="14">
        <v>1</v>
      </c>
      <c r="D5206" s="184" t="s">
        <v>750</v>
      </c>
    </row>
    <row r="5207" spans="1:4" ht="12.5">
      <c r="A5207" s="186">
        <v>46209</v>
      </c>
      <c r="B5207" s="14">
        <v>7002859331</v>
      </c>
      <c r="C5207" s="14">
        <v>1</v>
      </c>
      <c r="D5207" s="184" t="s">
        <v>750</v>
      </c>
    </row>
    <row r="5208" spans="1:4" ht="12.5">
      <c r="A5208" s="186">
        <v>46209</v>
      </c>
      <c r="B5208" s="14">
        <v>7002859695</v>
      </c>
      <c r="C5208" s="14">
        <v>1</v>
      </c>
      <c r="D5208" s="184" t="s">
        <v>750</v>
      </c>
    </row>
    <row r="5209" spans="1:4" ht="12.5">
      <c r="A5209" s="186">
        <v>46209</v>
      </c>
      <c r="B5209" s="14">
        <v>7002859872</v>
      </c>
      <c r="C5209" s="14">
        <v>1</v>
      </c>
      <c r="D5209" s="184" t="s">
        <v>750</v>
      </c>
    </row>
    <row r="5210" spans="1:4" ht="12.5">
      <c r="A5210" s="186">
        <v>46209</v>
      </c>
      <c r="B5210" s="14">
        <v>7002870038</v>
      </c>
      <c r="C5210" s="14">
        <v>53</v>
      </c>
      <c r="D5210" s="184" t="s">
        <v>752</v>
      </c>
    </row>
    <row r="5211" spans="1:4" ht="12.5">
      <c r="A5211" s="186">
        <v>46209</v>
      </c>
      <c r="B5211" s="14">
        <v>7002870108</v>
      </c>
      <c r="C5211" s="14">
        <v>96</v>
      </c>
      <c r="D5211" s="184" t="s">
        <v>752</v>
      </c>
    </row>
    <row r="5212" spans="1:4" ht="12.5">
      <c r="A5212" s="186">
        <v>46209</v>
      </c>
      <c r="B5212" s="14">
        <v>7002870165</v>
      </c>
      <c r="C5212" s="14">
        <v>1</v>
      </c>
      <c r="D5212" s="184" t="s">
        <v>750</v>
      </c>
    </row>
    <row r="5213" spans="1:4" ht="12.5">
      <c r="A5213" s="186">
        <v>46209</v>
      </c>
      <c r="B5213" s="14">
        <v>7002870544</v>
      </c>
      <c r="C5213" s="14">
        <v>2</v>
      </c>
      <c r="D5213" s="184" t="s">
        <v>751</v>
      </c>
    </row>
    <row r="5214" spans="1:4" ht="12.5">
      <c r="A5214" s="186">
        <v>46209</v>
      </c>
      <c r="B5214" s="14">
        <v>7002871148</v>
      </c>
      <c r="C5214" s="14">
        <v>1</v>
      </c>
      <c r="D5214" s="184" t="s">
        <v>750</v>
      </c>
    </row>
    <row r="5215" spans="1:4" ht="12.5">
      <c r="A5215" s="186">
        <v>46209</v>
      </c>
      <c r="B5215" s="14">
        <v>7002871169</v>
      </c>
      <c r="C5215" s="14">
        <v>14</v>
      </c>
      <c r="D5215" s="184" t="s">
        <v>752</v>
      </c>
    </row>
    <row r="5216" spans="1:4" ht="12.5">
      <c r="A5216" s="186">
        <v>46209</v>
      </c>
      <c r="B5216" s="14">
        <v>7002871360</v>
      </c>
      <c r="C5216" s="14">
        <v>12</v>
      </c>
      <c r="D5216" s="184" t="s">
        <v>752</v>
      </c>
    </row>
    <row r="5217" spans="1:4" ht="12.5">
      <c r="A5217" s="186">
        <v>46209</v>
      </c>
      <c r="B5217" s="14">
        <v>7002872542</v>
      </c>
      <c r="C5217" s="14">
        <v>1</v>
      </c>
      <c r="D5217" s="184" t="s">
        <v>750</v>
      </c>
    </row>
    <row r="5218" spans="1:4" ht="12.5">
      <c r="A5218" s="186">
        <v>46209</v>
      </c>
      <c r="B5218" s="14">
        <v>7002872641</v>
      </c>
      <c r="C5218" s="14">
        <v>6</v>
      </c>
      <c r="D5218" s="184" t="s">
        <v>758</v>
      </c>
    </row>
    <row r="5219" spans="1:4" ht="12.5">
      <c r="A5219" s="186">
        <v>46209</v>
      </c>
      <c r="B5219" s="14">
        <v>7002872785</v>
      </c>
      <c r="C5219" s="14">
        <v>1</v>
      </c>
      <c r="D5219" s="184" t="s">
        <v>750</v>
      </c>
    </row>
    <row r="5220" spans="1:4" ht="12.5">
      <c r="A5220" s="186">
        <v>46209</v>
      </c>
      <c r="B5220" s="14">
        <v>7002873133</v>
      </c>
      <c r="C5220" s="14">
        <v>49</v>
      </c>
      <c r="D5220" s="184" t="s">
        <v>752</v>
      </c>
    </row>
    <row r="5221" spans="1:4" ht="12.5">
      <c r="A5221" s="186">
        <v>46209</v>
      </c>
      <c r="B5221" s="14">
        <v>7002873151</v>
      </c>
      <c r="C5221" s="14">
        <v>9</v>
      </c>
      <c r="D5221" s="184" t="s">
        <v>758</v>
      </c>
    </row>
    <row r="5222" spans="1:4" ht="12.5">
      <c r="A5222" s="186">
        <v>46209</v>
      </c>
      <c r="B5222" s="14">
        <v>7002873736</v>
      </c>
      <c r="C5222" s="14">
        <v>8</v>
      </c>
      <c r="D5222" s="184" t="s">
        <v>758</v>
      </c>
    </row>
    <row r="5223" spans="1:4" ht="12.5">
      <c r="A5223" s="186">
        <v>46209</v>
      </c>
      <c r="B5223" s="14">
        <v>7002873791</v>
      </c>
      <c r="C5223" s="14">
        <v>6</v>
      </c>
      <c r="D5223" s="184" t="s">
        <v>758</v>
      </c>
    </row>
    <row r="5224" spans="1:4" ht="12.5">
      <c r="A5224" s="186">
        <v>46209</v>
      </c>
      <c r="B5224" s="14">
        <v>7002873882</v>
      </c>
      <c r="C5224" s="14">
        <v>2</v>
      </c>
      <c r="D5224" s="184" t="s">
        <v>751</v>
      </c>
    </row>
    <row r="5225" spans="1:4" ht="12.5">
      <c r="A5225" s="186">
        <v>46209</v>
      </c>
      <c r="B5225" s="14">
        <v>7002874073</v>
      </c>
      <c r="C5225" s="14">
        <v>1</v>
      </c>
      <c r="D5225" s="184" t="s">
        <v>750</v>
      </c>
    </row>
    <row r="5226" spans="1:4" ht="12.5">
      <c r="A5226" s="186">
        <v>46209</v>
      </c>
      <c r="B5226" s="14">
        <v>7002874121</v>
      </c>
      <c r="C5226" s="14">
        <v>1</v>
      </c>
      <c r="D5226" s="184" t="s">
        <v>750</v>
      </c>
    </row>
    <row r="5227" spans="1:4" ht="12.5">
      <c r="A5227" s="186">
        <v>46209</v>
      </c>
      <c r="B5227" s="14">
        <v>7002874205</v>
      </c>
      <c r="C5227" s="14">
        <v>37</v>
      </c>
      <c r="D5227" s="184" t="s">
        <v>752</v>
      </c>
    </row>
    <row r="5228" spans="1:4" ht="12.5">
      <c r="A5228" s="186">
        <v>46209</v>
      </c>
      <c r="B5228" s="14">
        <v>7002874790</v>
      </c>
      <c r="C5228" s="14">
        <v>4</v>
      </c>
      <c r="D5228" s="184" t="s">
        <v>751</v>
      </c>
    </row>
    <row r="5229" spans="1:4" ht="12.5">
      <c r="A5229" s="186">
        <v>46209</v>
      </c>
      <c r="B5229" s="14">
        <v>7002875084</v>
      </c>
      <c r="C5229" s="14">
        <v>1</v>
      </c>
      <c r="D5229" s="184" t="s">
        <v>750</v>
      </c>
    </row>
    <row r="5230" spans="1:4" ht="12.5">
      <c r="A5230" s="186">
        <v>46209</v>
      </c>
      <c r="B5230" s="14">
        <v>7002875160</v>
      </c>
      <c r="C5230" s="14">
        <v>5</v>
      </c>
      <c r="D5230" s="184" t="s">
        <v>751</v>
      </c>
    </row>
    <row r="5231" spans="1:4" ht="12.5">
      <c r="A5231" s="186">
        <v>46209</v>
      </c>
      <c r="B5231" s="14">
        <v>7002875187</v>
      </c>
      <c r="C5231" s="14">
        <v>25</v>
      </c>
      <c r="D5231" s="184" t="s">
        <v>752</v>
      </c>
    </row>
    <row r="5232" spans="1:4" ht="12.5">
      <c r="A5232" s="186">
        <v>46209</v>
      </c>
      <c r="B5232" s="14">
        <v>7002875754</v>
      </c>
      <c r="C5232" s="14">
        <v>3</v>
      </c>
      <c r="D5232" s="184" t="s">
        <v>751</v>
      </c>
    </row>
    <row r="5233" spans="1:4" ht="12.5">
      <c r="A5233" s="186">
        <v>46209</v>
      </c>
      <c r="B5233" s="14">
        <v>7002876126</v>
      </c>
      <c r="C5233" s="14">
        <v>4</v>
      </c>
      <c r="D5233" s="184" t="s">
        <v>751</v>
      </c>
    </row>
    <row r="5234" spans="1:4" ht="12.5">
      <c r="A5234" s="186">
        <v>46209</v>
      </c>
      <c r="B5234" s="14">
        <v>7002877136</v>
      </c>
      <c r="C5234" s="14">
        <v>20</v>
      </c>
      <c r="D5234" s="184" t="s">
        <v>752</v>
      </c>
    </row>
    <row r="5235" spans="1:4" ht="12.5">
      <c r="A5235" s="186">
        <v>46209</v>
      </c>
      <c r="B5235" s="14">
        <v>7002877257</v>
      </c>
      <c r="C5235" s="14">
        <v>52</v>
      </c>
      <c r="D5235" s="184" t="s">
        <v>752</v>
      </c>
    </row>
    <row r="5236" spans="1:4" ht="12.5">
      <c r="A5236" s="186">
        <v>46209</v>
      </c>
      <c r="B5236" s="14">
        <v>7002877767</v>
      </c>
      <c r="C5236" s="14">
        <v>2</v>
      </c>
      <c r="D5236" s="184" t="s">
        <v>751</v>
      </c>
    </row>
    <row r="5237" spans="1:4" ht="12.5">
      <c r="A5237" s="186">
        <v>46209</v>
      </c>
      <c r="B5237" s="14">
        <v>7002877856</v>
      </c>
      <c r="C5237" s="14">
        <v>1</v>
      </c>
      <c r="D5237" s="184" t="s">
        <v>750</v>
      </c>
    </row>
    <row r="5238" spans="1:4" ht="12.5">
      <c r="A5238" s="186">
        <v>46209</v>
      </c>
      <c r="B5238" s="14">
        <v>7002878082</v>
      </c>
      <c r="C5238" s="14">
        <v>3</v>
      </c>
      <c r="D5238" s="184" t="s">
        <v>751</v>
      </c>
    </row>
    <row r="5239" spans="1:4" ht="12.5">
      <c r="A5239" s="186">
        <v>46209</v>
      </c>
      <c r="B5239" s="14">
        <v>7002878185</v>
      </c>
      <c r="C5239" s="14">
        <v>63</v>
      </c>
      <c r="D5239" s="184" t="s">
        <v>752</v>
      </c>
    </row>
    <row r="5240" spans="1:4" ht="12.5">
      <c r="A5240" s="186">
        <v>46209</v>
      </c>
      <c r="B5240" s="14">
        <v>7002878258</v>
      </c>
      <c r="C5240" s="14">
        <v>7</v>
      </c>
      <c r="D5240" s="184" t="s">
        <v>758</v>
      </c>
    </row>
    <row r="5241" spans="1:4" ht="12.5">
      <c r="A5241" s="186">
        <v>46209</v>
      </c>
      <c r="B5241" s="14">
        <v>7002879129</v>
      </c>
      <c r="C5241" s="14">
        <v>8</v>
      </c>
      <c r="D5241" s="184" t="s">
        <v>758</v>
      </c>
    </row>
    <row r="5242" spans="1:4" ht="12.5">
      <c r="A5242" s="186">
        <v>46209</v>
      </c>
      <c r="B5242" s="14">
        <v>7002879138</v>
      </c>
      <c r="C5242" s="14">
        <v>25</v>
      </c>
      <c r="D5242" s="184" t="s">
        <v>752</v>
      </c>
    </row>
    <row r="5243" spans="1:4" ht="12.5">
      <c r="A5243" s="186">
        <v>46209</v>
      </c>
      <c r="B5243" s="14">
        <v>7002879186</v>
      </c>
      <c r="C5243" s="14">
        <v>6</v>
      </c>
      <c r="D5243" s="184" t="s">
        <v>758</v>
      </c>
    </row>
    <row r="5244" spans="1:4" ht="12.5">
      <c r="A5244" s="186">
        <v>46209</v>
      </c>
      <c r="B5244" s="14">
        <v>7002880203</v>
      </c>
      <c r="C5244" s="14">
        <v>3</v>
      </c>
      <c r="D5244" s="184" t="s">
        <v>751</v>
      </c>
    </row>
    <row r="5245" spans="1:4" ht="12.5">
      <c r="A5245" s="186">
        <v>46209</v>
      </c>
      <c r="B5245" s="14">
        <v>7002880548</v>
      </c>
      <c r="C5245" s="14">
        <v>10</v>
      </c>
      <c r="D5245" s="184" t="s">
        <v>758</v>
      </c>
    </row>
    <row r="5246" spans="1:4" ht="12.5">
      <c r="A5246" s="186">
        <v>46209</v>
      </c>
      <c r="B5246" s="14">
        <v>7002880751</v>
      </c>
      <c r="C5246" s="14">
        <v>1</v>
      </c>
      <c r="D5246" s="184" t="s">
        <v>750</v>
      </c>
    </row>
    <row r="5247" spans="1:4" ht="12.5">
      <c r="A5247" s="186">
        <v>46209</v>
      </c>
      <c r="B5247" s="14">
        <v>7002880993</v>
      </c>
      <c r="C5247" s="14">
        <v>18</v>
      </c>
      <c r="D5247" s="184" t="s">
        <v>752</v>
      </c>
    </row>
    <row r="5248" spans="1:4" ht="12.5">
      <c r="A5248" s="186">
        <v>46209</v>
      </c>
      <c r="B5248" s="14">
        <v>7002881202</v>
      </c>
      <c r="C5248" s="14">
        <v>20</v>
      </c>
      <c r="D5248" s="184" t="s">
        <v>752</v>
      </c>
    </row>
    <row r="5249" spans="1:4" ht="12.5">
      <c r="A5249" s="186">
        <v>46209</v>
      </c>
      <c r="B5249" s="14">
        <v>7002882712</v>
      </c>
      <c r="C5249" s="14">
        <v>1</v>
      </c>
      <c r="D5249" s="184" t="s">
        <v>750</v>
      </c>
    </row>
    <row r="5250" spans="1:4" ht="12.5">
      <c r="A5250" s="186">
        <v>46209</v>
      </c>
      <c r="B5250" s="14">
        <v>7002884472</v>
      </c>
      <c r="C5250" s="14">
        <v>22</v>
      </c>
      <c r="D5250" s="184" t="s">
        <v>752</v>
      </c>
    </row>
    <row r="5251" spans="1:4" ht="12.5">
      <c r="A5251" s="186">
        <v>46209</v>
      </c>
      <c r="B5251" s="14">
        <v>7002884678</v>
      </c>
      <c r="C5251" s="14">
        <v>20</v>
      </c>
      <c r="D5251" s="184" t="s">
        <v>752</v>
      </c>
    </row>
    <row r="5252" spans="1:4" ht="12.5">
      <c r="A5252" s="186">
        <v>46209</v>
      </c>
      <c r="B5252" s="14">
        <v>7002884684</v>
      </c>
      <c r="C5252" s="14">
        <v>1</v>
      </c>
      <c r="D5252" s="184" t="s">
        <v>750</v>
      </c>
    </row>
    <row r="5253" spans="1:4" ht="12.5">
      <c r="A5253" s="186">
        <v>46209</v>
      </c>
      <c r="B5253" s="14">
        <v>7002885984</v>
      </c>
      <c r="C5253" s="14">
        <v>2</v>
      </c>
      <c r="D5253" s="184" t="s">
        <v>751</v>
      </c>
    </row>
    <row r="5254" spans="1:4" ht="12.5">
      <c r="A5254" s="186">
        <v>46209</v>
      </c>
      <c r="B5254" s="14">
        <v>7002886998</v>
      </c>
      <c r="C5254" s="14">
        <v>21</v>
      </c>
      <c r="D5254" s="184" t="s">
        <v>752</v>
      </c>
    </row>
    <row r="5255" spans="1:4" ht="12.5">
      <c r="A5255" s="186">
        <v>46209</v>
      </c>
      <c r="B5255" s="14">
        <v>7002887741</v>
      </c>
      <c r="C5255" s="14">
        <v>1</v>
      </c>
      <c r="D5255" s="184" t="s">
        <v>750</v>
      </c>
    </row>
    <row r="5256" spans="1:4" ht="12.5">
      <c r="A5256" s="186">
        <v>46209</v>
      </c>
      <c r="B5256" s="14">
        <v>7002888197</v>
      </c>
      <c r="C5256" s="14">
        <v>3</v>
      </c>
      <c r="D5256" s="184" t="s">
        <v>751</v>
      </c>
    </row>
    <row r="5257" spans="1:4" ht="12.5">
      <c r="A5257" s="186">
        <v>46209</v>
      </c>
      <c r="B5257" s="14">
        <v>7002890109</v>
      </c>
      <c r="C5257" s="14">
        <v>9</v>
      </c>
      <c r="D5257" s="184" t="s">
        <v>758</v>
      </c>
    </row>
    <row r="5258" spans="1:4" ht="12.5">
      <c r="A5258" s="186">
        <v>46209</v>
      </c>
      <c r="B5258" s="14">
        <v>7002894042</v>
      </c>
      <c r="C5258" s="14">
        <v>1</v>
      </c>
      <c r="D5258" s="184" t="s">
        <v>750</v>
      </c>
    </row>
    <row r="5259" spans="1:4" ht="12.5">
      <c r="A5259" s="186">
        <v>46209</v>
      </c>
      <c r="B5259" s="14">
        <v>7002894252</v>
      </c>
      <c r="C5259" s="14">
        <v>2</v>
      </c>
      <c r="D5259" s="184" t="s">
        <v>751</v>
      </c>
    </row>
    <row r="5260" spans="1:4" ht="12.5">
      <c r="A5260" s="186">
        <v>46209</v>
      </c>
      <c r="B5260" s="14">
        <v>7002897046</v>
      </c>
      <c r="C5260" s="14">
        <v>1</v>
      </c>
      <c r="D5260" s="184" t="s">
        <v>750</v>
      </c>
    </row>
    <row r="5261" spans="1:4" ht="12.5">
      <c r="A5261" s="186">
        <v>46209</v>
      </c>
      <c r="B5261" s="14">
        <v>7002898006</v>
      </c>
      <c r="C5261" s="14">
        <v>17</v>
      </c>
      <c r="D5261" s="184" t="s">
        <v>752</v>
      </c>
    </row>
    <row r="5262" spans="1:4" ht="12.5">
      <c r="A5262" s="191"/>
      <c r="B5262" s="192"/>
      <c r="C5262" s="192"/>
      <c r="D5262" s="192"/>
    </row>
    <row r="5263" spans="1:4" ht="12.5">
      <c r="A5263" s="186">
        <v>46209</v>
      </c>
      <c r="B5263" s="184">
        <v>7001727096</v>
      </c>
      <c r="C5263" s="184">
        <v>2</v>
      </c>
      <c r="D5263" s="184" t="s">
        <v>751</v>
      </c>
    </row>
    <row r="5264" spans="1:4" ht="12.5">
      <c r="A5264" s="186">
        <v>46209</v>
      </c>
      <c r="B5264" s="184">
        <v>7002513445</v>
      </c>
      <c r="C5264" s="184">
        <v>4</v>
      </c>
      <c r="D5264" s="184" t="s">
        <v>751</v>
      </c>
    </row>
    <row r="5265" spans="1:4" ht="12.5">
      <c r="A5265" s="186">
        <v>46209</v>
      </c>
      <c r="B5265" s="184">
        <v>7002676586</v>
      </c>
      <c r="C5265" s="184">
        <v>6</v>
      </c>
      <c r="D5265" s="184" t="s">
        <v>758</v>
      </c>
    </row>
    <row r="5266" spans="1:4" ht="12.5">
      <c r="A5266" s="186">
        <v>46209</v>
      </c>
      <c r="B5266" s="184">
        <v>7002701428</v>
      </c>
      <c r="C5266" s="184">
        <v>1</v>
      </c>
      <c r="D5266" s="184" t="s">
        <v>750</v>
      </c>
    </row>
    <row r="5267" spans="1:4" ht="12.5">
      <c r="A5267" s="186">
        <v>46209</v>
      </c>
      <c r="B5267" s="184">
        <v>7002703749</v>
      </c>
      <c r="C5267" s="184">
        <v>8</v>
      </c>
      <c r="D5267" s="184" t="s">
        <v>758</v>
      </c>
    </row>
    <row r="5268" spans="1:4" ht="12.5">
      <c r="A5268" s="186">
        <v>46209</v>
      </c>
      <c r="B5268" s="184">
        <v>7002713999</v>
      </c>
      <c r="C5268" s="184">
        <v>10</v>
      </c>
      <c r="D5268" s="184" t="s">
        <v>758</v>
      </c>
    </row>
    <row r="5269" spans="1:4" ht="12.5">
      <c r="A5269" s="186">
        <v>46209</v>
      </c>
      <c r="B5269" s="184">
        <v>7002716826</v>
      </c>
      <c r="C5269" s="184">
        <v>8</v>
      </c>
      <c r="D5269" s="184" t="s">
        <v>758</v>
      </c>
    </row>
    <row r="5270" spans="1:4" ht="12.5">
      <c r="A5270" s="186">
        <v>46209</v>
      </c>
      <c r="B5270" s="184">
        <v>7002752158</v>
      </c>
      <c r="C5270" s="184">
        <v>3</v>
      </c>
      <c r="D5270" s="184" t="s">
        <v>751</v>
      </c>
    </row>
    <row r="5271" spans="1:4" ht="12.5">
      <c r="A5271" s="186">
        <v>46209</v>
      </c>
      <c r="B5271" s="184">
        <v>7002753354</v>
      </c>
      <c r="C5271" s="184">
        <v>1</v>
      </c>
      <c r="D5271" s="184" t="s">
        <v>750</v>
      </c>
    </row>
    <row r="5272" spans="1:4" ht="12.5">
      <c r="A5272" s="186">
        <v>46209</v>
      </c>
      <c r="B5272" s="184">
        <v>7002753436</v>
      </c>
      <c r="C5272" s="184">
        <v>13</v>
      </c>
      <c r="D5272" s="184" t="s">
        <v>752</v>
      </c>
    </row>
    <row r="5273" spans="1:4" ht="12.5">
      <c r="A5273" s="186">
        <v>46209</v>
      </c>
      <c r="B5273" s="184">
        <v>7002758998</v>
      </c>
      <c r="C5273" s="184">
        <v>41</v>
      </c>
      <c r="D5273" s="184" t="s">
        <v>752</v>
      </c>
    </row>
    <row r="5274" spans="1:4" ht="12.5">
      <c r="A5274" s="186">
        <v>46209</v>
      </c>
      <c r="B5274" s="184">
        <v>7002759149</v>
      </c>
      <c r="C5274" s="184">
        <v>3</v>
      </c>
      <c r="D5274" s="184" t="s">
        <v>751</v>
      </c>
    </row>
    <row r="5275" spans="1:4" ht="12.5">
      <c r="A5275" s="186">
        <v>46209</v>
      </c>
      <c r="B5275" s="184">
        <v>7002770321</v>
      </c>
      <c r="C5275" s="184">
        <v>1</v>
      </c>
      <c r="D5275" s="184" t="s">
        <v>750</v>
      </c>
    </row>
    <row r="5276" spans="1:4" ht="12.5">
      <c r="A5276" s="186">
        <v>46209</v>
      </c>
      <c r="B5276" s="184">
        <v>7002770901</v>
      </c>
      <c r="C5276" s="184">
        <v>5</v>
      </c>
      <c r="D5276" s="184" t="s">
        <v>751</v>
      </c>
    </row>
    <row r="5277" spans="1:4" ht="12.5">
      <c r="A5277" s="186">
        <v>46209</v>
      </c>
      <c r="B5277" s="184">
        <v>7002771900</v>
      </c>
      <c r="C5277" s="184">
        <v>4</v>
      </c>
      <c r="D5277" s="184" t="s">
        <v>751</v>
      </c>
    </row>
    <row r="5278" spans="1:4" ht="12.5">
      <c r="A5278" s="186">
        <v>46209</v>
      </c>
      <c r="B5278" s="184">
        <v>7002771959</v>
      </c>
      <c r="C5278" s="184">
        <v>6</v>
      </c>
      <c r="D5278" s="184" t="s">
        <v>758</v>
      </c>
    </row>
    <row r="5279" spans="1:4" ht="12.5">
      <c r="A5279" s="186">
        <v>46209</v>
      </c>
      <c r="B5279" s="184">
        <v>7002772765</v>
      </c>
      <c r="C5279" s="184">
        <v>9</v>
      </c>
      <c r="D5279" s="184" t="s">
        <v>758</v>
      </c>
    </row>
    <row r="5280" spans="1:4" ht="12.5">
      <c r="A5280" s="186">
        <v>46209</v>
      </c>
      <c r="B5280" s="184">
        <v>7002772915</v>
      </c>
      <c r="C5280" s="184">
        <v>5</v>
      </c>
      <c r="D5280" s="184" t="s">
        <v>751</v>
      </c>
    </row>
    <row r="5281" spans="1:4" ht="12.5">
      <c r="A5281" s="186">
        <v>46209</v>
      </c>
      <c r="B5281" s="184">
        <v>7002772927</v>
      </c>
      <c r="C5281" s="184">
        <v>7</v>
      </c>
      <c r="D5281" s="184" t="s">
        <v>758</v>
      </c>
    </row>
    <row r="5282" spans="1:4" ht="12.5">
      <c r="A5282" s="186">
        <v>46209</v>
      </c>
      <c r="B5282" s="184">
        <v>7002773782</v>
      </c>
      <c r="C5282" s="184">
        <v>5</v>
      </c>
      <c r="D5282" s="184" t="s">
        <v>751</v>
      </c>
    </row>
    <row r="5283" spans="1:4" ht="12.5">
      <c r="A5283" s="186">
        <v>46209</v>
      </c>
      <c r="B5283" s="184">
        <v>7002773919</v>
      </c>
      <c r="C5283" s="184">
        <v>2</v>
      </c>
      <c r="D5283" s="184" t="s">
        <v>751</v>
      </c>
    </row>
    <row r="5284" spans="1:4" ht="12.5">
      <c r="A5284" s="186">
        <v>46209</v>
      </c>
      <c r="B5284" s="184">
        <v>7002776738</v>
      </c>
      <c r="C5284" s="184">
        <v>3</v>
      </c>
      <c r="D5284" s="184" t="s">
        <v>751</v>
      </c>
    </row>
    <row r="5285" spans="1:4" ht="12.5">
      <c r="A5285" s="186">
        <v>46209</v>
      </c>
      <c r="B5285" s="184">
        <v>7002777571</v>
      </c>
      <c r="C5285" s="184">
        <v>11</v>
      </c>
      <c r="D5285" s="184" t="s">
        <v>752</v>
      </c>
    </row>
    <row r="5286" spans="1:4" ht="12.5">
      <c r="A5286" s="186">
        <v>46209</v>
      </c>
      <c r="B5286" s="184">
        <v>7002777880</v>
      </c>
      <c r="C5286" s="184">
        <v>4</v>
      </c>
      <c r="D5286" s="184" t="s">
        <v>751</v>
      </c>
    </row>
    <row r="5287" spans="1:4" ht="12.5">
      <c r="A5287" s="186">
        <v>46209</v>
      </c>
      <c r="B5287" s="184">
        <v>7002778600</v>
      </c>
      <c r="C5287" s="184">
        <v>2</v>
      </c>
      <c r="D5287" s="184" t="s">
        <v>751</v>
      </c>
    </row>
    <row r="5288" spans="1:4" ht="12.5">
      <c r="A5288" s="186">
        <v>46209</v>
      </c>
      <c r="B5288" s="184">
        <v>7002779912</v>
      </c>
      <c r="C5288" s="184">
        <v>2</v>
      </c>
      <c r="D5288" s="184" t="s">
        <v>751</v>
      </c>
    </row>
    <row r="5289" spans="1:4" ht="12.5">
      <c r="A5289" s="186">
        <v>46209</v>
      </c>
      <c r="B5289" s="184">
        <v>7002780725</v>
      </c>
      <c r="C5289" s="184">
        <v>1</v>
      </c>
      <c r="D5289" s="184" t="s">
        <v>750</v>
      </c>
    </row>
    <row r="5290" spans="1:4" ht="12.5">
      <c r="A5290" s="186">
        <v>46209</v>
      </c>
      <c r="B5290" s="184">
        <v>7002781373</v>
      </c>
      <c r="C5290" s="184">
        <v>2</v>
      </c>
      <c r="D5290" s="184" t="s">
        <v>751</v>
      </c>
    </row>
    <row r="5291" spans="1:4" ht="12.5">
      <c r="A5291" s="186">
        <v>46209</v>
      </c>
      <c r="B5291" s="184">
        <v>7002781690</v>
      </c>
      <c r="C5291" s="184">
        <v>2</v>
      </c>
      <c r="D5291" s="184" t="s">
        <v>751</v>
      </c>
    </row>
    <row r="5292" spans="1:4" ht="12.5">
      <c r="A5292" s="186">
        <v>46209</v>
      </c>
      <c r="B5292" s="184">
        <v>7002781755</v>
      </c>
      <c r="C5292" s="184">
        <v>2</v>
      </c>
      <c r="D5292" s="184" t="s">
        <v>751</v>
      </c>
    </row>
    <row r="5293" spans="1:4" ht="12.5">
      <c r="A5293" s="186">
        <v>46209</v>
      </c>
      <c r="B5293" s="184">
        <v>7002781979</v>
      </c>
      <c r="C5293" s="184">
        <v>1</v>
      </c>
      <c r="D5293" s="184" t="s">
        <v>750</v>
      </c>
    </row>
    <row r="5294" spans="1:4" ht="12.5">
      <c r="A5294" s="186">
        <v>46209</v>
      </c>
      <c r="B5294" s="184">
        <v>7002782673</v>
      </c>
      <c r="C5294" s="184">
        <v>1</v>
      </c>
      <c r="D5294" s="184" t="s">
        <v>750</v>
      </c>
    </row>
    <row r="5295" spans="1:4" ht="12.5">
      <c r="A5295" s="186">
        <v>46209</v>
      </c>
      <c r="B5295" s="184">
        <v>7002782945</v>
      </c>
      <c r="C5295" s="184">
        <v>1</v>
      </c>
      <c r="D5295" s="184" t="s">
        <v>750</v>
      </c>
    </row>
    <row r="5296" spans="1:4" ht="12.5">
      <c r="A5296" s="186">
        <v>46209</v>
      </c>
      <c r="B5296" s="184">
        <v>7002783088</v>
      </c>
      <c r="C5296" s="184">
        <v>2</v>
      </c>
      <c r="D5296" s="184" t="s">
        <v>751</v>
      </c>
    </row>
    <row r="5297" spans="1:4" ht="12.5">
      <c r="A5297" s="186">
        <v>46209</v>
      </c>
      <c r="B5297" s="184">
        <v>7002783811</v>
      </c>
      <c r="C5297" s="184">
        <v>4</v>
      </c>
      <c r="D5297" s="184" t="s">
        <v>751</v>
      </c>
    </row>
    <row r="5298" spans="1:4" ht="12.5">
      <c r="A5298" s="186">
        <v>46209</v>
      </c>
      <c r="B5298" s="184">
        <v>7002783848</v>
      </c>
      <c r="C5298" s="184">
        <v>2</v>
      </c>
      <c r="D5298" s="184" t="s">
        <v>751</v>
      </c>
    </row>
    <row r="5299" spans="1:4" ht="12.5">
      <c r="A5299" s="186">
        <v>46209</v>
      </c>
      <c r="B5299" s="184">
        <v>7002784726</v>
      </c>
      <c r="C5299" s="184">
        <v>8</v>
      </c>
      <c r="D5299" s="184" t="s">
        <v>758</v>
      </c>
    </row>
    <row r="5300" spans="1:4" ht="12.5">
      <c r="A5300" s="186">
        <v>46209</v>
      </c>
      <c r="B5300" s="184">
        <v>7002786202</v>
      </c>
      <c r="C5300" s="184">
        <v>1</v>
      </c>
      <c r="D5300" s="184" t="s">
        <v>750</v>
      </c>
    </row>
    <row r="5301" spans="1:4" ht="12.5">
      <c r="A5301" s="186">
        <v>46209</v>
      </c>
      <c r="B5301" s="184">
        <v>7002787767</v>
      </c>
      <c r="C5301" s="184">
        <v>4</v>
      </c>
      <c r="D5301" s="184" t="s">
        <v>751</v>
      </c>
    </row>
    <row r="5302" spans="1:4" ht="12.5">
      <c r="A5302" s="186">
        <v>46209</v>
      </c>
      <c r="B5302" s="184">
        <v>7002789292</v>
      </c>
      <c r="C5302" s="184">
        <v>3</v>
      </c>
      <c r="D5302" s="184" t="s">
        <v>751</v>
      </c>
    </row>
    <row r="5303" spans="1:4" ht="12.5">
      <c r="A5303" s="186">
        <v>46209</v>
      </c>
      <c r="B5303" s="184">
        <v>7002790766</v>
      </c>
      <c r="C5303" s="184">
        <v>1</v>
      </c>
      <c r="D5303" s="184" t="s">
        <v>750</v>
      </c>
    </row>
    <row r="5304" spans="1:4" ht="12.5">
      <c r="A5304" s="186">
        <v>46209</v>
      </c>
      <c r="B5304" s="184">
        <v>7002793799</v>
      </c>
      <c r="C5304" s="184">
        <v>7</v>
      </c>
      <c r="D5304" s="184" t="s">
        <v>758</v>
      </c>
    </row>
    <row r="5305" spans="1:4" ht="12.5">
      <c r="A5305" s="186">
        <v>46209</v>
      </c>
      <c r="B5305" s="184">
        <v>7002796390</v>
      </c>
      <c r="C5305" s="184">
        <v>2</v>
      </c>
      <c r="D5305" s="184" t="s">
        <v>751</v>
      </c>
    </row>
    <row r="5306" spans="1:4" ht="12.5">
      <c r="A5306" s="186">
        <v>46209</v>
      </c>
      <c r="B5306" s="184">
        <v>7002800878</v>
      </c>
      <c r="C5306" s="184">
        <v>4</v>
      </c>
      <c r="D5306" s="184" t="s">
        <v>751</v>
      </c>
    </row>
    <row r="5307" spans="1:4" ht="12.5">
      <c r="A5307" s="186">
        <v>46209</v>
      </c>
      <c r="B5307" s="184">
        <v>7002801058</v>
      </c>
      <c r="C5307" s="184">
        <v>3</v>
      </c>
      <c r="D5307" s="184" t="s">
        <v>751</v>
      </c>
    </row>
    <row r="5308" spans="1:4" ht="12.5">
      <c r="A5308" s="186">
        <v>46209</v>
      </c>
      <c r="B5308" s="184">
        <v>7002801134</v>
      </c>
      <c r="C5308" s="184">
        <v>1</v>
      </c>
      <c r="D5308" s="184" t="s">
        <v>750</v>
      </c>
    </row>
    <row r="5309" spans="1:4" ht="12.5">
      <c r="A5309" s="186">
        <v>46209</v>
      </c>
      <c r="B5309" s="184">
        <v>7002802450</v>
      </c>
      <c r="C5309" s="184">
        <v>45</v>
      </c>
      <c r="D5309" s="184" t="s">
        <v>752</v>
      </c>
    </row>
    <row r="5310" spans="1:4" ht="12.5">
      <c r="A5310" s="186">
        <v>46209</v>
      </c>
      <c r="B5310" s="184">
        <v>7002804482</v>
      </c>
      <c r="C5310" s="184">
        <v>6</v>
      </c>
      <c r="D5310" s="184" t="s">
        <v>758</v>
      </c>
    </row>
    <row r="5311" spans="1:4" ht="12.5">
      <c r="A5311" s="186">
        <v>46209</v>
      </c>
      <c r="B5311" s="184">
        <v>7002804689</v>
      </c>
      <c r="C5311" s="184">
        <v>104</v>
      </c>
      <c r="D5311" s="184" t="s">
        <v>752</v>
      </c>
    </row>
    <row r="5312" spans="1:4" ht="12.5">
      <c r="A5312" s="186">
        <v>46209</v>
      </c>
      <c r="B5312" s="184">
        <v>7002805320</v>
      </c>
      <c r="C5312" s="184">
        <v>3</v>
      </c>
      <c r="D5312" s="184" t="s">
        <v>751</v>
      </c>
    </row>
    <row r="5313" spans="1:4" ht="12.5">
      <c r="A5313" s="186">
        <v>46209</v>
      </c>
      <c r="B5313" s="184">
        <v>7002805575</v>
      </c>
      <c r="C5313" s="184">
        <v>6</v>
      </c>
      <c r="D5313" s="184" t="s">
        <v>758</v>
      </c>
    </row>
    <row r="5314" spans="1:4" ht="12.5">
      <c r="A5314" s="186">
        <v>46209</v>
      </c>
      <c r="B5314" s="184">
        <v>7002805648</v>
      </c>
      <c r="C5314" s="184">
        <v>3</v>
      </c>
      <c r="D5314" s="184" t="s">
        <v>751</v>
      </c>
    </row>
    <row r="5315" spans="1:4" ht="12.5">
      <c r="A5315" s="186">
        <v>46209</v>
      </c>
      <c r="B5315" s="184">
        <v>7002807053</v>
      </c>
      <c r="C5315" s="184">
        <v>42</v>
      </c>
      <c r="D5315" s="184" t="s">
        <v>752</v>
      </c>
    </row>
    <row r="5316" spans="1:4" ht="12.5">
      <c r="A5316" s="186">
        <v>46209</v>
      </c>
      <c r="B5316" s="184">
        <v>7002807565</v>
      </c>
      <c r="C5316" s="184">
        <v>1</v>
      </c>
      <c r="D5316" s="184" t="s">
        <v>750</v>
      </c>
    </row>
    <row r="5317" spans="1:4" ht="12.5">
      <c r="A5317" s="186">
        <v>46209</v>
      </c>
      <c r="B5317" s="184">
        <v>7002812075</v>
      </c>
      <c r="C5317" s="184">
        <v>1</v>
      </c>
      <c r="D5317" s="184" t="s">
        <v>750</v>
      </c>
    </row>
    <row r="5318" spans="1:4" ht="12.5">
      <c r="A5318" s="186">
        <v>46209</v>
      </c>
      <c r="B5318" s="184">
        <v>7002812929</v>
      </c>
      <c r="C5318" s="184">
        <v>2</v>
      </c>
      <c r="D5318" s="184" t="s">
        <v>751</v>
      </c>
    </row>
    <row r="5319" spans="1:4" ht="12.5">
      <c r="A5319" s="186">
        <v>46209</v>
      </c>
      <c r="B5319" s="184">
        <v>7002813928</v>
      </c>
      <c r="C5319" s="184">
        <v>1</v>
      </c>
      <c r="D5319" s="184" t="s">
        <v>750</v>
      </c>
    </row>
    <row r="5320" spans="1:4" ht="12.5">
      <c r="A5320" s="186">
        <v>46209</v>
      </c>
      <c r="B5320" s="184">
        <v>7002815616</v>
      </c>
      <c r="C5320" s="184">
        <v>3</v>
      </c>
      <c r="D5320" s="184" t="s">
        <v>751</v>
      </c>
    </row>
    <row r="5321" spans="1:4" ht="12.5">
      <c r="A5321" s="186">
        <v>46209</v>
      </c>
      <c r="B5321" s="184">
        <v>7002815995</v>
      </c>
      <c r="C5321" s="184">
        <v>50</v>
      </c>
      <c r="D5321" s="184" t="s">
        <v>752</v>
      </c>
    </row>
    <row r="5322" spans="1:4" ht="12.5">
      <c r="A5322" s="186">
        <v>46209</v>
      </c>
      <c r="B5322" s="184">
        <v>7002817004</v>
      </c>
      <c r="C5322" s="184">
        <v>4</v>
      </c>
      <c r="D5322" s="184" t="s">
        <v>751</v>
      </c>
    </row>
    <row r="5323" spans="1:4" ht="12.5">
      <c r="A5323" s="186">
        <v>46209</v>
      </c>
      <c r="B5323" s="184">
        <v>7002818998</v>
      </c>
      <c r="C5323" s="184">
        <v>5</v>
      </c>
      <c r="D5323" s="184" t="s">
        <v>751</v>
      </c>
    </row>
    <row r="5324" spans="1:4" ht="12.5">
      <c r="A5324" s="186">
        <v>46209</v>
      </c>
      <c r="B5324" s="184">
        <v>7002820556</v>
      </c>
      <c r="C5324" s="184">
        <v>93</v>
      </c>
      <c r="D5324" s="184" t="s">
        <v>752</v>
      </c>
    </row>
    <row r="5325" spans="1:4" ht="12.5">
      <c r="A5325" s="186">
        <v>46209</v>
      </c>
      <c r="B5325" s="184">
        <v>7002820949</v>
      </c>
      <c r="C5325" s="184">
        <v>2</v>
      </c>
      <c r="D5325" s="184" t="s">
        <v>751</v>
      </c>
    </row>
    <row r="5326" spans="1:4" ht="12.5">
      <c r="A5326" s="186">
        <v>46209</v>
      </c>
      <c r="B5326" s="184">
        <v>7002821113</v>
      </c>
      <c r="C5326" s="184">
        <v>1</v>
      </c>
      <c r="D5326" s="184" t="s">
        <v>750</v>
      </c>
    </row>
    <row r="5327" spans="1:4" ht="12.5">
      <c r="A5327" s="186">
        <v>46209</v>
      </c>
      <c r="B5327" s="184">
        <v>7002822424</v>
      </c>
      <c r="C5327" s="184">
        <v>16</v>
      </c>
      <c r="D5327" s="184" t="s">
        <v>752</v>
      </c>
    </row>
    <row r="5328" spans="1:4" ht="12.5">
      <c r="A5328" s="186">
        <v>46209</v>
      </c>
      <c r="B5328" s="184">
        <v>7002823591</v>
      </c>
      <c r="C5328" s="184">
        <v>6</v>
      </c>
      <c r="D5328" s="184" t="s">
        <v>758</v>
      </c>
    </row>
    <row r="5329" spans="1:4" ht="12.5">
      <c r="A5329" s="186">
        <v>46209</v>
      </c>
      <c r="B5329" s="184">
        <v>7002825305</v>
      </c>
      <c r="C5329" s="184">
        <v>1</v>
      </c>
      <c r="D5329" s="184" t="s">
        <v>750</v>
      </c>
    </row>
    <row r="5330" spans="1:4" ht="12.5">
      <c r="A5330" s="186">
        <v>46209</v>
      </c>
      <c r="B5330" s="184">
        <v>7002827623</v>
      </c>
      <c r="C5330" s="184">
        <v>12</v>
      </c>
      <c r="D5330" s="184" t="s">
        <v>752</v>
      </c>
    </row>
    <row r="5331" spans="1:4" ht="12.5">
      <c r="A5331" s="186">
        <v>46209</v>
      </c>
      <c r="B5331" s="184">
        <v>7002827927</v>
      </c>
      <c r="C5331" s="184">
        <v>7</v>
      </c>
      <c r="D5331" s="184" t="s">
        <v>758</v>
      </c>
    </row>
    <row r="5332" spans="1:4" ht="12.5">
      <c r="A5332" s="186">
        <v>46209</v>
      </c>
      <c r="B5332" s="184">
        <v>7002829104</v>
      </c>
      <c r="C5332" s="184">
        <v>1</v>
      </c>
      <c r="D5332" s="184" t="s">
        <v>750</v>
      </c>
    </row>
    <row r="5333" spans="1:4" ht="12.5">
      <c r="A5333" s="186">
        <v>46209</v>
      </c>
      <c r="B5333" s="184">
        <v>7002829290</v>
      </c>
      <c r="C5333" s="184">
        <v>2</v>
      </c>
      <c r="D5333" s="184" t="s">
        <v>751</v>
      </c>
    </row>
    <row r="5334" spans="1:4" ht="12.5">
      <c r="A5334" s="186">
        <v>46209</v>
      </c>
      <c r="B5334" s="184">
        <v>7002829463</v>
      </c>
      <c r="C5334" s="184">
        <v>5</v>
      </c>
      <c r="D5334" s="184" t="s">
        <v>751</v>
      </c>
    </row>
    <row r="5335" spans="1:4" ht="12.5">
      <c r="A5335" s="186">
        <v>46209</v>
      </c>
      <c r="B5335" s="184">
        <v>7002829955</v>
      </c>
      <c r="C5335" s="184">
        <v>4</v>
      </c>
      <c r="D5335" s="184" t="s">
        <v>751</v>
      </c>
    </row>
    <row r="5336" spans="1:4" ht="12.5">
      <c r="A5336" s="186">
        <v>46209</v>
      </c>
      <c r="B5336" s="184">
        <v>7002830939</v>
      </c>
      <c r="C5336" s="184">
        <v>2</v>
      </c>
      <c r="D5336" s="184" t="s">
        <v>751</v>
      </c>
    </row>
    <row r="5337" spans="1:4" ht="12.5">
      <c r="A5337" s="186">
        <v>46209</v>
      </c>
      <c r="B5337" s="184">
        <v>7002830941</v>
      </c>
      <c r="C5337" s="184">
        <v>2</v>
      </c>
      <c r="D5337" s="184" t="s">
        <v>751</v>
      </c>
    </row>
    <row r="5338" spans="1:4" ht="12.5">
      <c r="A5338" s="186">
        <v>46209</v>
      </c>
      <c r="B5338" s="184">
        <v>7002831115</v>
      </c>
      <c r="C5338" s="184">
        <v>5</v>
      </c>
      <c r="D5338" s="184" t="s">
        <v>751</v>
      </c>
    </row>
    <row r="5339" spans="1:4" ht="12.5">
      <c r="A5339" s="186">
        <v>46209</v>
      </c>
      <c r="B5339" s="184">
        <v>7002831191</v>
      </c>
      <c r="C5339" s="184">
        <v>1</v>
      </c>
      <c r="D5339" s="184" t="s">
        <v>750</v>
      </c>
    </row>
    <row r="5340" spans="1:4" ht="12.5">
      <c r="A5340" s="186">
        <v>46209</v>
      </c>
      <c r="B5340" s="184">
        <v>7002831955</v>
      </c>
      <c r="C5340" s="184">
        <v>1</v>
      </c>
      <c r="D5340" s="184" t="s">
        <v>750</v>
      </c>
    </row>
    <row r="5341" spans="1:4" ht="12.5">
      <c r="A5341" s="186">
        <v>46209</v>
      </c>
      <c r="B5341" s="184">
        <v>7002833173</v>
      </c>
      <c r="C5341" s="184">
        <v>5</v>
      </c>
      <c r="D5341" s="184" t="s">
        <v>751</v>
      </c>
    </row>
    <row r="5342" spans="1:4" ht="12.5">
      <c r="A5342" s="186">
        <v>46209</v>
      </c>
      <c r="B5342" s="184">
        <v>7002833837</v>
      </c>
      <c r="C5342" s="184">
        <v>11</v>
      </c>
      <c r="D5342" s="184" t="s">
        <v>752</v>
      </c>
    </row>
    <row r="5343" spans="1:4" ht="12.5">
      <c r="A5343" s="186">
        <v>46209</v>
      </c>
      <c r="B5343" s="184">
        <v>7002833859</v>
      </c>
      <c r="C5343" s="184">
        <v>8</v>
      </c>
      <c r="D5343" s="184" t="s">
        <v>758</v>
      </c>
    </row>
    <row r="5344" spans="1:4" ht="12.5">
      <c r="A5344" s="186">
        <v>46209</v>
      </c>
      <c r="B5344" s="184">
        <v>7002834155</v>
      </c>
      <c r="C5344" s="184">
        <v>11</v>
      </c>
      <c r="D5344" s="184" t="s">
        <v>752</v>
      </c>
    </row>
    <row r="5345" spans="1:4" ht="12.5">
      <c r="A5345" s="186">
        <v>46209</v>
      </c>
      <c r="B5345" s="184">
        <v>7002834957</v>
      </c>
      <c r="C5345" s="184">
        <v>1</v>
      </c>
      <c r="D5345" s="184" t="s">
        <v>750</v>
      </c>
    </row>
    <row r="5346" spans="1:4" ht="12.5">
      <c r="A5346" s="186">
        <v>46209</v>
      </c>
      <c r="B5346" s="184">
        <v>7002834974</v>
      </c>
      <c r="C5346" s="184">
        <v>16</v>
      </c>
      <c r="D5346" s="184" t="s">
        <v>752</v>
      </c>
    </row>
    <row r="5347" spans="1:4" ht="12.5">
      <c r="A5347" s="186">
        <v>46209</v>
      </c>
      <c r="B5347" s="184">
        <v>7002835300</v>
      </c>
      <c r="C5347" s="184">
        <v>6</v>
      </c>
      <c r="D5347" s="184" t="s">
        <v>758</v>
      </c>
    </row>
    <row r="5348" spans="1:4" ht="12.5">
      <c r="A5348" s="186">
        <v>46209</v>
      </c>
      <c r="B5348" s="184">
        <v>7002835954</v>
      </c>
      <c r="C5348" s="184">
        <v>1</v>
      </c>
      <c r="D5348" s="184" t="s">
        <v>750</v>
      </c>
    </row>
    <row r="5349" spans="1:4" ht="12.5">
      <c r="A5349" s="186">
        <v>46209</v>
      </c>
      <c r="B5349" s="184">
        <v>7002837220</v>
      </c>
      <c r="C5349" s="184">
        <v>16</v>
      </c>
      <c r="D5349" s="184" t="s">
        <v>752</v>
      </c>
    </row>
    <row r="5350" spans="1:4" ht="12.5">
      <c r="A5350" s="186">
        <v>46209</v>
      </c>
      <c r="B5350" s="184">
        <v>7002837254</v>
      </c>
      <c r="C5350" s="184">
        <v>2</v>
      </c>
      <c r="D5350" s="184" t="s">
        <v>751</v>
      </c>
    </row>
    <row r="5351" spans="1:4" ht="12.5">
      <c r="A5351" s="186">
        <v>46209</v>
      </c>
      <c r="B5351" s="184">
        <v>7002837946</v>
      </c>
      <c r="C5351" s="184">
        <v>1</v>
      </c>
      <c r="D5351" s="184" t="s">
        <v>750</v>
      </c>
    </row>
    <row r="5352" spans="1:4" ht="12.5">
      <c r="A5352" s="186">
        <v>46209</v>
      </c>
      <c r="B5352" s="184">
        <v>7002838086</v>
      </c>
      <c r="C5352" s="184">
        <v>2</v>
      </c>
      <c r="D5352" s="184" t="s">
        <v>751</v>
      </c>
    </row>
    <row r="5353" spans="1:4" ht="12.5">
      <c r="A5353" s="186">
        <v>46209</v>
      </c>
      <c r="B5353" s="184">
        <v>7002838165</v>
      </c>
      <c r="C5353" s="184">
        <v>3</v>
      </c>
      <c r="D5353" s="184" t="s">
        <v>751</v>
      </c>
    </row>
    <row r="5354" spans="1:4" ht="12.5">
      <c r="A5354" s="186">
        <v>46209</v>
      </c>
      <c r="B5354" s="184">
        <v>7002838947</v>
      </c>
      <c r="C5354" s="184">
        <v>16</v>
      </c>
      <c r="D5354" s="184" t="s">
        <v>752</v>
      </c>
    </row>
    <row r="5355" spans="1:4" ht="12.5">
      <c r="A5355" s="186">
        <v>46209</v>
      </c>
      <c r="B5355" s="184">
        <v>7002838975</v>
      </c>
      <c r="C5355" s="184">
        <v>13</v>
      </c>
      <c r="D5355" s="184" t="s">
        <v>752</v>
      </c>
    </row>
    <row r="5356" spans="1:4" ht="12.5">
      <c r="A5356" s="186">
        <v>46209</v>
      </c>
      <c r="B5356" s="184">
        <v>7002840135</v>
      </c>
      <c r="C5356" s="184">
        <v>2</v>
      </c>
      <c r="D5356" s="184" t="s">
        <v>751</v>
      </c>
    </row>
    <row r="5357" spans="1:4" ht="12.5">
      <c r="A5357" s="186">
        <v>46209</v>
      </c>
      <c r="B5357" s="184">
        <v>7002843048</v>
      </c>
      <c r="C5357" s="184">
        <v>4</v>
      </c>
      <c r="D5357" s="184" t="s">
        <v>751</v>
      </c>
    </row>
    <row r="5358" spans="1:4" ht="12.5">
      <c r="A5358" s="186">
        <v>46209</v>
      </c>
      <c r="B5358" s="184">
        <v>7002843095</v>
      </c>
      <c r="C5358" s="184">
        <v>10</v>
      </c>
      <c r="D5358" s="184" t="s">
        <v>758</v>
      </c>
    </row>
    <row r="5359" spans="1:4" ht="12.5">
      <c r="A5359" s="186">
        <v>46209</v>
      </c>
      <c r="B5359" s="184">
        <v>7002844779</v>
      </c>
      <c r="C5359" s="184">
        <v>1</v>
      </c>
      <c r="D5359" s="184" t="s">
        <v>750</v>
      </c>
    </row>
    <row r="5360" spans="1:4" ht="12.5">
      <c r="A5360" s="186">
        <v>46209</v>
      </c>
      <c r="B5360" s="184">
        <v>7002844841</v>
      </c>
      <c r="C5360" s="184">
        <v>2</v>
      </c>
      <c r="D5360" s="184" t="s">
        <v>751</v>
      </c>
    </row>
    <row r="5361" spans="1:4" ht="12.5">
      <c r="A5361" s="186">
        <v>46209</v>
      </c>
      <c r="B5361" s="184">
        <v>7002844873</v>
      </c>
      <c r="C5361" s="184">
        <v>1</v>
      </c>
      <c r="D5361" s="184" t="s">
        <v>750</v>
      </c>
    </row>
    <row r="5362" spans="1:4" ht="12.5">
      <c r="A5362" s="186">
        <v>46209</v>
      </c>
      <c r="B5362" s="184">
        <v>7002847246</v>
      </c>
      <c r="C5362" s="184">
        <v>3</v>
      </c>
      <c r="D5362" s="184" t="s">
        <v>751</v>
      </c>
    </row>
    <row r="5363" spans="1:4" ht="12.5">
      <c r="A5363" s="186">
        <v>46209</v>
      </c>
      <c r="B5363" s="184">
        <v>7002847875</v>
      </c>
      <c r="C5363" s="184">
        <v>3</v>
      </c>
      <c r="D5363" s="184" t="s">
        <v>751</v>
      </c>
    </row>
    <row r="5364" spans="1:4" ht="12.5">
      <c r="A5364" s="186">
        <v>46209</v>
      </c>
      <c r="B5364" s="184">
        <v>7002848502</v>
      </c>
      <c r="C5364" s="184">
        <v>3</v>
      </c>
      <c r="D5364" s="184" t="s">
        <v>751</v>
      </c>
    </row>
    <row r="5365" spans="1:4" ht="12.5">
      <c r="A5365" s="186">
        <v>46209</v>
      </c>
      <c r="B5365" s="184">
        <v>7002848736</v>
      </c>
      <c r="C5365" s="184">
        <v>1</v>
      </c>
      <c r="D5365" s="184" t="s">
        <v>750</v>
      </c>
    </row>
    <row r="5366" spans="1:4" ht="12.5">
      <c r="A5366" s="186">
        <v>46209</v>
      </c>
      <c r="B5366" s="184">
        <v>7002852930</v>
      </c>
      <c r="C5366" s="184">
        <v>15</v>
      </c>
      <c r="D5366" s="184" t="s">
        <v>752</v>
      </c>
    </row>
    <row r="5367" spans="1:4" ht="12.5">
      <c r="A5367" s="186">
        <v>46209</v>
      </c>
      <c r="B5367" s="184">
        <v>7002853326</v>
      </c>
      <c r="C5367" s="184">
        <v>5</v>
      </c>
      <c r="D5367" s="184" t="s">
        <v>751</v>
      </c>
    </row>
    <row r="5368" spans="1:4" ht="12.5">
      <c r="A5368" s="186">
        <v>46209</v>
      </c>
      <c r="B5368" s="184">
        <v>7002853689</v>
      </c>
      <c r="C5368" s="184">
        <v>1</v>
      </c>
      <c r="D5368" s="184" t="s">
        <v>750</v>
      </c>
    </row>
    <row r="5369" spans="1:4" ht="12.5">
      <c r="A5369" s="186">
        <v>46209</v>
      </c>
      <c r="B5369" s="184">
        <v>7002854591</v>
      </c>
      <c r="C5369" s="184">
        <v>1</v>
      </c>
      <c r="D5369" s="184" t="s">
        <v>750</v>
      </c>
    </row>
    <row r="5370" spans="1:4" ht="12.5">
      <c r="A5370" s="186">
        <v>46209</v>
      </c>
      <c r="B5370" s="184">
        <v>7002855582</v>
      </c>
      <c r="C5370" s="184">
        <v>1</v>
      </c>
      <c r="D5370" s="184" t="s">
        <v>750</v>
      </c>
    </row>
    <row r="5371" spans="1:4" ht="12.5">
      <c r="A5371" s="186">
        <v>46209</v>
      </c>
      <c r="B5371" s="184">
        <v>7002856163</v>
      </c>
      <c r="C5371" s="184">
        <v>9</v>
      </c>
      <c r="D5371" s="184" t="s">
        <v>758</v>
      </c>
    </row>
    <row r="5372" spans="1:4" ht="12.5">
      <c r="A5372" s="186">
        <v>46209</v>
      </c>
      <c r="B5372" s="184">
        <v>7002856803</v>
      </c>
      <c r="C5372" s="184">
        <v>4</v>
      </c>
      <c r="D5372" s="184" t="s">
        <v>751</v>
      </c>
    </row>
    <row r="5373" spans="1:4" ht="12.5">
      <c r="A5373" s="186">
        <v>46209</v>
      </c>
      <c r="B5373" s="184">
        <v>7002858551</v>
      </c>
      <c r="C5373" s="184">
        <v>1</v>
      </c>
      <c r="D5373" s="184" t="s">
        <v>750</v>
      </c>
    </row>
    <row r="5374" spans="1:4" ht="12.5">
      <c r="A5374" s="186">
        <v>46209</v>
      </c>
      <c r="B5374" s="184">
        <v>7002859695</v>
      </c>
      <c r="C5374" s="184">
        <v>1</v>
      </c>
      <c r="D5374" s="184" t="s">
        <v>750</v>
      </c>
    </row>
    <row r="5375" spans="1:4" ht="12.5">
      <c r="A5375" s="186">
        <v>46209</v>
      </c>
      <c r="B5375" s="184">
        <v>7002870038</v>
      </c>
      <c r="C5375" s="184">
        <v>53</v>
      </c>
      <c r="D5375" s="184" t="s">
        <v>752</v>
      </c>
    </row>
    <row r="5376" spans="1:4" ht="12.5">
      <c r="A5376" s="186">
        <v>46209</v>
      </c>
      <c r="B5376" s="184">
        <v>7002870064</v>
      </c>
      <c r="C5376" s="184">
        <v>30</v>
      </c>
      <c r="D5376" s="184" t="s">
        <v>752</v>
      </c>
    </row>
    <row r="5377" spans="1:4" ht="12.5">
      <c r="A5377" s="186">
        <v>46209</v>
      </c>
      <c r="B5377" s="184">
        <v>7002870086</v>
      </c>
      <c r="C5377" s="184">
        <v>1</v>
      </c>
      <c r="D5377" s="184" t="s">
        <v>750</v>
      </c>
    </row>
    <row r="5378" spans="1:4" ht="12.5">
      <c r="A5378" s="186">
        <v>46209</v>
      </c>
      <c r="B5378" s="184">
        <v>7002870131</v>
      </c>
      <c r="C5378" s="184">
        <v>1</v>
      </c>
      <c r="D5378" s="184" t="s">
        <v>750</v>
      </c>
    </row>
    <row r="5379" spans="1:4" ht="12.5">
      <c r="A5379" s="186">
        <v>46209</v>
      </c>
      <c r="B5379" s="184">
        <v>7002870154</v>
      </c>
      <c r="C5379" s="184">
        <v>5</v>
      </c>
      <c r="D5379" s="184" t="s">
        <v>751</v>
      </c>
    </row>
    <row r="5380" spans="1:4" ht="12.5">
      <c r="A5380" s="186">
        <v>46209</v>
      </c>
      <c r="B5380" s="184">
        <v>7002870165</v>
      </c>
      <c r="C5380" s="184">
        <v>1</v>
      </c>
      <c r="D5380" s="184" t="s">
        <v>750</v>
      </c>
    </row>
    <row r="5381" spans="1:4" ht="12.5">
      <c r="A5381" s="186">
        <v>46209</v>
      </c>
      <c r="B5381" s="184">
        <v>7002870278</v>
      </c>
      <c r="C5381" s="184">
        <v>1</v>
      </c>
      <c r="D5381" s="184" t="s">
        <v>750</v>
      </c>
    </row>
    <row r="5382" spans="1:4" ht="12.5">
      <c r="A5382" s="186">
        <v>46209</v>
      </c>
      <c r="B5382" s="184">
        <v>7002870390</v>
      </c>
      <c r="C5382" s="184">
        <v>2</v>
      </c>
      <c r="D5382" s="184" t="s">
        <v>751</v>
      </c>
    </row>
    <row r="5383" spans="1:4" ht="12.5">
      <c r="A5383" s="186">
        <v>46209</v>
      </c>
      <c r="B5383" s="184">
        <v>7002870476</v>
      </c>
      <c r="C5383" s="184">
        <v>2</v>
      </c>
      <c r="D5383" s="184" t="s">
        <v>751</v>
      </c>
    </row>
    <row r="5384" spans="1:4" ht="12.5">
      <c r="A5384" s="186">
        <v>46209</v>
      </c>
      <c r="B5384" s="184">
        <v>7002870559</v>
      </c>
      <c r="C5384" s="184">
        <v>15</v>
      </c>
      <c r="D5384" s="184" t="s">
        <v>752</v>
      </c>
    </row>
    <row r="5385" spans="1:4" ht="12.5">
      <c r="A5385" s="186">
        <v>46209</v>
      </c>
      <c r="B5385" s="184">
        <v>7002870627</v>
      </c>
      <c r="C5385" s="184">
        <v>1</v>
      </c>
      <c r="D5385" s="184" t="s">
        <v>750</v>
      </c>
    </row>
    <row r="5386" spans="1:4" ht="12.5">
      <c r="A5386" s="186">
        <v>46209</v>
      </c>
      <c r="B5386" s="184">
        <v>7002870702</v>
      </c>
      <c r="C5386" s="184">
        <v>5</v>
      </c>
      <c r="D5386" s="184" t="s">
        <v>751</v>
      </c>
    </row>
    <row r="5387" spans="1:4" ht="12.5">
      <c r="A5387" s="186">
        <v>46209</v>
      </c>
      <c r="B5387" s="184">
        <v>7002871071</v>
      </c>
      <c r="C5387" s="184">
        <v>50</v>
      </c>
      <c r="D5387" s="184" t="s">
        <v>752</v>
      </c>
    </row>
    <row r="5388" spans="1:4" ht="12.5">
      <c r="A5388" s="186">
        <v>46209</v>
      </c>
      <c r="B5388" s="184">
        <v>7002871085</v>
      </c>
      <c r="C5388" s="184">
        <v>48</v>
      </c>
      <c r="D5388" s="184" t="s">
        <v>752</v>
      </c>
    </row>
    <row r="5389" spans="1:4" ht="12.5">
      <c r="A5389" s="186">
        <v>46209</v>
      </c>
      <c r="B5389" s="184">
        <v>7002871107</v>
      </c>
      <c r="C5389" s="184">
        <v>1</v>
      </c>
      <c r="D5389" s="184" t="s">
        <v>750</v>
      </c>
    </row>
    <row r="5390" spans="1:4" ht="12.5">
      <c r="A5390" s="186">
        <v>46209</v>
      </c>
      <c r="B5390" s="184">
        <v>7002871124</v>
      </c>
      <c r="C5390" s="184">
        <v>1</v>
      </c>
      <c r="D5390" s="184" t="s">
        <v>750</v>
      </c>
    </row>
    <row r="5391" spans="1:4" ht="12.5">
      <c r="A5391" s="186">
        <v>46209</v>
      </c>
      <c r="B5391" s="184">
        <v>7002871148</v>
      </c>
      <c r="C5391" s="184">
        <v>1</v>
      </c>
      <c r="D5391" s="184" t="s">
        <v>750</v>
      </c>
    </row>
    <row r="5392" spans="1:4" ht="12.5">
      <c r="A5392" s="186">
        <v>46209</v>
      </c>
      <c r="B5392" s="184">
        <v>7002871169</v>
      </c>
      <c r="C5392" s="184">
        <v>14</v>
      </c>
      <c r="D5392" s="184" t="s">
        <v>752</v>
      </c>
    </row>
    <row r="5393" spans="1:4" ht="12.5">
      <c r="A5393" s="186">
        <v>46209</v>
      </c>
      <c r="B5393" s="184">
        <v>7002871182</v>
      </c>
      <c r="C5393" s="184">
        <v>3</v>
      </c>
      <c r="D5393" s="184" t="s">
        <v>751</v>
      </c>
    </row>
    <row r="5394" spans="1:4" ht="12.5">
      <c r="A5394" s="186">
        <v>46209</v>
      </c>
      <c r="B5394" s="184">
        <v>7002871499</v>
      </c>
      <c r="C5394" s="184">
        <v>7</v>
      </c>
      <c r="D5394" s="184" t="s">
        <v>758</v>
      </c>
    </row>
    <row r="5395" spans="1:4" ht="12.5">
      <c r="A5395" s="186">
        <v>46209</v>
      </c>
      <c r="B5395" s="184">
        <v>7002871589</v>
      </c>
      <c r="C5395" s="184">
        <v>7</v>
      </c>
      <c r="D5395" s="184" t="s">
        <v>758</v>
      </c>
    </row>
    <row r="5396" spans="1:4" ht="12.5">
      <c r="A5396" s="186">
        <v>46209</v>
      </c>
      <c r="B5396" s="184">
        <v>7002871657</v>
      </c>
      <c r="C5396" s="184">
        <v>2</v>
      </c>
      <c r="D5396" s="184" t="s">
        <v>751</v>
      </c>
    </row>
    <row r="5397" spans="1:4" ht="12.5">
      <c r="A5397" s="186">
        <v>46209</v>
      </c>
      <c r="B5397" s="184">
        <v>7002871661</v>
      </c>
      <c r="C5397" s="184">
        <v>12</v>
      </c>
      <c r="D5397" s="184" t="s">
        <v>752</v>
      </c>
    </row>
    <row r="5398" spans="1:4" ht="12.5">
      <c r="A5398" s="186">
        <v>46209</v>
      </c>
      <c r="B5398" s="184">
        <v>7002872058</v>
      </c>
      <c r="C5398" s="184">
        <v>13</v>
      </c>
      <c r="D5398" s="184" t="s">
        <v>752</v>
      </c>
    </row>
    <row r="5399" spans="1:4" ht="12.5">
      <c r="A5399" s="186">
        <v>46209</v>
      </c>
      <c r="B5399" s="184">
        <v>7002872070</v>
      </c>
      <c r="C5399" s="184">
        <v>76</v>
      </c>
      <c r="D5399" s="184" t="s">
        <v>752</v>
      </c>
    </row>
    <row r="5400" spans="1:4" ht="12.5">
      <c r="A5400" s="186">
        <v>46209</v>
      </c>
      <c r="B5400" s="184">
        <v>7002872091</v>
      </c>
      <c r="C5400" s="184">
        <v>1</v>
      </c>
      <c r="D5400" s="184" t="s">
        <v>750</v>
      </c>
    </row>
    <row r="5401" spans="1:4" ht="12.5">
      <c r="A5401" s="186">
        <v>46209</v>
      </c>
      <c r="B5401" s="184">
        <v>7002872134</v>
      </c>
      <c r="C5401" s="184">
        <v>14</v>
      </c>
      <c r="D5401" s="184" t="s">
        <v>752</v>
      </c>
    </row>
    <row r="5402" spans="1:4" ht="12.5">
      <c r="A5402" s="186">
        <v>46209</v>
      </c>
      <c r="B5402" s="184">
        <v>7002872168</v>
      </c>
      <c r="C5402" s="184">
        <v>4</v>
      </c>
      <c r="D5402" s="184" t="s">
        <v>751</v>
      </c>
    </row>
    <row r="5403" spans="1:4" ht="12.5">
      <c r="A5403" s="186">
        <v>46209</v>
      </c>
      <c r="B5403" s="184">
        <v>7002872181</v>
      </c>
      <c r="C5403" s="184">
        <v>3</v>
      </c>
      <c r="D5403" s="184" t="s">
        <v>751</v>
      </c>
    </row>
    <row r="5404" spans="1:4" ht="12.5">
      <c r="A5404" s="186">
        <v>46209</v>
      </c>
      <c r="B5404" s="184">
        <v>7002872467</v>
      </c>
      <c r="C5404" s="184">
        <v>2</v>
      </c>
      <c r="D5404" s="184" t="s">
        <v>751</v>
      </c>
    </row>
    <row r="5405" spans="1:4" ht="12.5">
      <c r="A5405" s="186">
        <v>46209</v>
      </c>
      <c r="B5405" s="184">
        <v>7002872542</v>
      </c>
      <c r="C5405" s="184">
        <v>1</v>
      </c>
      <c r="D5405" s="184" t="s">
        <v>750</v>
      </c>
    </row>
    <row r="5406" spans="1:4" ht="12.5">
      <c r="A5406" s="186">
        <v>46209</v>
      </c>
      <c r="B5406" s="184">
        <v>7002872590</v>
      </c>
      <c r="C5406" s="184">
        <v>1</v>
      </c>
      <c r="D5406" s="184" t="s">
        <v>750</v>
      </c>
    </row>
    <row r="5407" spans="1:4" ht="12.5">
      <c r="A5407" s="186">
        <v>46209</v>
      </c>
      <c r="B5407" s="184">
        <v>7002872641</v>
      </c>
      <c r="C5407" s="184">
        <v>6</v>
      </c>
      <c r="D5407" s="184" t="s">
        <v>758</v>
      </c>
    </row>
    <row r="5408" spans="1:4" ht="12.5">
      <c r="A5408" s="186">
        <v>46209</v>
      </c>
      <c r="B5408" s="184">
        <v>7002872785</v>
      </c>
      <c r="C5408" s="184">
        <v>1</v>
      </c>
      <c r="D5408" s="184" t="s">
        <v>750</v>
      </c>
    </row>
    <row r="5409" spans="1:4" ht="12.5">
      <c r="A5409" s="186">
        <v>46209</v>
      </c>
      <c r="B5409" s="184">
        <v>7002872978</v>
      </c>
      <c r="C5409" s="184">
        <v>1</v>
      </c>
      <c r="D5409" s="184" t="s">
        <v>750</v>
      </c>
    </row>
    <row r="5410" spans="1:4" ht="12.5">
      <c r="A5410" s="186">
        <v>46209</v>
      </c>
      <c r="B5410" s="184">
        <v>7002873042</v>
      </c>
      <c r="C5410" s="184">
        <v>3</v>
      </c>
      <c r="D5410" s="184" t="s">
        <v>751</v>
      </c>
    </row>
    <row r="5411" spans="1:4" ht="12.5">
      <c r="A5411" s="186">
        <v>46209</v>
      </c>
      <c r="B5411" s="184">
        <v>7002873057</v>
      </c>
      <c r="C5411" s="184">
        <v>20</v>
      </c>
      <c r="D5411" s="184" t="s">
        <v>752</v>
      </c>
    </row>
    <row r="5412" spans="1:4" ht="12.5">
      <c r="A5412" s="186">
        <v>46209</v>
      </c>
      <c r="B5412" s="184">
        <v>7002873114</v>
      </c>
      <c r="C5412" s="184">
        <v>3</v>
      </c>
      <c r="D5412" s="184" t="s">
        <v>751</v>
      </c>
    </row>
    <row r="5413" spans="1:4" ht="12.5">
      <c r="A5413" s="186">
        <v>46209</v>
      </c>
      <c r="B5413" s="184">
        <v>7002873133</v>
      </c>
      <c r="C5413" s="184">
        <v>49</v>
      </c>
      <c r="D5413" s="184" t="s">
        <v>752</v>
      </c>
    </row>
    <row r="5414" spans="1:4" ht="12.5">
      <c r="A5414" s="186">
        <v>46209</v>
      </c>
      <c r="B5414" s="184">
        <v>7002873151</v>
      </c>
      <c r="C5414" s="184">
        <v>9</v>
      </c>
      <c r="D5414" s="184" t="s">
        <v>758</v>
      </c>
    </row>
    <row r="5415" spans="1:4" ht="12.5">
      <c r="A5415" s="186">
        <v>46209</v>
      </c>
      <c r="B5415" s="184">
        <v>7002873167</v>
      </c>
      <c r="C5415" s="184">
        <v>19</v>
      </c>
      <c r="D5415" s="184" t="s">
        <v>752</v>
      </c>
    </row>
    <row r="5416" spans="1:4" ht="12.5">
      <c r="A5416" s="186">
        <v>46209</v>
      </c>
      <c r="B5416" s="184">
        <v>7002873179</v>
      </c>
      <c r="C5416" s="184">
        <v>13</v>
      </c>
      <c r="D5416" s="184" t="s">
        <v>752</v>
      </c>
    </row>
    <row r="5417" spans="1:4" ht="12.5">
      <c r="A5417" s="186">
        <v>46209</v>
      </c>
      <c r="B5417" s="184">
        <v>7002873252</v>
      </c>
      <c r="C5417" s="184">
        <v>2</v>
      </c>
      <c r="D5417" s="184" t="s">
        <v>751</v>
      </c>
    </row>
    <row r="5418" spans="1:4" ht="12.5">
      <c r="A5418" s="186">
        <v>46209</v>
      </c>
      <c r="B5418" s="184">
        <v>7002873275</v>
      </c>
      <c r="C5418" s="184">
        <v>1</v>
      </c>
      <c r="D5418" s="184" t="s">
        <v>750</v>
      </c>
    </row>
    <row r="5419" spans="1:4" ht="12.5">
      <c r="A5419" s="186">
        <v>46209</v>
      </c>
      <c r="B5419" s="184">
        <v>7002873556</v>
      </c>
      <c r="C5419" s="184">
        <v>1</v>
      </c>
      <c r="D5419" s="184" t="s">
        <v>750</v>
      </c>
    </row>
    <row r="5420" spans="1:4" ht="12.5">
      <c r="A5420" s="186">
        <v>46209</v>
      </c>
      <c r="B5420" s="184">
        <v>7002873664</v>
      </c>
      <c r="C5420" s="184">
        <v>1</v>
      </c>
      <c r="D5420" s="184" t="s">
        <v>750</v>
      </c>
    </row>
    <row r="5421" spans="1:4" ht="12.5">
      <c r="A5421" s="186">
        <v>46209</v>
      </c>
      <c r="B5421" s="184">
        <v>7002873727</v>
      </c>
      <c r="C5421" s="184">
        <v>4</v>
      </c>
      <c r="D5421" s="184" t="s">
        <v>751</v>
      </c>
    </row>
    <row r="5422" spans="1:4" ht="12.5">
      <c r="A5422" s="186">
        <v>46209</v>
      </c>
      <c r="B5422" s="184">
        <v>7002873791</v>
      </c>
      <c r="C5422" s="184">
        <v>6</v>
      </c>
      <c r="D5422" s="184" t="s">
        <v>758</v>
      </c>
    </row>
    <row r="5423" spans="1:4" ht="12.5">
      <c r="A5423" s="186">
        <v>46209</v>
      </c>
      <c r="B5423" s="184">
        <v>7002873882</v>
      </c>
      <c r="C5423" s="184">
        <v>2</v>
      </c>
      <c r="D5423" s="184" t="s">
        <v>751</v>
      </c>
    </row>
    <row r="5424" spans="1:4" ht="12.5">
      <c r="A5424" s="186">
        <v>46209</v>
      </c>
      <c r="B5424" s="184">
        <v>7002874002</v>
      </c>
      <c r="C5424" s="184">
        <v>1</v>
      </c>
      <c r="D5424" s="184" t="s">
        <v>750</v>
      </c>
    </row>
    <row r="5425" spans="1:4" ht="12.5">
      <c r="A5425" s="186">
        <v>46209</v>
      </c>
      <c r="B5425" s="184">
        <v>7002874056</v>
      </c>
      <c r="C5425" s="184">
        <v>10</v>
      </c>
      <c r="D5425" s="184" t="s">
        <v>758</v>
      </c>
    </row>
    <row r="5426" spans="1:4" ht="12.5">
      <c r="A5426" s="186">
        <v>46209</v>
      </c>
      <c r="B5426" s="184">
        <v>7002874060</v>
      </c>
      <c r="C5426" s="184">
        <v>14</v>
      </c>
      <c r="D5426" s="184" t="s">
        <v>752</v>
      </c>
    </row>
    <row r="5427" spans="1:4" ht="12.5">
      <c r="A5427" s="186">
        <v>46209</v>
      </c>
      <c r="B5427" s="184">
        <v>7002874073</v>
      </c>
      <c r="C5427" s="184">
        <v>1</v>
      </c>
      <c r="D5427" s="184" t="s">
        <v>750</v>
      </c>
    </row>
    <row r="5428" spans="1:4" ht="12.5">
      <c r="A5428" s="186">
        <v>46209</v>
      </c>
      <c r="B5428" s="184">
        <v>7002874121</v>
      </c>
      <c r="C5428" s="184">
        <v>1</v>
      </c>
      <c r="D5428" s="184" t="s">
        <v>750</v>
      </c>
    </row>
    <row r="5429" spans="1:4" ht="12.5">
      <c r="A5429" s="186">
        <v>46209</v>
      </c>
      <c r="B5429" s="184">
        <v>7002874132</v>
      </c>
      <c r="C5429" s="184">
        <v>1</v>
      </c>
      <c r="D5429" s="184" t="s">
        <v>750</v>
      </c>
    </row>
    <row r="5430" spans="1:4" ht="12.5">
      <c r="A5430" s="186">
        <v>46209</v>
      </c>
      <c r="B5430" s="184">
        <v>7002874214</v>
      </c>
      <c r="C5430" s="184">
        <v>14</v>
      </c>
      <c r="D5430" s="184" t="s">
        <v>752</v>
      </c>
    </row>
    <row r="5431" spans="1:4" ht="12.5">
      <c r="A5431" s="186">
        <v>46209</v>
      </c>
      <c r="B5431" s="184">
        <v>7002874280</v>
      </c>
      <c r="C5431" s="184">
        <v>8</v>
      </c>
      <c r="D5431" s="184" t="s">
        <v>758</v>
      </c>
    </row>
    <row r="5432" spans="1:4" ht="12.5">
      <c r="A5432" s="186">
        <v>46209</v>
      </c>
      <c r="B5432" s="184">
        <v>7002874465</v>
      </c>
      <c r="C5432" s="184">
        <v>2</v>
      </c>
      <c r="D5432" s="184" t="s">
        <v>751</v>
      </c>
    </row>
    <row r="5433" spans="1:4" ht="12.5">
      <c r="A5433" s="186">
        <v>46209</v>
      </c>
      <c r="B5433" s="184">
        <v>7002874496</v>
      </c>
      <c r="C5433" s="184">
        <v>1</v>
      </c>
      <c r="D5433" s="184" t="s">
        <v>750</v>
      </c>
    </row>
    <row r="5434" spans="1:4" ht="12.5">
      <c r="A5434" s="186">
        <v>46209</v>
      </c>
      <c r="B5434" s="184">
        <v>7002874600</v>
      </c>
      <c r="C5434" s="184">
        <v>23</v>
      </c>
      <c r="D5434" s="184" t="s">
        <v>752</v>
      </c>
    </row>
    <row r="5435" spans="1:4" ht="12.5">
      <c r="A5435" s="186">
        <v>46209</v>
      </c>
      <c r="B5435" s="184">
        <v>7002874761</v>
      </c>
      <c r="C5435" s="184">
        <v>13</v>
      </c>
      <c r="D5435" s="184" t="s">
        <v>752</v>
      </c>
    </row>
    <row r="5436" spans="1:4" ht="12.5">
      <c r="A5436" s="186">
        <v>46209</v>
      </c>
      <c r="B5436" s="184">
        <v>7002875009</v>
      </c>
      <c r="C5436" s="184">
        <v>1</v>
      </c>
      <c r="D5436" s="184" t="s">
        <v>750</v>
      </c>
    </row>
    <row r="5437" spans="1:4" ht="12.5">
      <c r="A5437" s="186">
        <v>46209</v>
      </c>
      <c r="B5437" s="184">
        <v>7002875045</v>
      </c>
      <c r="C5437" s="184">
        <v>54</v>
      </c>
      <c r="D5437" s="184" t="s">
        <v>752</v>
      </c>
    </row>
    <row r="5438" spans="1:4" ht="12.5">
      <c r="A5438" s="186">
        <v>46209</v>
      </c>
      <c r="B5438" s="184">
        <v>7002875050</v>
      </c>
      <c r="C5438" s="184">
        <v>15</v>
      </c>
      <c r="D5438" s="184" t="s">
        <v>752</v>
      </c>
    </row>
    <row r="5439" spans="1:4" ht="12.5">
      <c r="A5439" s="186">
        <v>46209</v>
      </c>
      <c r="B5439" s="184">
        <v>7002875102</v>
      </c>
      <c r="C5439" s="184">
        <v>7</v>
      </c>
      <c r="D5439" s="184" t="s">
        <v>758</v>
      </c>
    </row>
    <row r="5440" spans="1:4" ht="12.5">
      <c r="A5440" s="186">
        <v>46209</v>
      </c>
      <c r="B5440" s="184">
        <v>7002875118</v>
      </c>
      <c r="C5440" s="184">
        <v>4</v>
      </c>
      <c r="D5440" s="184" t="s">
        <v>751</v>
      </c>
    </row>
    <row r="5441" spans="1:4" ht="12.5">
      <c r="A5441" s="186">
        <v>46209</v>
      </c>
      <c r="B5441" s="184">
        <v>7002875125</v>
      </c>
      <c r="C5441" s="184">
        <v>3</v>
      </c>
      <c r="D5441" s="184" t="s">
        <v>751</v>
      </c>
    </row>
    <row r="5442" spans="1:4" ht="12.5">
      <c r="A5442" s="186">
        <v>46209</v>
      </c>
      <c r="B5442" s="184">
        <v>7002875156</v>
      </c>
      <c r="C5442" s="184">
        <v>2</v>
      </c>
      <c r="D5442" s="184" t="s">
        <v>751</v>
      </c>
    </row>
    <row r="5443" spans="1:4" ht="12.5">
      <c r="A5443" s="186">
        <v>46209</v>
      </c>
      <c r="B5443" s="184">
        <v>7002875201</v>
      </c>
      <c r="C5443" s="184">
        <v>26</v>
      </c>
      <c r="D5443" s="184" t="s">
        <v>752</v>
      </c>
    </row>
    <row r="5444" spans="1:4" ht="12.5">
      <c r="A5444" s="186">
        <v>46209</v>
      </c>
      <c r="B5444" s="184">
        <v>7002875330</v>
      </c>
      <c r="C5444" s="184">
        <v>7</v>
      </c>
      <c r="D5444" s="184" t="s">
        <v>758</v>
      </c>
    </row>
    <row r="5445" spans="1:4" ht="12.5">
      <c r="A5445" s="186">
        <v>46209</v>
      </c>
      <c r="B5445" s="184">
        <v>7002875567</v>
      </c>
      <c r="C5445" s="184">
        <v>2</v>
      </c>
      <c r="D5445" s="184" t="s">
        <v>751</v>
      </c>
    </row>
    <row r="5446" spans="1:4" ht="12.5">
      <c r="A5446" s="186">
        <v>46209</v>
      </c>
      <c r="B5446" s="184">
        <v>7002875598</v>
      </c>
      <c r="C5446" s="184">
        <v>7</v>
      </c>
      <c r="D5446" s="184" t="s">
        <v>758</v>
      </c>
    </row>
    <row r="5447" spans="1:4" ht="12.5">
      <c r="A5447" s="186">
        <v>46209</v>
      </c>
      <c r="B5447" s="184">
        <v>7002875610</v>
      </c>
      <c r="C5447" s="184">
        <v>1</v>
      </c>
      <c r="D5447" s="184" t="s">
        <v>750</v>
      </c>
    </row>
    <row r="5448" spans="1:4" ht="12.5">
      <c r="A5448" s="186">
        <v>46209</v>
      </c>
      <c r="B5448" s="184">
        <v>7002875754</v>
      </c>
      <c r="C5448" s="184">
        <v>3</v>
      </c>
      <c r="D5448" s="184" t="s">
        <v>751</v>
      </c>
    </row>
    <row r="5449" spans="1:4" ht="12.5">
      <c r="A5449" s="186">
        <v>46209</v>
      </c>
      <c r="B5449" s="184">
        <v>7002876005</v>
      </c>
      <c r="C5449" s="184">
        <v>1</v>
      </c>
      <c r="D5449" s="184" t="s">
        <v>750</v>
      </c>
    </row>
    <row r="5450" spans="1:4" ht="12.5">
      <c r="A5450" s="186">
        <v>46209</v>
      </c>
      <c r="B5450" s="184">
        <v>7002876080</v>
      </c>
      <c r="C5450" s="184">
        <v>1</v>
      </c>
      <c r="D5450" s="184" t="s">
        <v>750</v>
      </c>
    </row>
    <row r="5451" spans="1:4" ht="12.5">
      <c r="A5451" s="186">
        <v>46209</v>
      </c>
      <c r="B5451" s="184">
        <v>7002876098</v>
      </c>
      <c r="C5451" s="184">
        <v>2</v>
      </c>
      <c r="D5451" s="184" t="s">
        <v>751</v>
      </c>
    </row>
    <row r="5452" spans="1:4" ht="12.5">
      <c r="A5452" s="186">
        <v>46209</v>
      </c>
      <c r="B5452" s="184">
        <v>7002876119</v>
      </c>
      <c r="C5452" s="184">
        <v>18</v>
      </c>
      <c r="D5452" s="184" t="s">
        <v>752</v>
      </c>
    </row>
    <row r="5453" spans="1:4" ht="12.5">
      <c r="A5453" s="186">
        <v>46209</v>
      </c>
      <c r="B5453" s="184">
        <v>7002876126</v>
      </c>
      <c r="C5453" s="184">
        <v>4</v>
      </c>
      <c r="D5453" s="184" t="s">
        <v>751</v>
      </c>
    </row>
    <row r="5454" spans="1:4" ht="12.5">
      <c r="A5454" s="186">
        <v>46209</v>
      </c>
      <c r="B5454" s="184">
        <v>7002876135</v>
      </c>
      <c r="C5454" s="184">
        <v>5</v>
      </c>
      <c r="D5454" s="184" t="s">
        <v>751</v>
      </c>
    </row>
    <row r="5455" spans="1:4" ht="12.5">
      <c r="A5455" s="186">
        <v>46209</v>
      </c>
      <c r="B5455" s="184">
        <v>7002876142</v>
      </c>
      <c r="C5455" s="184">
        <v>10</v>
      </c>
      <c r="D5455" s="184" t="s">
        <v>758</v>
      </c>
    </row>
    <row r="5456" spans="1:4" ht="12.5">
      <c r="A5456" s="186">
        <v>46209</v>
      </c>
      <c r="B5456" s="184">
        <v>7002876188</v>
      </c>
      <c r="C5456" s="184">
        <v>1</v>
      </c>
      <c r="D5456" s="184" t="s">
        <v>750</v>
      </c>
    </row>
    <row r="5457" spans="1:4" ht="12.5">
      <c r="A5457" s="186">
        <v>46209</v>
      </c>
      <c r="B5457" s="184">
        <v>7002876312</v>
      </c>
      <c r="C5457" s="184">
        <v>31</v>
      </c>
      <c r="D5457" s="184" t="s">
        <v>752</v>
      </c>
    </row>
    <row r="5458" spans="1:4" ht="12.5">
      <c r="A5458" s="186">
        <v>46209</v>
      </c>
      <c r="B5458" s="184">
        <v>7002876510</v>
      </c>
      <c r="C5458" s="184">
        <v>2</v>
      </c>
      <c r="D5458" s="184" t="s">
        <v>751</v>
      </c>
    </row>
    <row r="5459" spans="1:4" ht="12.5">
      <c r="A5459" s="186">
        <v>46209</v>
      </c>
      <c r="B5459" s="184">
        <v>7002876944</v>
      </c>
      <c r="C5459" s="184">
        <v>1</v>
      </c>
      <c r="D5459" s="184" t="s">
        <v>750</v>
      </c>
    </row>
    <row r="5460" spans="1:4" ht="12.5">
      <c r="A5460" s="186">
        <v>46209</v>
      </c>
      <c r="B5460" s="184">
        <v>7002877006</v>
      </c>
      <c r="C5460" s="184">
        <v>1</v>
      </c>
      <c r="D5460" s="184" t="s">
        <v>750</v>
      </c>
    </row>
    <row r="5461" spans="1:4" ht="12.5">
      <c r="A5461" s="186">
        <v>46209</v>
      </c>
      <c r="B5461" s="184">
        <v>7002877047</v>
      </c>
      <c r="C5461" s="184">
        <v>2</v>
      </c>
      <c r="D5461" s="184" t="s">
        <v>751</v>
      </c>
    </row>
    <row r="5462" spans="1:4" ht="12.5">
      <c r="A5462" s="186">
        <v>46209</v>
      </c>
      <c r="B5462" s="184">
        <v>7002877052</v>
      </c>
      <c r="C5462" s="184">
        <v>42</v>
      </c>
      <c r="D5462" s="184" t="s">
        <v>752</v>
      </c>
    </row>
    <row r="5463" spans="1:4" ht="12.5">
      <c r="A5463" s="186">
        <v>46209</v>
      </c>
      <c r="B5463" s="184">
        <v>7002877081</v>
      </c>
      <c r="C5463" s="184">
        <v>7</v>
      </c>
      <c r="D5463" s="184" t="s">
        <v>758</v>
      </c>
    </row>
    <row r="5464" spans="1:4" ht="12.5">
      <c r="A5464" s="186">
        <v>46209</v>
      </c>
      <c r="B5464" s="184">
        <v>7002877115</v>
      </c>
      <c r="C5464" s="184">
        <v>6</v>
      </c>
      <c r="D5464" s="184" t="s">
        <v>758</v>
      </c>
    </row>
    <row r="5465" spans="1:4" ht="12.5">
      <c r="A5465" s="186">
        <v>46209</v>
      </c>
      <c r="B5465" s="184">
        <v>7002877136</v>
      </c>
      <c r="C5465" s="184">
        <v>20</v>
      </c>
      <c r="D5465" s="184" t="s">
        <v>752</v>
      </c>
    </row>
    <row r="5466" spans="1:4" ht="12.5">
      <c r="A5466" s="186">
        <v>46209</v>
      </c>
      <c r="B5466" s="184">
        <v>7002877143</v>
      </c>
      <c r="C5466" s="184">
        <v>1</v>
      </c>
      <c r="D5466" s="184" t="s">
        <v>750</v>
      </c>
    </row>
    <row r="5467" spans="1:4" ht="12.5">
      <c r="A5467" s="186">
        <v>46209</v>
      </c>
      <c r="B5467" s="184">
        <v>7002877189</v>
      </c>
      <c r="C5467" s="184">
        <v>10</v>
      </c>
      <c r="D5467" s="184" t="s">
        <v>758</v>
      </c>
    </row>
    <row r="5468" spans="1:4" ht="12.5">
      <c r="A5468" s="186">
        <v>46209</v>
      </c>
      <c r="B5468" s="184">
        <v>7002877530</v>
      </c>
      <c r="C5468" s="184">
        <v>15</v>
      </c>
      <c r="D5468" s="184" t="s">
        <v>752</v>
      </c>
    </row>
    <row r="5469" spans="1:4" ht="12.5">
      <c r="A5469" s="186">
        <v>46209</v>
      </c>
      <c r="B5469" s="184">
        <v>7002877665</v>
      </c>
      <c r="C5469" s="184">
        <v>1</v>
      </c>
      <c r="D5469" s="184" t="s">
        <v>750</v>
      </c>
    </row>
    <row r="5470" spans="1:4" ht="12.5">
      <c r="A5470" s="186">
        <v>46209</v>
      </c>
      <c r="B5470" s="184">
        <v>7002878024</v>
      </c>
      <c r="C5470" s="184">
        <v>33</v>
      </c>
      <c r="D5470" s="184" t="s">
        <v>752</v>
      </c>
    </row>
    <row r="5471" spans="1:4" ht="12.5">
      <c r="A5471" s="186">
        <v>46209</v>
      </c>
      <c r="B5471" s="184">
        <v>7002878076</v>
      </c>
      <c r="C5471" s="184">
        <v>10</v>
      </c>
      <c r="D5471" s="184" t="s">
        <v>758</v>
      </c>
    </row>
    <row r="5472" spans="1:4" ht="12.5">
      <c r="A5472" s="186">
        <v>46209</v>
      </c>
      <c r="B5472" s="184">
        <v>7002878082</v>
      </c>
      <c r="C5472" s="184">
        <v>3</v>
      </c>
      <c r="D5472" s="184" t="s">
        <v>751</v>
      </c>
    </row>
    <row r="5473" spans="1:4" ht="12.5">
      <c r="A5473" s="186">
        <v>46209</v>
      </c>
      <c r="B5473" s="184">
        <v>7002878128</v>
      </c>
      <c r="C5473" s="184">
        <v>2</v>
      </c>
      <c r="D5473" s="184" t="s">
        <v>751</v>
      </c>
    </row>
    <row r="5474" spans="1:4" ht="12.5">
      <c r="A5474" s="186">
        <v>46209</v>
      </c>
      <c r="B5474" s="184">
        <v>7002878144</v>
      </c>
      <c r="C5474" s="184">
        <v>10</v>
      </c>
      <c r="D5474" s="184" t="s">
        <v>758</v>
      </c>
    </row>
    <row r="5475" spans="1:4" ht="12.5">
      <c r="A5475" s="186">
        <v>46209</v>
      </c>
      <c r="B5475" s="184">
        <v>7002878159</v>
      </c>
      <c r="C5475" s="184">
        <v>1</v>
      </c>
      <c r="D5475" s="184" t="s">
        <v>750</v>
      </c>
    </row>
    <row r="5476" spans="1:4" ht="12.5">
      <c r="A5476" s="186">
        <v>46209</v>
      </c>
      <c r="B5476" s="184">
        <v>7002878171</v>
      </c>
      <c r="C5476" s="184">
        <v>2</v>
      </c>
      <c r="D5476" s="184" t="s">
        <v>751</v>
      </c>
    </row>
    <row r="5477" spans="1:4" ht="12.5">
      <c r="A5477" s="186">
        <v>46209</v>
      </c>
      <c r="B5477" s="184">
        <v>7002878243</v>
      </c>
      <c r="C5477" s="184">
        <v>2</v>
      </c>
      <c r="D5477" s="184" t="s">
        <v>751</v>
      </c>
    </row>
    <row r="5478" spans="1:4" ht="12.5">
      <c r="A5478" s="186">
        <v>46209</v>
      </c>
      <c r="B5478" s="184">
        <v>7002878258</v>
      </c>
      <c r="C5478" s="184">
        <v>7</v>
      </c>
      <c r="D5478" s="184" t="s">
        <v>758</v>
      </c>
    </row>
    <row r="5479" spans="1:4" ht="12.5">
      <c r="A5479" s="186">
        <v>46209</v>
      </c>
      <c r="B5479" s="184">
        <v>7002878314</v>
      </c>
      <c r="C5479" s="184">
        <v>2</v>
      </c>
      <c r="D5479" s="184" t="s">
        <v>751</v>
      </c>
    </row>
    <row r="5480" spans="1:4" ht="12.5">
      <c r="A5480" s="186">
        <v>46209</v>
      </c>
      <c r="B5480" s="184">
        <v>7002878379</v>
      </c>
      <c r="C5480" s="184">
        <v>3</v>
      </c>
      <c r="D5480" s="184" t="s">
        <v>751</v>
      </c>
    </row>
    <row r="5481" spans="1:4" ht="12.5">
      <c r="A5481" s="186">
        <v>46209</v>
      </c>
      <c r="B5481" s="184">
        <v>7002878549</v>
      </c>
      <c r="C5481" s="184">
        <v>4</v>
      </c>
      <c r="D5481" s="184" t="s">
        <v>751</v>
      </c>
    </row>
    <row r="5482" spans="1:4" ht="12.5">
      <c r="A5482" s="186">
        <v>46209</v>
      </c>
      <c r="B5482" s="184">
        <v>7002879008</v>
      </c>
      <c r="C5482" s="184">
        <v>1</v>
      </c>
      <c r="D5482" s="184" t="s">
        <v>750</v>
      </c>
    </row>
    <row r="5483" spans="1:4" ht="12.5">
      <c r="A5483" s="186">
        <v>46209</v>
      </c>
      <c r="B5483" s="184">
        <v>7002879020</v>
      </c>
      <c r="C5483" s="184">
        <v>205</v>
      </c>
      <c r="D5483" s="184" t="s">
        <v>752</v>
      </c>
    </row>
    <row r="5484" spans="1:4" ht="12.5">
      <c r="A5484" s="186">
        <v>46209</v>
      </c>
      <c r="B5484" s="184">
        <v>7002879065</v>
      </c>
      <c r="C5484" s="184">
        <v>4</v>
      </c>
      <c r="D5484" s="184" t="s">
        <v>751</v>
      </c>
    </row>
    <row r="5485" spans="1:4" ht="12.5">
      <c r="A5485" s="186">
        <v>46209</v>
      </c>
      <c r="B5485" s="184">
        <v>7002879117</v>
      </c>
      <c r="C5485" s="184">
        <v>8</v>
      </c>
      <c r="D5485" s="184" t="s">
        <v>758</v>
      </c>
    </row>
    <row r="5486" spans="1:4" ht="12.5">
      <c r="A5486" s="186">
        <v>46209</v>
      </c>
      <c r="B5486" s="184">
        <v>7002879129</v>
      </c>
      <c r="C5486" s="184">
        <v>8</v>
      </c>
      <c r="D5486" s="184" t="s">
        <v>758</v>
      </c>
    </row>
    <row r="5487" spans="1:4" ht="12.5">
      <c r="A5487" s="186">
        <v>46209</v>
      </c>
      <c r="B5487" s="184">
        <v>7002879155</v>
      </c>
      <c r="C5487" s="184">
        <v>6</v>
      </c>
      <c r="D5487" s="184" t="s">
        <v>758</v>
      </c>
    </row>
    <row r="5488" spans="1:4" ht="12.5">
      <c r="A5488" s="186">
        <v>46209</v>
      </c>
      <c r="B5488" s="184">
        <v>7002879186</v>
      </c>
      <c r="C5488" s="184">
        <v>6</v>
      </c>
      <c r="D5488" s="184" t="s">
        <v>758</v>
      </c>
    </row>
    <row r="5489" spans="1:4" ht="12.5">
      <c r="A5489" s="186">
        <v>46209</v>
      </c>
      <c r="B5489" s="184">
        <v>7002879323</v>
      </c>
      <c r="C5489" s="184">
        <v>1</v>
      </c>
      <c r="D5489" s="184" t="s">
        <v>750</v>
      </c>
    </row>
    <row r="5490" spans="1:4" ht="12.5">
      <c r="A5490" s="186">
        <v>46209</v>
      </c>
      <c r="B5490" s="184">
        <v>7002879425</v>
      </c>
      <c r="C5490" s="184">
        <v>1</v>
      </c>
      <c r="D5490" s="184" t="s">
        <v>750</v>
      </c>
    </row>
    <row r="5491" spans="1:4" ht="12.5">
      <c r="A5491" s="186">
        <v>46209</v>
      </c>
      <c r="B5491" s="184">
        <v>7002879680</v>
      </c>
      <c r="C5491" s="184">
        <v>5</v>
      </c>
      <c r="D5491" s="184" t="s">
        <v>751</v>
      </c>
    </row>
    <row r="5492" spans="1:4" ht="12.5">
      <c r="A5492" s="186">
        <v>46209</v>
      </c>
      <c r="B5492" s="184">
        <v>7002879707</v>
      </c>
      <c r="C5492" s="184">
        <v>3</v>
      </c>
      <c r="D5492" s="184" t="s">
        <v>751</v>
      </c>
    </row>
    <row r="5493" spans="1:4" ht="12.5">
      <c r="A5493" s="186">
        <v>46209</v>
      </c>
      <c r="B5493" s="184">
        <v>7002879769</v>
      </c>
      <c r="C5493" s="184">
        <v>1</v>
      </c>
      <c r="D5493" s="184" t="s">
        <v>750</v>
      </c>
    </row>
    <row r="5494" spans="1:4" ht="12.5">
      <c r="A5494" s="186">
        <v>46209</v>
      </c>
      <c r="B5494" s="184">
        <v>7002879926</v>
      </c>
      <c r="C5494" s="184">
        <v>2</v>
      </c>
      <c r="D5494" s="184" t="s">
        <v>751</v>
      </c>
    </row>
    <row r="5495" spans="1:4" ht="12.5">
      <c r="A5495" s="186">
        <v>46209</v>
      </c>
      <c r="B5495" s="184">
        <v>7002880203</v>
      </c>
      <c r="C5495" s="184">
        <v>3</v>
      </c>
      <c r="D5495" s="184" t="s">
        <v>751</v>
      </c>
    </row>
    <row r="5496" spans="1:4" ht="12.5">
      <c r="A5496" s="186">
        <v>46209</v>
      </c>
      <c r="B5496" s="184">
        <v>7002880459</v>
      </c>
      <c r="C5496" s="184">
        <v>3</v>
      </c>
      <c r="D5496" s="184" t="s">
        <v>751</v>
      </c>
    </row>
    <row r="5497" spans="1:4" ht="12.5">
      <c r="A5497" s="186">
        <v>46209</v>
      </c>
      <c r="B5497" s="184">
        <v>7002880569</v>
      </c>
      <c r="C5497" s="184">
        <v>3</v>
      </c>
      <c r="D5497" s="184" t="s">
        <v>751</v>
      </c>
    </row>
    <row r="5498" spans="1:4" ht="12.5">
      <c r="A5498" s="186">
        <v>46209</v>
      </c>
      <c r="B5498" s="184">
        <v>7002880677</v>
      </c>
      <c r="C5498" s="184">
        <v>4</v>
      </c>
      <c r="D5498" s="184" t="s">
        <v>751</v>
      </c>
    </row>
    <row r="5499" spans="1:4" ht="12.5">
      <c r="A5499" s="186">
        <v>46209</v>
      </c>
      <c r="B5499" s="184">
        <v>7002880751</v>
      </c>
      <c r="C5499" s="184">
        <v>1</v>
      </c>
      <c r="D5499" s="184" t="s">
        <v>750</v>
      </c>
    </row>
    <row r="5500" spans="1:4" ht="12.5">
      <c r="A5500" s="186">
        <v>46209</v>
      </c>
      <c r="B5500" s="184">
        <v>7002880917</v>
      </c>
      <c r="C5500" s="184">
        <v>3</v>
      </c>
      <c r="D5500" s="184" t="s">
        <v>751</v>
      </c>
    </row>
    <row r="5501" spans="1:4" ht="12.5">
      <c r="A5501" s="186">
        <v>46209</v>
      </c>
      <c r="B5501" s="184">
        <v>7002880940</v>
      </c>
      <c r="C5501" s="184">
        <v>9</v>
      </c>
      <c r="D5501" s="184" t="s">
        <v>758</v>
      </c>
    </row>
    <row r="5502" spans="1:4" ht="12.5">
      <c r="A5502" s="186">
        <v>46209</v>
      </c>
      <c r="B5502" s="184">
        <v>7002880993</v>
      </c>
      <c r="C5502" s="184">
        <v>18</v>
      </c>
      <c r="D5502" s="184" t="s">
        <v>752</v>
      </c>
    </row>
    <row r="5503" spans="1:4" ht="12.5">
      <c r="A5503" s="186">
        <v>46209</v>
      </c>
      <c r="B5503" s="184">
        <v>7002881157</v>
      </c>
      <c r="C5503" s="184">
        <v>1</v>
      </c>
      <c r="D5503" s="184" t="s">
        <v>750</v>
      </c>
    </row>
    <row r="5504" spans="1:4" ht="12.5">
      <c r="A5504" s="186">
        <v>46209</v>
      </c>
      <c r="B5504" s="184">
        <v>7002881886</v>
      </c>
      <c r="C5504" s="184">
        <v>2</v>
      </c>
      <c r="D5504" s="184" t="s">
        <v>751</v>
      </c>
    </row>
    <row r="5505" spans="1:4" ht="12.5">
      <c r="A5505" s="186">
        <v>46209</v>
      </c>
      <c r="B5505" s="184">
        <v>7002882173</v>
      </c>
      <c r="C5505" s="184">
        <v>24</v>
      </c>
      <c r="D5505" s="184" t="s">
        <v>752</v>
      </c>
    </row>
    <row r="5506" spans="1:4" ht="12.5">
      <c r="A5506" s="186">
        <v>46209</v>
      </c>
      <c r="B5506" s="184">
        <v>7002882435</v>
      </c>
      <c r="C5506" s="184">
        <v>2</v>
      </c>
      <c r="D5506" s="184" t="s">
        <v>751</v>
      </c>
    </row>
    <row r="5507" spans="1:4" ht="12.5">
      <c r="A5507" s="186">
        <v>46209</v>
      </c>
      <c r="B5507" s="184">
        <v>7002882505</v>
      </c>
      <c r="C5507" s="184">
        <v>2</v>
      </c>
      <c r="D5507" s="184" t="s">
        <v>751</v>
      </c>
    </row>
    <row r="5508" spans="1:4" ht="12.5">
      <c r="A5508" s="186">
        <v>46209</v>
      </c>
      <c r="B5508" s="184">
        <v>7002882533</v>
      </c>
      <c r="C5508" s="184">
        <v>4</v>
      </c>
      <c r="D5508" s="184" t="s">
        <v>751</v>
      </c>
    </row>
    <row r="5509" spans="1:4" ht="12.5">
      <c r="A5509" s="186">
        <v>46209</v>
      </c>
      <c r="B5509" s="184">
        <v>7002882610</v>
      </c>
      <c r="C5509" s="184">
        <v>2</v>
      </c>
      <c r="D5509" s="184" t="s">
        <v>751</v>
      </c>
    </row>
    <row r="5510" spans="1:4" ht="12.5">
      <c r="A5510" s="186">
        <v>46209</v>
      </c>
      <c r="B5510" s="184">
        <v>7002882712</v>
      </c>
      <c r="C5510" s="184">
        <v>1</v>
      </c>
      <c r="D5510" s="184" t="s">
        <v>750</v>
      </c>
    </row>
    <row r="5511" spans="1:4" ht="12.5">
      <c r="A5511" s="186">
        <v>46209</v>
      </c>
      <c r="B5511" s="184">
        <v>7002883020</v>
      </c>
      <c r="C5511" s="184">
        <v>1</v>
      </c>
      <c r="D5511" s="184" t="s">
        <v>750</v>
      </c>
    </row>
    <row r="5512" spans="1:4" ht="12.5">
      <c r="A5512" s="186">
        <v>46209</v>
      </c>
      <c r="B5512" s="184">
        <v>7002883117</v>
      </c>
      <c r="C5512" s="184">
        <v>1</v>
      </c>
      <c r="D5512" s="184" t="s">
        <v>750</v>
      </c>
    </row>
    <row r="5513" spans="1:4" ht="12.5">
      <c r="A5513" s="186">
        <v>46209</v>
      </c>
      <c r="B5513" s="184">
        <v>7002883193</v>
      </c>
      <c r="C5513" s="184">
        <v>3</v>
      </c>
      <c r="D5513" s="184" t="s">
        <v>751</v>
      </c>
    </row>
    <row r="5514" spans="1:4" ht="12.5">
      <c r="A5514" s="186">
        <v>46209</v>
      </c>
      <c r="B5514" s="184">
        <v>7002883456</v>
      </c>
      <c r="C5514" s="184">
        <v>3</v>
      </c>
      <c r="D5514" s="184" t="s">
        <v>751</v>
      </c>
    </row>
    <row r="5515" spans="1:4" ht="12.5">
      <c r="A5515" s="186">
        <v>46209</v>
      </c>
      <c r="B5515" s="184">
        <v>7002883550</v>
      </c>
      <c r="C5515" s="184">
        <v>2</v>
      </c>
      <c r="D5515" s="184" t="s">
        <v>751</v>
      </c>
    </row>
    <row r="5516" spans="1:4" ht="12.5">
      <c r="A5516" s="186">
        <v>46209</v>
      </c>
      <c r="B5516" s="184">
        <v>7002884030</v>
      </c>
      <c r="C5516" s="184">
        <v>1</v>
      </c>
      <c r="D5516" s="184" t="s">
        <v>750</v>
      </c>
    </row>
    <row r="5517" spans="1:4" ht="12.5">
      <c r="A5517" s="186">
        <v>46209</v>
      </c>
      <c r="B5517" s="184">
        <v>7002884227</v>
      </c>
      <c r="C5517" s="184">
        <v>5</v>
      </c>
      <c r="D5517" s="184" t="s">
        <v>751</v>
      </c>
    </row>
    <row r="5518" spans="1:4" ht="12.5">
      <c r="A5518" s="186">
        <v>46209</v>
      </c>
      <c r="B5518" s="184">
        <v>7002884472</v>
      </c>
      <c r="C5518" s="184">
        <v>22</v>
      </c>
      <c r="D5518" s="184" t="s">
        <v>752</v>
      </c>
    </row>
    <row r="5519" spans="1:4" ht="12.5">
      <c r="A5519" s="186">
        <v>46209</v>
      </c>
      <c r="B5519" s="184">
        <v>7002884577</v>
      </c>
      <c r="C5519" s="184">
        <v>1</v>
      </c>
      <c r="D5519" s="184" t="s">
        <v>750</v>
      </c>
    </row>
    <row r="5520" spans="1:4" ht="12.5">
      <c r="A5520" s="186">
        <v>46209</v>
      </c>
      <c r="B5520" s="184">
        <v>7002884678</v>
      </c>
      <c r="C5520" s="184">
        <v>20</v>
      </c>
      <c r="D5520" s="184" t="s">
        <v>752</v>
      </c>
    </row>
    <row r="5521" spans="1:4" ht="12.5">
      <c r="A5521" s="186">
        <v>46209</v>
      </c>
      <c r="B5521" s="184">
        <v>7002884684</v>
      </c>
      <c r="C5521" s="184">
        <v>1</v>
      </c>
      <c r="D5521" s="184" t="s">
        <v>750</v>
      </c>
    </row>
    <row r="5522" spans="1:4" ht="12.5">
      <c r="A5522" s="186">
        <v>46209</v>
      </c>
      <c r="B5522" s="184">
        <v>7002884956</v>
      </c>
      <c r="C5522" s="184">
        <v>1</v>
      </c>
      <c r="D5522" s="184" t="s">
        <v>750</v>
      </c>
    </row>
    <row r="5523" spans="1:4" ht="12.5">
      <c r="A5523" s="186">
        <v>46209</v>
      </c>
      <c r="B5523" s="184">
        <v>7002885062</v>
      </c>
      <c r="C5523" s="184">
        <v>7</v>
      </c>
      <c r="D5523" s="184" t="s">
        <v>758</v>
      </c>
    </row>
    <row r="5524" spans="1:4" ht="12.5">
      <c r="A5524" s="186">
        <v>46209</v>
      </c>
      <c r="B5524" s="184">
        <v>7002885110</v>
      </c>
      <c r="C5524" s="184">
        <v>1</v>
      </c>
      <c r="D5524" s="184" t="s">
        <v>750</v>
      </c>
    </row>
    <row r="5525" spans="1:4" ht="12.5">
      <c r="A5525" s="186">
        <v>46209</v>
      </c>
      <c r="B5525" s="184">
        <v>7002885763</v>
      </c>
      <c r="C5525" s="184">
        <v>25</v>
      </c>
      <c r="D5525" s="184" t="s">
        <v>752</v>
      </c>
    </row>
    <row r="5526" spans="1:4" ht="12.5">
      <c r="A5526" s="186">
        <v>46209</v>
      </c>
      <c r="B5526" s="184">
        <v>7002885785</v>
      </c>
      <c r="C5526" s="184">
        <v>1</v>
      </c>
      <c r="D5526" s="184" t="s">
        <v>750</v>
      </c>
    </row>
    <row r="5527" spans="1:4" ht="12.5">
      <c r="A5527" s="186">
        <v>46209</v>
      </c>
      <c r="B5527" s="184">
        <v>7002886277</v>
      </c>
      <c r="C5527" s="184">
        <v>6</v>
      </c>
      <c r="D5527" s="184" t="s">
        <v>758</v>
      </c>
    </row>
    <row r="5528" spans="1:4" ht="12.5">
      <c r="A5528" s="186">
        <v>46209</v>
      </c>
      <c r="B5528" s="184">
        <v>7002886481</v>
      </c>
      <c r="C5528" s="184">
        <v>3</v>
      </c>
      <c r="D5528" s="184" t="s">
        <v>751</v>
      </c>
    </row>
    <row r="5529" spans="1:4" ht="12.5">
      <c r="A5529" s="186">
        <v>46209</v>
      </c>
      <c r="B5529" s="184">
        <v>7002886729</v>
      </c>
      <c r="C5529" s="184">
        <v>1</v>
      </c>
      <c r="D5529" s="184" t="s">
        <v>750</v>
      </c>
    </row>
    <row r="5530" spans="1:4" ht="12.5">
      <c r="A5530" s="186">
        <v>46209</v>
      </c>
      <c r="B5530" s="184">
        <v>7002886998</v>
      </c>
      <c r="C5530" s="184">
        <v>21</v>
      </c>
      <c r="D5530" s="184" t="s">
        <v>752</v>
      </c>
    </row>
    <row r="5531" spans="1:4" ht="12.5">
      <c r="A5531" s="186">
        <v>46209</v>
      </c>
      <c r="B5531" s="184">
        <v>7002887154</v>
      </c>
      <c r="C5531" s="184">
        <v>7</v>
      </c>
      <c r="D5531" s="184" t="s">
        <v>758</v>
      </c>
    </row>
    <row r="5532" spans="1:4" ht="12.5">
      <c r="A5532" s="186">
        <v>46209</v>
      </c>
      <c r="B5532" s="184">
        <v>7002887165</v>
      </c>
      <c r="C5532" s="184">
        <v>30</v>
      </c>
      <c r="D5532" s="184" t="s">
        <v>752</v>
      </c>
    </row>
    <row r="5533" spans="1:4" ht="12.5">
      <c r="A5533" s="186">
        <v>46209</v>
      </c>
      <c r="B5533" s="184">
        <v>7002887482</v>
      </c>
      <c r="C5533" s="184">
        <v>2</v>
      </c>
      <c r="D5533" s="184" t="s">
        <v>751</v>
      </c>
    </row>
    <row r="5534" spans="1:4" ht="12.5">
      <c r="A5534" s="186">
        <v>46209</v>
      </c>
      <c r="B5534" s="184">
        <v>7002887544</v>
      </c>
      <c r="C5534" s="184">
        <v>3</v>
      </c>
      <c r="D5534" s="184" t="s">
        <v>751</v>
      </c>
    </row>
    <row r="5535" spans="1:4" ht="12.5">
      <c r="A5535" s="186">
        <v>46209</v>
      </c>
      <c r="B5535" s="184">
        <v>7002887563</v>
      </c>
      <c r="C5535" s="184">
        <v>3</v>
      </c>
      <c r="D5535" s="184" t="s">
        <v>751</v>
      </c>
    </row>
    <row r="5536" spans="1:4" ht="12.5">
      <c r="A5536" s="186">
        <v>46209</v>
      </c>
      <c r="B5536" s="184">
        <v>7002887741</v>
      </c>
      <c r="C5536" s="184">
        <v>1</v>
      </c>
      <c r="D5536" s="184" t="s">
        <v>750</v>
      </c>
    </row>
    <row r="5537" spans="1:4" ht="12.5">
      <c r="A5537" s="186">
        <v>46209</v>
      </c>
      <c r="B5537" s="184">
        <v>7002888197</v>
      </c>
      <c r="C5537" s="184">
        <v>3</v>
      </c>
      <c r="D5537" s="184" t="s">
        <v>751</v>
      </c>
    </row>
    <row r="5538" spans="1:4" ht="12.5">
      <c r="A5538" s="186">
        <v>46209</v>
      </c>
      <c r="B5538" s="184">
        <v>7002888538</v>
      </c>
      <c r="C5538" s="184">
        <v>2</v>
      </c>
      <c r="D5538" s="184" t="s">
        <v>751</v>
      </c>
    </row>
    <row r="5539" spans="1:4" ht="12.5">
      <c r="A5539" s="186">
        <v>46209</v>
      </c>
      <c r="B5539" s="184">
        <v>7002888540</v>
      </c>
      <c r="C5539" s="184">
        <v>2</v>
      </c>
      <c r="D5539" s="184" t="s">
        <v>751</v>
      </c>
    </row>
    <row r="5540" spans="1:4" ht="12.5">
      <c r="A5540" s="186">
        <v>46209</v>
      </c>
      <c r="B5540" s="184">
        <v>7002888995</v>
      </c>
      <c r="C5540" s="184">
        <v>1</v>
      </c>
      <c r="D5540" s="184" t="s">
        <v>750</v>
      </c>
    </row>
    <row r="5541" spans="1:4" ht="12.5">
      <c r="A5541" s="186">
        <v>46209</v>
      </c>
      <c r="B5541" s="184">
        <v>7002889167</v>
      </c>
      <c r="C5541" s="184">
        <v>19</v>
      </c>
      <c r="D5541" s="184" t="s">
        <v>752</v>
      </c>
    </row>
    <row r="5542" spans="1:4" ht="12.5">
      <c r="A5542" s="186">
        <v>46209</v>
      </c>
      <c r="B5542" s="184">
        <v>7002889180</v>
      </c>
      <c r="C5542" s="184">
        <v>24</v>
      </c>
      <c r="D5542" s="184" t="s">
        <v>752</v>
      </c>
    </row>
    <row r="5543" spans="1:4" ht="12.5">
      <c r="A5543" s="186">
        <v>46209</v>
      </c>
      <c r="B5543" s="184">
        <v>7002889497</v>
      </c>
      <c r="C5543" s="184">
        <v>1</v>
      </c>
      <c r="D5543" s="184" t="s">
        <v>750</v>
      </c>
    </row>
    <row r="5544" spans="1:4" ht="12.5">
      <c r="A5544" s="186">
        <v>46209</v>
      </c>
      <c r="B5544" s="184">
        <v>7002889502</v>
      </c>
      <c r="C5544" s="184">
        <v>2</v>
      </c>
      <c r="D5544" s="184" t="s">
        <v>751</v>
      </c>
    </row>
    <row r="5545" spans="1:4" ht="12.5">
      <c r="A5545" s="186">
        <v>46209</v>
      </c>
      <c r="B5545" s="184">
        <v>7002890628</v>
      </c>
      <c r="C5545" s="184">
        <v>186</v>
      </c>
      <c r="D5545" s="184" t="s">
        <v>752</v>
      </c>
    </row>
    <row r="5546" spans="1:4" ht="12.5">
      <c r="A5546" s="186">
        <v>46209</v>
      </c>
      <c r="B5546" s="184">
        <v>7002891571</v>
      </c>
      <c r="C5546" s="184">
        <v>42</v>
      </c>
      <c r="D5546" s="184" t="s">
        <v>752</v>
      </c>
    </row>
    <row r="5547" spans="1:4" ht="12.5">
      <c r="A5547" s="186">
        <v>46209</v>
      </c>
      <c r="B5547" s="184">
        <v>7002891585</v>
      </c>
      <c r="C5547" s="184">
        <v>12</v>
      </c>
      <c r="D5547" s="184" t="s">
        <v>752</v>
      </c>
    </row>
    <row r="5548" spans="1:4" ht="12.5">
      <c r="A5548" s="186">
        <v>46209</v>
      </c>
      <c r="B5548" s="184">
        <v>7002891592</v>
      </c>
      <c r="C5548" s="184">
        <v>47</v>
      </c>
      <c r="D5548" s="184" t="s">
        <v>752</v>
      </c>
    </row>
    <row r="5549" spans="1:4" ht="12.5">
      <c r="A5549" s="186">
        <v>46209</v>
      </c>
      <c r="B5549" s="184">
        <v>7002892591</v>
      </c>
      <c r="C5549" s="184">
        <v>9</v>
      </c>
      <c r="D5549" s="184" t="s">
        <v>758</v>
      </c>
    </row>
    <row r="5550" spans="1:4" ht="12.5">
      <c r="A5550" s="186">
        <v>46209</v>
      </c>
      <c r="B5550" s="184">
        <v>7002892619</v>
      </c>
      <c r="C5550" s="184">
        <v>4</v>
      </c>
      <c r="D5550" s="184" t="s">
        <v>751</v>
      </c>
    </row>
    <row r="5551" spans="1:4" ht="12.5">
      <c r="A5551" s="186">
        <v>46209</v>
      </c>
      <c r="B5551" s="184">
        <v>7002892809</v>
      </c>
      <c r="C5551" s="184">
        <v>3</v>
      </c>
      <c r="D5551" s="184" t="s">
        <v>751</v>
      </c>
    </row>
    <row r="5552" spans="1:4" ht="12.5">
      <c r="A5552" s="186">
        <v>46209</v>
      </c>
      <c r="B5552" s="184">
        <v>7002893058</v>
      </c>
      <c r="C5552" s="184">
        <v>11</v>
      </c>
      <c r="D5552" s="184" t="s">
        <v>752</v>
      </c>
    </row>
    <row r="5553" spans="1:4" ht="12.5">
      <c r="A5553" s="186">
        <v>46209</v>
      </c>
      <c r="B5553" s="184">
        <v>7002893248</v>
      </c>
      <c r="C5553" s="184">
        <v>1</v>
      </c>
      <c r="D5553" s="184" t="s">
        <v>750</v>
      </c>
    </row>
    <row r="5554" spans="1:4" ht="12.5">
      <c r="A5554" s="186">
        <v>46209</v>
      </c>
      <c r="B5554" s="184">
        <v>7002893590</v>
      </c>
      <c r="C5554" s="184">
        <v>63</v>
      </c>
      <c r="D5554" s="184" t="s">
        <v>752</v>
      </c>
    </row>
    <row r="5555" spans="1:4" ht="12.5">
      <c r="A5555" s="186">
        <v>46209</v>
      </c>
      <c r="B5555" s="184">
        <v>7002893625</v>
      </c>
      <c r="C5555" s="184">
        <v>19</v>
      </c>
      <c r="D5555" s="184" t="s">
        <v>752</v>
      </c>
    </row>
    <row r="5556" spans="1:4" ht="12.5">
      <c r="A5556" s="186">
        <v>46209</v>
      </c>
      <c r="B5556" s="184">
        <v>7002893700</v>
      </c>
      <c r="C5556" s="184">
        <v>1</v>
      </c>
      <c r="D5556" s="184" t="s">
        <v>750</v>
      </c>
    </row>
    <row r="5557" spans="1:4" ht="12.5">
      <c r="A5557" s="186">
        <v>46209</v>
      </c>
      <c r="B5557" s="184">
        <v>7002894042</v>
      </c>
      <c r="C5557" s="184">
        <v>1</v>
      </c>
      <c r="D5557" s="184" t="s">
        <v>750</v>
      </c>
    </row>
    <row r="5558" spans="1:4" ht="12.5">
      <c r="A5558" s="186">
        <v>46209</v>
      </c>
      <c r="B5558" s="184">
        <v>7002894252</v>
      </c>
      <c r="C5558" s="184">
        <v>2</v>
      </c>
      <c r="D5558" s="184" t="s">
        <v>751</v>
      </c>
    </row>
    <row r="5559" spans="1:4" ht="12.5">
      <c r="A5559" s="186">
        <v>46209</v>
      </c>
      <c r="B5559" s="184">
        <v>7002894686</v>
      </c>
      <c r="C5559" s="184">
        <v>2</v>
      </c>
      <c r="D5559" s="184" t="s">
        <v>751</v>
      </c>
    </row>
    <row r="5560" spans="1:4" ht="12.5">
      <c r="A5560" s="186">
        <v>46209</v>
      </c>
      <c r="B5560" s="184">
        <v>7002894807</v>
      </c>
      <c r="C5560" s="184">
        <v>1</v>
      </c>
      <c r="D5560" s="184" t="s">
        <v>750</v>
      </c>
    </row>
    <row r="5561" spans="1:4" ht="12.5">
      <c r="A5561" s="186">
        <v>46209</v>
      </c>
      <c r="B5561" s="184">
        <v>7002895065</v>
      </c>
      <c r="C5561" s="184">
        <v>2</v>
      </c>
      <c r="D5561" s="184" t="s">
        <v>751</v>
      </c>
    </row>
    <row r="5562" spans="1:4" ht="12.5">
      <c r="A5562" s="186">
        <v>46209</v>
      </c>
      <c r="B5562" s="184">
        <v>7002895597</v>
      </c>
      <c r="C5562" s="184">
        <v>1</v>
      </c>
      <c r="D5562" s="184" t="s">
        <v>750</v>
      </c>
    </row>
    <row r="5563" spans="1:4" ht="12.5">
      <c r="A5563" s="186">
        <v>46209</v>
      </c>
      <c r="B5563" s="184">
        <v>7002896160</v>
      </c>
      <c r="C5563" s="184">
        <v>1</v>
      </c>
      <c r="D5563" s="184" t="s">
        <v>750</v>
      </c>
    </row>
    <row r="5564" spans="1:4" ht="12.5">
      <c r="A5564" s="186">
        <v>46209</v>
      </c>
      <c r="B5564" s="184">
        <v>7002896579</v>
      </c>
      <c r="C5564" s="184">
        <v>18</v>
      </c>
      <c r="D5564" s="184" t="s">
        <v>752</v>
      </c>
    </row>
    <row r="5565" spans="1:4" ht="12.5">
      <c r="A5565" s="186">
        <v>46209</v>
      </c>
      <c r="B5565" s="184">
        <v>7002896681</v>
      </c>
      <c r="C5565" s="184">
        <v>3</v>
      </c>
      <c r="D5565" s="184" t="s">
        <v>751</v>
      </c>
    </row>
    <row r="5566" spans="1:4" ht="12.5">
      <c r="A5566" s="186">
        <v>46209</v>
      </c>
      <c r="B5566" s="184">
        <v>7002898595</v>
      </c>
      <c r="C5566" s="184">
        <v>36</v>
      </c>
      <c r="D5566" s="184" t="s">
        <v>752</v>
      </c>
    </row>
    <row r="5567" spans="1:4" ht="12.5">
      <c r="A5567" s="186">
        <v>46209</v>
      </c>
      <c r="B5567" s="184">
        <v>7002898696</v>
      </c>
      <c r="C5567" s="184">
        <v>3</v>
      </c>
      <c r="D5567" s="184" t="s">
        <v>751</v>
      </c>
    </row>
    <row r="5568" spans="1:4" ht="12.5">
      <c r="A5568" s="186">
        <v>46209</v>
      </c>
      <c r="B5568" s="184">
        <v>7002899100</v>
      </c>
      <c r="C5568" s="184">
        <v>6</v>
      </c>
      <c r="D5568" s="184" t="s">
        <v>758</v>
      </c>
    </row>
    <row r="5569" spans="1:4" ht="12.5">
      <c r="A5569" s="186">
        <v>46209</v>
      </c>
      <c r="B5569" s="184">
        <v>7002899565</v>
      </c>
      <c r="C5569" s="184">
        <v>42</v>
      </c>
      <c r="D5569" s="184" t="s">
        <v>752</v>
      </c>
    </row>
    <row r="5570" spans="1:4" ht="12.5">
      <c r="A5570" s="186">
        <v>46209</v>
      </c>
      <c r="B5570" s="184">
        <v>7002899596</v>
      </c>
      <c r="C5570" s="184">
        <v>12</v>
      </c>
      <c r="D5570" s="184" t="s">
        <v>752</v>
      </c>
    </row>
    <row r="5571" spans="1:4" ht="12.5">
      <c r="A5571" s="191"/>
      <c r="B5571" s="192"/>
      <c r="C5571" s="192"/>
      <c r="D5571" s="192"/>
    </row>
    <row r="5572" spans="1:4" ht="12.5">
      <c r="A5572" s="186">
        <v>46301</v>
      </c>
      <c r="B5572" s="184">
        <v>7001727096</v>
      </c>
      <c r="C5572" s="184">
        <v>2</v>
      </c>
      <c r="D5572" s="184" t="s">
        <v>751</v>
      </c>
    </row>
    <row r="5573" spans="1:4" ht="12.5">
      <c r="A5573" s="186">
        <v>46301</v>
      </c>
      <c r="B5573" s="184">
        <v>7002578933</v>
      </c>
      <c r="C5573" s="184">
        <v>2</v>
      </c>
      <c r="D5573" s="184" t="s">
        <v>751</v>
      </c>
    </row>
    <row r="5574" spans="1:4" ht="12.5">
      <c r="A5574" s="186">
        <v>46301</v>
      </c>
      <c r="B5574" s="184">
        <v>7002585137</v>
      </c>
      <c r="C5574" s="184">
        <v>5</v>
      </c>
      <c r="D5574" s="184" t="s">
        <v>751</v>
      </c>
    </row>
    <row r="5575" spans="1:4" ht="12.5">
      <c r="A5575" s="186">
        <v>46301</v>
      </c>
      <c r="B5575" s="184">
        <v>7002585144</v>
      </c>
      <c r="C5575" s="184">
        <v>6</v>
      </c>
      <c r="D5575" s="184" t="s">
        <v>758</v>
      </c>
    </row>
    <row r="5576" spans="1:4" ht="12.5">
      <c r="A5576" s="186">
        <v>46301</v>
      </c>
      <c r="B5576" s="184">
        <v>7002592320</v>
      </c>
      <c r="C5576" s="184">
        <v>1</v>
      </c>
      <c r="D5576" s="184" t="s">
        <v>750</v>
      </c>
    </row>
    <row r="5577" spans="1:4" ht="12.5">
      <c r="A5577" s="186">
        <v>46301</v>
      </c>
      <c r="B5577" s="184">
        <v>7002596301</v>
      </c>
      <c r="C5577" s="184">
        <v>11</v>
      </c>
      <c r="D5577" s="184" t="s">
        <v>752</v>
      </c>
    </row>
    <row r="5578" spans="1:4" ht="12.5">
      <c r="A5578" s="186">
        <v>46301</v>
      </c>
      <c r="B5578" s="184">
        <v>7002602402</v>
      </c>
      <c r="C5578" s="184">
        <v>3</v>
      </c>
      <c r="D5578" s="184" t="s">
        <v>751</v>
      </c>
    </row>
    <row r="5579" spans="1:4" ht="12.5">
      <c r="A5579" s="186">
        <v>46301</v>
      </c>
      <c r="B5579" s="184">
        <v>7002603305</v>
      </c>
      <c r="C5579" s="184">
        <v>4</v>
      </c>
      <c r="D5579" s="184" t="s">
        <v>751</v>
      </c>
    </row>
    <row r="5580" spans="1:4" ht="12.5">
      <c r="A5580" s="186">
        <v>46301</v>
      </c>
      <c r="B5580" s="184">
        <v>7002604170</v>
      </c>
      <c r="C5580" s="184">
        <v>2</v>
      </c>
      <c r="D5580" s="184" t="s">
        <v>751</v>
      </c>
    </row>
    <row r="5581" spans="1:4" ht="12.5">
      <c r="A5581" s="186">
        <v>46301</v>
      </c>
      <c r="B5581" s="184">
        <v>7002609175</v>
      </c>
      <c r="C5581" s="184">
        <v>1</v>
      </c>
      <c r="D5581" s="184" t="s">
        <v>750</v>
      </c>
    </row>
    <row r="5582" spans="1:4" ht="12.5">
      <c r="A5582" s="186">
        <v>46301</v>
      </c>
      <c r="B5582" s="184">
        <v>7002615651</v>
      </c>
      <c r="C5582" s="184">
        <v>8</v>
      </c>
      <c r="D5582" s="184" t="s">
        <v>758</v>
      </c>
    </row>
    <row r="5583" spans="1:4" ht="12.5">
      <c r="A5583" s="186">
        <v>46301</v>
      </c>
      <c r="B5583" s="184">
        <v>7002618746</v>
      </c>
      <c r="C5583" s="184">
        <v>8</v>
      </c>
      <c r="D5583" s="184" t="s">
        <v>758</v>
      </c>
    </row>
    <row r="5584" spans="1:4" ht="12.5">
      <c r="A5584" s="186">
        <v>46301</v>
      </c>
      <c r="B5584" s="184">
        <v>7002625450</v>
      </c>
      <c r="C5584" s="184">
        <v>4</v>
      </c>
      <c r="D5584" s="184" t="s">
        <v>751</v>
      </c>
    </row>
    <row r="5585" spans="1:4" ht="12.5">
      <c r="A5585" s="186">
        <v>46301</v>
      </c>
      <c r="B5585" s="184">
        <v>7002630497</v>
      </c>
      <c r="C5585" s="184">
        <v>6</v>
      </c>
      <c r="D5585" s="184" t="s">
        <v>758</v>
      </c>
    </row>
    <row r="5586" spans="1:4" ht="12.5">
      <c r="A5586" s="186">
        <v>46301</v>
      </c>
      <c r="B5586" s="184">
        <v>7002633394</v>
      </c>
      <c r="C5586" s="184">
        <v>4</v>
      </c>
      <c r="D5586" s="184" t="s">
        <v>751</v>
      </c>
    </row>
    <row r="5587" spans="1:4" ht="12.5">
      <c r="A5587" s="186">
        <v>46301</v>
      </c>
      <c r="B5587" s="184">
        <v>7002633475</v>
      </c>
      <c r="C5587" s="184">
        <v>4</v>
      </c>
      <c r="D5587" s="184" t="s">
        <v>751</v>
      </c>
    </row>
    <row r="5588" spans="1:4" ht="12.5">
      <c r="A5588" s="186">
        <v>46301</v>
      </c>
      <c r="B5588" s="184">
        <v>7002634253</v>
      </c>
      <c r="C5588" s="184">
        <v>1</v>
      </c>
      <c r="D5588" s="184" t="s">
        <v>750</v>
      </c>
    </row>
    <row r="5589" spans="1:4" ht="12.5">
      <c r="A5589" s="186">
        <v>46301</v>
      </c>
      <c r="B5589" s="184">
        <v>7002636487</v>
      </c>
      <c r="C5589" s="184">
        <v>4</v>
      </c>
      <c r="D5589" s="184" t="s">
        <v>751</v>
      </c>
    </row>
    <row r="5590" spans="1:4" ht="12.5">
      <c r="A5590" s="186">
        <v>46301</v>
      </c>
      <c r="B5590" s="184">
        <v>7002636782</v>
      </c>
      <c r="C5590" s="184">
        <v>5</v>
      </c>
      <c r="D5590" s="184" t="s">
        <v>751</v>
      </c>
    </row>
    <row r="5591" spans="1:4" ht="12.5">
      <c r="A5591" s="186">
        <v>46301</v>
      </c>
      <c r="B5591" s="184">
        <v>7002640661</v>
      </c>
      <c r="C5591" s="184">
        <v>13</v>
      </c>
      <c r="D5591" s="184" t="s">
        <v>752</v>
      </c>
    </row>
    <row r="5592" spans="1:4" ht="12.5">
      <c r="A5592" s="186">
        <v>46301</v>
      </c>
      <c r="B5592" s="184">
        <v>7002641744</v>
      </c>
      <c r="C5592" s="184">
        <v>6</v>
      </c>
      <c r="D5592" s="184" t="s">
        <v>758</v>
      </c>
    </row>
    <row r="5593" spans="1:4" ht="12.5">
      <c r="A5593" s="186">
        <v>46301</v>
      </c>
      <c r="B5593" s="184">
        <v>7002642502</v>
      </c>
      <c r="C5593" s="184">
        <v>2</v>
      </c>
      <c r="D5593" s="184" t="s">
        <v>751</v>
      </c>
    </row>
    <row r="5594" spans="1:4" ht="12.5">
      <c r="A5594" s="186">
        <v>46301</v>
      </c>
      <c r="B5594" s="184">
        <v>7002644537</v>
      </c>
      <c r="C5594" s="184">
        <v>5</v>
      </c>
      <c r="D5594" s="184" t="s">
        <v>751</v>
      </c>
    </row>
    <row r="5595" spans="1:4" ht="12.5">
      <c r="A5595" s="186">
        <v>46301</v>
      </c>
      <c r="B5595" s="184">
        <v>7002644559</v>
      </c>
      <c r="C5595" s="184">
        <v>2</v>
      </c>
      <c r="D5595" s="184" t="s">
        <v>751</v>
      </c>
    </row>
    <row r="5596" spans="1:4" ht="12.5">
      <c r="A5596" s="186">
        <v>46301</v>
      </c>
      <c r="B5596" s="184">
        <v>7002644615</v>
      </c>
      <c r="C5596" s="184">
        <v>16</v>
      </c>
      <c r="D5596" s="184" t="s">
        <v>752</v>
      </c>
    </row>
    <row r="5597" spans="1:4" ht="12.5">
      <c r="A5597" s="186">
        <v>46301</v>
      </c>
      <c r="B5597" s="184">
        <v>7002645750</v>
      </c>
      <c r="C5597" s="184">
        <v>9</v>
      </c>
      <c r="D5597" s="184" t="s">
        <v>758</v>
      </c>
    </row>
    <row r="5598" spans="1:4" ht="12.5">
      <c r="A5598" s="186">
        <v>46301</v>
      </c>
      <c r="B5598" s="184">
        <v>7002648550</v>
      </c>
      <c r="C5598" s="184">
        <v>2</v>
      </c>
      <c r="D5598" s="184" t="s">
        <v>751</v>
      </c>
    </row>
    <row r="5599" spans="1:4" ht="12.5">
      <c r="A5599" s="186">
        <v>46301</v>
      </c>
      <c r="B5599" s="184">
        <v>7002649551</v>
      </c>
      <c r="C5599" s="184">
        <v>1</v>
      </c>
      <c r="D5599" s="184" t="s">
        <v>750</v>
      </c>
    </row>
    <row r="5600" spans="1:4" ht="12.5">
      <c r="A5600" s="186">
        <v>46301</v>
      </c>
      <c r="B5600" s="184">
        <v>7002650972</v>
      </c>
      <c r="C5600" s="184">
        <v>4</v>
      </c>
      <c r="D5600" s="184" t="s">
        <v>751</v>
      </c>
    </row>
    <row r="5601" spans="1:4" ht="12.5">
      <c r="A5601" s="186">
        <v>46301</v>
      </c>
      <c r="B5601" s="184">
        <v>7002652783</v>
      </c>
      <c r="C5601" s="184">
        <v>1</v>
      </c>
      <c r="D5601" s="184" t="s">
        <v>750</v>
      </c>
    </row>
    <row r="5602" spans="1:4" ht="12.5">
      <c r="A5602" s="186">
        <v>46301</v>
      </c>
      <c r="B5602" s="184">
        <v>7002658222</v>
      </c>
      <c r="C5602" s="184">
        <v>2</v>
      </c>
      <c r="D5602" s="184" t="s">
        <v>751</v>
      </c>
    </row>
    <row r="5603" spans="1:4" ht="12.5">
      <c r="A5603" s="186">
        <v>46301</v>
      </c>
      <c r="B5603" s="184">
        <v>7002659371</v>
      </c>
      <c r="C5603" s="184">
        <v>3</v>
      </c>
      <c r="D5603" s="184" t="s">
        <v>751</v>
      </c>
    </row>
    <row r="5604" spans="1:4" ht="12.5">
      <c r="A5604" s="186">
        <v>46301</v>
      </c>
      <c r="B5604" s="184">
        <v>7002660448</v>
      </c>
      <c r="C5604" s="184">
        <v>4</v>
      </c>
      <c r="D5604" s="184" t="s">
        <v>751</v>
      </c>
    </row>
    <row r="5605" spans="1:4" ht="12.5">
      <c r="A5605" s="186">
        <v>46301</v>
      </c>
      <c r="B5605" s="184">
        <v>7002662808</v>
      </c>
      <c r="C5605" s="184">
        <v>1</v>
      </c>
      <c r="D5605" s="184" t="s">
        <v>750</v>
      </c>
    </row>
    <row r="5606" spans="1:4" ht="12.5">
      <c r="A5606" s="186">
        <v>46301</v>
      </c>
      <c r="B5606" s="184">
        <v>7002668270</v>
      </c>
      <c r="C5606" s="184">
        <v>89</v>
      </c>
      <c r="D5606" s="184" t="s">
        <v>752</v>
      </c>
    </row>
    <row r="5607" spans="1:4" ht="12.5">
      <c r="A5607" s="186">
        <v>46301</v>
      </c>
      <c r="B5607" s="184">
        <v>7002670505</v>
      </c>
      <c r="C5607" s="184">
        <v>1</v>
      </c>
      <c r="D5607" s="184" t="s">
        <v>750</v>
      </c>
    </row>
    <row r="5608" spans="1:4" ht="12.5">
      <c r="A5608" s="186">
        <v>46301</v>
      </c>
      <c r="B5608" s="184">
        <v>7002671776</v>
      </c>
      <c r="C5608" s="184">
        <v>5</v>
      </c>
      <c r="D5608" s="184" t="s">
        <v>751</v>
      </c>
    </row>
    <row r="5609" spans="1:4" ht="12.5">
      <c r="A5609" s="186">
        <v>46301</v>
      </c>
      <c r="B5609" s="184">
        <v>7002674320</v>
      </c>
      <c r="C5609" s="184">
        <v>2</v>
      </c>
      <c r="D5609" s="184" t="s">
        <v>751</v>
      </c>
    </row>
    <row r="5610" spans="1:4" ht="12.5">
      <c r="A5610" s="186">
        <v>46301</v>
      </c>
      <c r="B5610" s="184">
        <v>7002676593</v>
      </c>
      <c r="C5610" s="184">
        <v>4</v>
      </c>
      <c r="D5610" s="184" t="s">
        <v>751</v>
      </c>
    </row>
    <row r="5611" spans="1:4" ht="12.5">
      <c r="A5611" s="186">
        <v>46301</v>
      </c>
      <c r="B5611" s="184">
        <v>7002677541</v>
      </c>
      <c r="C5611" s="184">
        <v>7</v>
      </c>
      <c r="D5611" s="184" t="s">
        <v>758</v>
      </c>
    </row>
    <row r="5612" spans="1:4" ht="12.5">
      <c r="A5612" s="186">
        <v>46301</v>
      </c>
      <c r="B5612" s="184">
        <v>7002680152</v>
      </c>
      <c r="C5612" s="184">
        <v>1</v>
      </c>
      <c r="D5612" s="184" t="s">
        <v>750</v>
      </c>
    </row>
    <row r="5613" spans="1:4" ht="12.5">
      <c r="A5613" s="186">
        <v>46301</v>
      </c>
      <c r="B5613" s="184">
        <v>7002684249</v>
      </c>
      <c r="C5613" s="184">
        <v>2</v>
      </c>
      <c r="D5613" s="184" t="s">
        <v>751</v>
      </c>
    </row>
    <row r="5614" spans="1:4" ht="12.5">
      <c r="A5614" s="186">
        <v>46301</v>
      </c>
      <c r="B5614" s="184">
        <v>7002694943</v>
      </c>
      <c r="C5614" s="184">
        <v>4</v>
      </c>
      <c r="D5614" s="184" t="s">
        <v>751</v>
      </c>
    </row>
    <row r="5615" spans="1:4" ht="12.5">
      <c r="A5615" s="186">
        <v>46301</v>
      </c>
      <c r="B5615" s="184">
        <v>7002702135</v>
      </c>
      <c r="C5615" s="184">
        <v>1</v>
      </c>
      <c r="D5615" s="184" t="s">
        <v>750</v>
      </c>
    </row>
    <row r="5616" spans="1:4" ht="12.5">
      <c r="A5616" s="186">
        <v>46301</v>
      </c>
      <c r="B5616" s="184">
        <v>7002706036</v>
      </c>
      <c r="C5616" s="184">
        <v>21</v>
      </c>
      <c r="D5616" s="184" t="s">
        <v>752</v>
      </c>
    </row>
    <row r="5617" spans="1:4" ht="12.5">
      <c r="A5617" s="186">
        <v>46301</v>
      </c>
      <c r="B5617" s="184">
        <v>7002706253</v>
      </c>
      <c r="C5617" s="184">
        <v>4</v>
      </c>
      <c r="D5617" s="184" t="s">
        <v>751</v>
      </c>
    </row>
    <row r="5618" spans="1:4" ht="12.5">
      <c r="A5618" s="186">
        <v>46301</v>
      </c>
      <c r="B5618" s="184">
        <v>7002720892</v>
      </c>
      <c r="C5618" s="184">
        <v>3</v>
      </c>
      <c r="D5618" s="184" t="s">
        <v>751</v>
      </c>
    </row>
    <row r="5619" spans="1:4" ht="12.5">
      <c r="A5619" s="186">
        <v>46301</v>
      </c>
      <c r="B5619" s="184">
        <v>7002723127</v>
      </c>
      <c r="C5619" s="184">
        <v>1</v>
      </c>
      <c r="D5619" s="184" t="s">
        <v>750</v>
      </c>
    </row>
    <row r="5620" spans="1:4" ht="12.5">
      <c r="A5620" s="186">
        <v>46301</v>
      </c>
      <c r="B5620" s="184">
        <v>7002723654</v>
      </c>
      <c r="C5620" s="184">
        <v>3</v>
      </c>
      <c r="D5620" s="184" t="s">
        <v>751</v>
      </c>
    </row>
    <row r="5621" spans="1:4" ht="12.5">
      <c r="A5621" s="186">
        <v>46301</v>
      </c>
      <c r="B5621" s="184">
        <v>7002724312</v>
      </c>
      <c r="C5621" s="184">
        <v>1</v>
      </c>
      <c r="D5621" s="184" t="s">
        <v>750</v>
      </c>
    </row>
    <row r="5622" spans="1:4" ht="12.5">
      <c r="A5622" s="186">
        <v>46301</v>
      </c>
      <c r="B5622" s="184">
        <v>7002724648</v>
      </c>
      <c r="C5622" s="184">
        <v>2</v>
      </c>
      <c r="D5622" s="184" t="s">
        <v>751</v>
      </c>
    </row>
    <row r="5623" spans="1:4" ht="12.5">
      <c r="A5623" s="186">
        <v>46301</v>
      </c>
      <c r="B5623" s="184">
        <v>7002726315</v>
      </c>
      <c r="C5623" s="184">
        <v>9</v>
      </c>
      <c r="D5623" s="184" t="s">
        <v>758</v>
      </c>
    </row>
    <row r="5624" spans="1:4" ht="12.5">
      <c r="A5624" s="186">
        <v>46301</v>
      </c>
      <c r="B5624" s="184">
        <v>7002730543</v>
      </c>
      <c r="C5624" s="184">
        <v>26</v>
      </c>
      <c r="D5624" s="184" t="s">
        <v>752</v>
      </c>
    </row>
    <row r="5625" spans="1:4" ht="12.5">
      <c r="A5625" s="186">
        <v>46301</v>
      </c>
      <c r="B5625" s="184">
        <v>7002733109</v>
      </c>
      <c r="C5625" s="184">
        <v>1</v>
      </c>
      <c r="D5625" s="184" t="s">
        <v>750</v>
      </c>
    </row>
    <row r="5626" spans="1:4" ht="12.5">
      <c r="A5626" s="186">
        <v>46301</v>
      </c>
      <c r="B5626" s="184">
        <v>7002734120</v>
      </c>
      <c r="C5626" s="184">
        <v>2</v>
      </c>
      <c r="D5626" s="184" t="s">
        <v>751</v>
      </c>
    </row>
    <row r="5627" spans="1:4" ht="12.5">
      <c r="A5627" s="186">
        <v>46301</v>
      </c>
      <c r="B5627" s="184">
        <v>7002737565</v>
      </c>
      <c r="C5627" s="184">
        <v>6</v>
      </c>
      <c r="D5627" s="184" t="s">
        <v>758</v>
      </c>
    </row>
    <row r="5628" spans="1:4" ht="12.5">
      <c r="A5628" s="186">
        <v>46301</v>
      </c>
      <c r="B5628" s="184">
        <v>7002751799</v>
      </c>
      <c r="C5628" s="184">
        <v>12</v>
      </c>
      <c r="D5628" s="184" t="s">
        <v>752</v>
      </c>
    </row>
    <row r="5629" spans="1:4" ht="12.5">
      <c r="A5629" s="186">
        <v>46301</v>
      </c>
      <c r="B5629" s="184">
        <v>7002757694</v>
      </c>
      <c r="C5629" s="184">
        <v>2</v>
      </c>
      <c r="D5629" s="184" t="s">
        <v>751</v>
      </c>
    </row>
    <row r="5630" spans="1:4" ht="12.5">
      <c r="A5630" s="186">
        <v>46301</v>
      </c>
      <c r="B5630" s="184">
        <v>7002760114</v>
      </c>
      <c r="C5630" s="184">
        <v>125</v>
      </c>
      <c r="D5630" s="184" t="s">
        <v>752</v>
      </c>
    </row>
    <row r="5631" spans="1:4" ht="12.5">
      <c r="A5631" s="186">
        <v>46301</v>
      </c>
      <c r="B5631" s="184">
        <v>7002761389</v>
      </c>
      <c r="C5631" s="184">
        <v>21</v>
      </c>
      <c r="D5631" s="184" t="s">
        <v>752</v>
      </c>
    </row>
    <row r="5632" spans="1:4" ht="12.5">
      <c r="A5632" s="186">
        <v>46301</v>
      </c>
      <c r="B5632" s="184">
        <v>7002762177</v>
      </c>
      <c r="C5632" s="184">
        <v>7</v>
      </c>
      <c r="D5632" s="184" t="s">
        <v>758</v>
      </c>
    </row>
    <row r="5633" spans="1:4" ht="12.5">
      <c r="A5633" s="186">
        <v>46301</v>
      </c>
      <c r="B5633" s="184">
        <v>7002767505</v>
      </c>
      <c r="C5633" s="184">
        <v>3</v>
      </c>
      <c r="D5633" s="184" t="s">
        <v>751</v>
      </c>
    </row>
    <row r="5634" spans="1:4" ht="12.5">
      <c r="A5634" s="186">
        <v>46301</v>
      </c>
      <c r="B5634" s="184">
        <v>7002769170</v>
      </c>
      <c r="C5634" s="184">
        <v>139</v>
      </c>
      <c r="D5634" s="184" t="s">
        <v>752</v>
      </c>
    </row>
    <row r="5635" spans="1:4" ht="12.5">
      <c r="A5635" s="186">
        <v>46301</v>
      </c>
      <c r="B5635" s="184">
        <v>7002772488</v>
      </c>
      <c r="C5635" s="184">
        <v>1</v>
      </c>
      <c r="D5635" s="184" t="s">
        <v>750</v>
      </c>
    </row>
    <row r="5636" spans="1:4" ht="12.5">
      <c r="A5636" s="186">
        <v>46301</v>
      </c>
      <c r="B5636" s="184">
        <v>7002775446</v>
      </c>
      <c r="C5636" s="184">
        <v>1</v>
      </c>
      <c r="D5636" s="184" t="s">
        <v>750</v>
      </c>
    </row>
    <row r="5637" spans="1:4" ht="12.5">
      <c r="A5637" s="186">
        <v>46301</v>
      </c>
      <c r="B5637" s="184">
        <v>7002778056</v>
      </c>
      <c r="C5637" s="184">
        <v>2</v>
      </c>
      <c r="D5637" s="184" t="s">
        <v>751</v>
      </c>
    </row>
    <row r="5638" spans="1:4" ht="12.5">
      <c r="A5638" s="186">
        <v>46301</v>
      </c>
      <c r="B5638" s="184">
        <v>7002778969</v>
      </c>
      <c r="C5638" s="184">
        <v>3</v>
      </c>
      <c r="D5638" s="184" t="s">
        <v>751</v>
      </c>
    </row>
    <row r="5639" spans="1:4" ht="12.5">
      <c r="A5639" s="186">
        <v>46301</v>
      </c>
      <c r="B5639" s="184">
        <v>7002780335</v>
      </c>
      <c r="C5639" s="184">
        <v>3</v>
      </c>
      <c r="D5639" s="184" t="s">
        <v>751</v>
      </c>
    </row>
    <row r="5640" spans="1:4" ht="12.5">
      <c r="A5640" s="186">
        <v>46301</v>
      </c>
      <c r="B5640" s="184">
        <v>7002780898</v>
      </c>
      <c r="C5640" s="184">
        <v>2</v>
      </c>
      <c r="D5640" s="184" t="s">
        <v>751</v>
      </c>
    </row>
    <row r="5641" spans="1:4" ht="12.5">
      <c r="A5641" s="186">
        <v>46301</v>
      </c>
      <c r="B5641" s="184">
        <v>7002781212</v>
      </c>
      <c r="C5641" s="184">
        <v>4</v>
      </c>
      <c r="D5641" s="184" t="s">
        <v>751</v>
      </c>
    </row>
    <row r="5642" spans="1:4" ht="12.5">
      <c r="A5642" s="186">
        <v>46301</v>
      </c>
      <c r="B5642" s="184">
        <v>7002781249</v>
      </c>
      <c r="C5642" s="184">
        <v>1</v>
      </c>
      <c r="D5642" s="184" t="s">
        <v>750</v>
      </c>
    </row>
    <row r="5643" spans="1:4" ht="12.5">
      <c r="A5643" s="186">
        <v>46301</v>
      </c>
      <c r="B5643" s="184">
        <v>7002781283</v>
      </c>
      <c r="C5643" s="184">
        <v>2</v>
      </c>
      <c r="D5643" s="184" t="s">
        <v>751</v>
      </c>
    </row>
    <row r="5644" spans="1:4" ht="12.5">
      <c r="A5644" s="186">
        <v>46301</v>
      </c>
      <c r="B5644" s="184">
        <v>7002781325</v>
      </c>
      <c r="C5644" s="184">
        <v>4</v>
      </c>
      <c r="D5644" s="184" t="s">
        <v>751</v>
      </c>
    </row>
    <row r="5645" spans="1:4" ht="12.5">
      <c r="A5645" s="186">
        <v>46301</v>
      </c>
      <c r="B5645" s="184">
        <v>7002784995</v>
      </c>
      <c r="C5645" s="184">
        <v>2</v>
      </c>
      <c r="D5645" s="184" t="s">
        <v>751</v>
      </c>
    </row>
    <row r="5646" spans="1:4" ht="12.5">
      <c r="A5646" s="186">
        <v>46301</v>
      </c>
      <c r="B5646" s="184">
        <v>7002785229</v>
      </c>
      <c r="C5646" s="184">
        <v>4</v>
      </c>
      <c r="D5646" s="184" t="s">
        <v>751</v>
      </c>
    </row>
    <row r="5647" spans="1:4" ht="12.5">
      <c r="A5647" s="186">
        <v>46301</v>
      </c>
      <c r="B5647" s="184">
        <v>7002785330</v>
      </c>
      <c r="C5647" s="184">
        <v>2</v>
      </c>
      <c r="D5647" s="184" t="s">
        <v>751</v>
      </c>
    </row>
    <row r="5648" spans="1:4" ht="12.5">
      <c r="A5648" s="186">
        <v>46301</v>
      </c>
      <c r="B5648" s="184">
        <v>7002786294</v>
      </c>
      <c r="C5648" s="184">
        <v>2</v>
      </c>
      <c r="D5648" s="184" t="s">
        <v>751</v>
      </c>
    </row>
    <row r="5649" spans="1:4" ht="12.5">
      <c r="A5649" s="186">
        <v>46301</v>
      </c>
      <c r="B5649" s="184">
        <v>7002786893</v>
      </c>
      <c r="C5649" s="184">
        <v>5</v>
      </c>
      <c r="D5649" s="184" t="s">
        <v>751</v>
      </c>
    </row>
    <row r="5650" spans="1:4" ht="12.5">
      <c r="A5650" s="186">
        <v>46301</v>
      </c>
      <c r="B5650" s="184">
        <v>7002789228</v>
      </c>
      <c r="C5650" s="184">
        <v>2</v>
      </c>
      <c r="D5650" s="184" t="s">
        <v>751</v>
      </c>
    </row>
    <row r="5651" spans="1:4" ht="12.5">
      <c r="A5651" s="186">
        <v>46301</v>
      </c>
      <c r="B5651" s="184">
        <v>7002789815</v>
      </c>
      <c r="C5651" s="184">
        <v>2</v>
      </c>
      <c r="D5651" s="184" t="s">
        <v>751</v>
      </c>
    </row>
    <row r="5652" spans="1:4" ht="12.5">
      <c r="A5652" s="186">
        <v>46301</v>
      </c>
      <c r="B5652" s="184">
        <v>7002791731</v>
      </c>
      <c r="C5652" s="184">
        <v>4</v>
      </c>
      <c r="D5652" s="184" t="s">
        <v>751</v>
      </c>
    </row>
    <row r="5653" spans="1:4" ht="12.5">
      <c r="A5653" s="186">
        <v>46301</v>
      </c>
      <c r="B5653" s="184">
        <v>7002792782</v>
      </c>
      <c r="C5653" s="184">
        <v>6</v>
      </c>
      <c r="D5653" s="184" t="s">
        <v>758</v>
      </c>
    </row>
    <row r="5654" spans="1:4" ht="12.5">
      <c r="A5654" s="186">
        <v>46301</v>
      </c>
      <c r="B5654" s="184">
        <v>7002800111</v>
      </c>
      <c r="C5654" s="184">
        <v>1</v>
      </c>
      <c r="D5654" s="184" t="s">
        <v>750</v>
      </c>
    </row>
    <row r="5655" spans="1:4" ht="12.5">
      <c r="A5655" s="186">
        <v>46301</v>
      </c>
      <c r="B5655" s="184">
        <v>7002800434</v>
      </c>
      <c r="C5655" s="184">
        <v>2</v>
      </c>
      <c r="D5655" s="184" t="s">
        <v>751</v>
      </c>
    </row>
    <row r="5656" spans="1:4" ht="12.5">
      <c r="A5656" s="186">
        <v>46301</v>
      </c>
      <c r="B5656" s="184">
        <v>7002800452</v>
      </c>
      <c r="C5656" s="184">
        <v>22</v>
      </c>
      <c r="D5656" s="184" t="s">
        <v>752</v>
      </c>
    </row>
    <row r="5657" spans="1:4" ht="12.5">
      <c r="A5657" s="186">
        <v>46301</v>
      </c>
      <c r="B5657" s="184">
        <v>7002801106</v>
      </c>
      <c r="C5657" s="184">
        <v>7</v>
      </c>
      <c r="D5657" s="184" t="s">
        <v>758</v>
      </c>
    </row>
    <row r="5658" spans="1:4" ht="12.5">
      <c r="A5658" s="186">
        <v>46301</v>
      </c>
      <c r="B5658" s="184">
        <v>7002801574</v>
      </c>
      <c r="C5658" s="184">
        <v>1</v>
      </c>
      <c r="D5658" s="184" t="s">
        <v>750</v>
      </c>
    </row>
    <row r="5659" spans="1:4" ht="12.5">
      <c r="A5659" s="186">
        <v>46301</v>
      </c>
      <c r="B5659" s="184">
        <v>7002803852</v>
      </c>
      <c r="C5659" s="184">
        <v>2</v>
      </c>
      <c r="D5659" s="184" t="s">
        <v>751</v>
      </c>
    </row>
    <row r="5660" spans="1:4" ht="12.5">
      <c r="A5660" s="186">
        <v>46301</v>
      </c>
      <c r="B5660" s="184">
        <v>7002803976</v>
      </c>
      <c r="C5660" s="184">
        <v>4</v>
      </c>
      <c r="D5660" s="184" t="s">
        <v>751</v>
      </c>
    </row>
    <row r="5661" spans="1:4" ht="12.5">
      <c r="A5661" s="186">
        <v>46301</v>
      </c>
      <c r="B5661" s="184">
        <v>7002811583</v>
      </c>
      <c r="C5661" s="184">
        <v>2</v>
      </c>
      <c r="D5661" s="184" t="s">
        <v>751</v>
      </c>
    </row>
    <row r="5662" spans="1:4" ht="12.5">
      <c r="A5662" s="186">
        <v>46301</v>
      </c>
      <c r="B5662" s="184">
        <v>7002813552</v>
      </c>
      <c r="C5662" s="184">
        <v>1</v>
      </c>
      <c r="D5662" s="184" t="s">
        <v>750</v>
      </c>
    </row>
    <row r="5663" spans="1:4" ht="12.5">
      <c r="A5663" s="186">
        <v>46301</v>
      </c>
      <c r="B5663" s="184">
        <v>7002815995</v>
      </c>
      <c r="C5663" s="184">
        <v>50</v>
      </c>
      <c r="D5663" s="184" t="s">
        <v>752</v>
      </c>
    </row>
    <row r="5664" spans="1:4" ht="12.5">
      <c r="A5664" s="186">
        <v>46301</v>
      </c>
      <c r="B5664" s="184">
        <v>7002821496</v>
      </c>
      <c r="C5664" s="184">
        <v>6</v>
      </c>
      <c r="D5664" s="184" t="s">
        <v>758</v>
      </c>
    </row>
    <row r="5665" spans="1:4" ht="12.5">
      <c r="A5665" s="186">
        <v>46301</v>
      </c>
      <c r="B5665" s="184">
        <v>7002821982</v>
      </c>
      <c r="C5665" s="184">
        <v>2</v>
      </c>
      <c r="D5665" s="184" t="s">
        <v>751</v>
      </c>
    </row>
    <row r="5666" spans="1:4" ht="12.5">
      <c r="A5666" s="186">
        <v>46301</v>
      </c>
      <c r="B5666" s="184">
        <v>7002823764</v>
      </c>
      <c r="C5666" s="184">
        <v>5</v>
      </c>
      <c r="D5666" s="184" t="s">
        <v>751</v>
      </c>
    </row>
    <row r="5667" spans="1:4" ht="12.5">
      <c r="A5667" s="186">
        <v>46301</v>
      </c>
      <c r="B5667" s="184">
        <v>7002824134</v>
      </c>
      <c r="C5667" s="184">
        <v>8</v>
      </c>
      <c r="D5667" s="184" t="s">
        <v>758</v>
      </c>
    </row>
    <row r="5668" spans="1:4" ht="12.5">
      <c r="A5668" s="186">
        <v>46301</v>
      </c>
      <c r="B5668" s="184">
        <v>7002824355</v>
      </c>
      <c r="C5668" s="184">
        <v>12</v>
      </c>
      <c r="D5668" s="184" t="s">
        <v>752</v>
      </c>
    </row>
    <row r="5669" spans="1:4" ht="12.5">
      <c r="A5669" s="186">
        <v>46301</v>
      </c>
      <c r="B5669" s="184">
        <v>7002824625</v>
      </c>
      <c r="C5669" s="184">
        <v>2</v>
      </c>
      <c r="D5669" s="184" t="s">
        <v>751</v>
      </c>
    </row>
    <row r="5670" spans="1:4" ht="12.5">
      <c r="A5670" s="186">
        <v>46301</v>
      </c>
      <c r="B5670" s="184">
        <v>7002825314</v>
      </c>
      <c r="C5670" s="184">
        <v>1</v>
      </c>
      <c r="D5670" s="184" t="s">
        <v>750</v>
      </c>
    </row>
    <row r="5671" spans="1:4" ht="12.5">
      <c r="A5671" s="186">
        <v>46301</v>
      </c>
      <c r="B5671" s="184">
        <v>7002825697</v>
      </c>
      <c r="C5671" s="184">
        <v>9</v>
      </c>
      <c r="D5671" s="184" t="s">
        <v>758</v>
      </c>
    </row>
    <row r="5672" spans="1:4" ht="12.5">
      <c r="A5672" s="186">
        <v>46301</v>
      </c>
      <c r="B5672" s="184">
        <v>7002826323</v>
      </c>
      <c r="C5672" s="184">
        <v>6</v>
      </c>
      <c r="D5672" s="184" t="s">
        <v>758</v>
      </c>
    </row>
    <row r="5673" spans="1:4" ht="12.5">
      <c r="A5673" s="186">
        <v>46301</v>
      </c>
      <c r="B5673" s="184">
        <v>7002826889</v>
      </c>
      <c r="C5673" s="184">
        <v>8</v>
      </c>
      <c r="D5673" s="184" t="s">
        <v>758</v>
      </c>
    </row>
    <row r="5674" spans="1:4" ht="12.5">
      <c r="A5674" s="186">
        <v>46301</v>
      </c>
      <c r="B5674" s="184">
        <v>7002827272</v>
      </c>
      <c r="C5674" s="184">
        <v>9</v>
      </c>
      <c r="D5674" s="184" t="s">
        <v>758</v>
      </c>
    </row>
    <row r="5675" spans="1:4" ht="12.5">
      <c r="A5675" s="186">
        <v>46301</v>
      </c>
      <c r="B5675" s="184">
        <v>7002830024</v>
      </c>
      <c r="C5675" s="184">
        <v>2</v>
      </c>
      <c r="D5675" s="184" t="s">
        <v>751</v>
      </c>
    </row>
    <row r="5676" spans="1:4" ht="12.5">
      <c r="A5676" s="186">
        <v>46301</v>
      </c>
      <c r="B5676" s="184">
        <v>7002830243</v>
      </c>
      <c r="C5676" s="184">
        <v>5</v>
      </c>
      <c r="D5676" s="184" t="s">
        <v>751</v>
      </c>
    </row>
    <row r="5677" spans="1:4" ht="12.5">
      <c r="A5677" s="186">
        <v>46301</v>
      </c>
      <c r="B5677" s="184">
        <v>7002831856</v>
      </c>
      <c r="C5677" s="184">
        <v>3</v>
      </c>
      <c r="D5677" s="184" t="s">
        <v>751</v>
      </c>
    </row>
    <row r="5678" spans="1:4" ht="12.5">
      <c r="A5678" s="186">
        <v>46301</v>
      </c>
      <c r="B5678" s="184">
        <v>7002834827</v>
      </c>
      <c r="C5678" s="184">
        <v>2</v>
      </c>
      <c r="D5678" s="184" t="s">
        <v>751</v>
      </c>
    </row>
    <row r="5679" spans="1:4" ht="12.5">
      <c r="A5679" s="186">
        <v>46301</v>
      </c>
      <c r="B5679" s="184">
        <v>7002835090</v>
      </c>
      <c r="C5679" s="184">
        <v>5</v>
      </c>
      <c r="D5679" s="184" t="s">
        <v>751</v>
      </c>
    </row>
    <row r="5680" spans="1:4" ht="12.5">
      <c r="A5680" s="186">
        <v>46301</v>
      </c>
      <c r="B5680" s="184">
        <v>7002835363</v>
      </c>
      <c r="C5680" s="184">
        <v>4</v>
      </c>
      <c r="D5680" s="184" t="s">
        <v>751</v>
      </c>
    </row>
    <row r="5681" spans="1:4" ht="12.5">
      <c r="A5681" s="186">
        <v>46301</v>
      </c>
      <c r="B5681" s="184">
        <v>7002835949</v>
      </c>
      <c r="C5681" s="184">
        <v>18</v>
      </c>
      <c r="D5681" s="184" t="s">
        <v>752</v>
      </c>
    </row>
    <row r="5682" spans="1:4" ht="12.5">
      <c r="A5682" s="186">
        <v>46301</v>
      </c>
      <c r="B5682" s="184">
        <v>7002836896</v>
      </c>
      <c r="C5682" s="184">
        <v>8</v>
      </c>
      <c r="D5682" s="184" t="s">
        <v>758</v>
      </c>
    </row>
    <row r="5683" spans="1:4" ht="12.5">
      <c r="A5683" s="186">
        <v>46301</v>
      </c>
      <c r="B5683" s="184">
        <v>7002837387</v>
      </c>
      <c r="C5683" s="184">
        <v>1</v>
      </c>
      <c r="D5683" s="184" t="s">
        <v>750</v>
      </c>
    </row>
    <row r="5684" spans="1:4" ht="12.5">
      <c r="A5684" s="186">
        <v>46301</v>
      </c>
      <c r="B5684" s="184">
        <v>7002838250</v>
      </c>
      <c r="C5684" s="184">
        <v>5</v>
      </c>
      <c r="D5684" s="184" t="s">
        <v>751</v>
      </c>
    </row>
    <row r="5685" spans="1:4" ht="12.5">
      <c r="A5685" s="186">
        <v>46301</v>
      </c>
      <c r="B5685" s="184">
        <v>7002839868</v>
      </c>
      <c r="C5685" s="184">
        <v>3</v>
      </c>
      <c r="D5685" s="184" t="s">
        <v>751</v>
      </c>
    </row>
    <row r="5686" spans="1:4" ht="12.5">
      <c r="A5686" s="186">
        <v>46301</v>
      </c>
      <c r="B5686" s="184">
        <v>7002840443</v>
      </c>
      <c r="C5686" s="184">
        <v>3</v>
      </c>
      <c r="D5686" s="184" t="s">
        <v>751</v>
      </c>
    </row>
    <row r="5687" spans="1:4" ht="12.5">
      <c r="A5687" s="186">
        <v>46301</v>
      </c>
      <c r="B5687" s="184">
        <v>7002841078</v>
      </c>
      <c r="C5687" s="184">
        <v>7</v>
      </c>
      <c r="D5687" s="184" t="s">
        <v>758</v>
      </c>
    </row>
    <row r="5688" spans="1:4" ht="12.5">
      <c r="A5688" s="186">
        <v>46301</v>
      </c>
      <c r="B5688" s="184">
        <v>7002841490</v>
      </c>
      <c r="C5688" s="184">
        <v>3</v>
      </c>
      <c r="D5688" s="184" t="s">
        <v>751</v>
      </c>
    </row>
    <row r="5689" spans="1:4" ht="12.5">
      <c r="A5689" s="186">
        <v>46301</v>
      </c>
      <c r="B5689" s="184">
        <v>7002842776</v>
      </c>
      <c r="C5689" s="184">
        <v>26</v>
      </c>
      <c r="D5689" s="184" t="s">
        <v>752</v>
      </c>
    </row>
    <row r="5690" spans="1:4" ht="12.5">
      <c r="A5690" s="186">
        <v>46301</v>
      </c>
      <c r="B5690" s="184">
        <v>7002843417</v>
      </c>
      <c r="C5690" s="184">
        <v>4</v>
      </c>
      <c r="D5690" s="184" t="s">
        <v>751</v>
      </c>
    </row>
    <row r="5691" spans="1:4" ht="12.5">
      <c r="A5691" s="186">
        <v>46301</v>
      </c>
      <c r="B5691" s="184">
        <v>7002844654</v>
      </c>
      <c r="C5691" s="184">
        <v>9</v>
      </c>
      <c r="D5691" s="184" t="s">
        <v>758</v>
      </c>
    </row>
    <row r="5692" spans="1:4" ht="12.5">
      <c r="A5692" s="186">
        <v>46301</v>
      </c>
      <c r="B5692" s="184">
        <v>7002845410</v>
      </c>
      <c r="C5692" s="184">
        <v>2</v>
      </c>
      <c r="D5692" s="184" t="s">
        <v>751</v>
      </c>
    </row>
    <row r="5693" spans="1:4" ht="12.5">
      <c r="A5693" s="186">
        <v>46301</v>
      </c>
      <c r="B5693" s="184">
        <v>7002845468</v>
      </c>
      <c r="C5693" s="184">
        <v>2</v>
      </c>
      <c r="D5693" s="184" t="s">
        <v>751</v>
      </c>
    </row>
    <row r="5694" spans="1:4" ht="12.5">
      <c r="A5694" s="186">
        <v>46301</v>
      </c>
      <c r="B5694" s="184">
        <v>7002845527</v>
      </c>
      <c r="C5694" s="184">
        <v>51</v>
      </c>
      <c r="D5694" s="184" t="s">
        <v>752</v>
      </c>
    </row>
    <row r="5695" spans="1:4" ht="12.5">
      <c r="A5695" s="186">
        <v>46301</v>
      </c>
      <c r="B5695" s="184">
        <v>7002847496</v>
      </c>
      <c r="C5695" s="184">
        <v>2</v>
      </c>
      <c r="D5695" s="184" t="s">
        <v>751</v>
      </c>
    </row>
    <row r="5696" spans="1:4" ht="12.5">
      <c r="A5696" s="186">
        <v>46301</v>
      </c>
      <c r="B5696" s="184">
        <v>7002847976</v>
      </c>
      <c r="C5696" s="184">
        <v>2</v>
      </c>
      <c r="D5696" s="184" t="s">
        <v>751</v>
      </c>
    </row>
    <row r="5697" spans="1:4" ht="12.5">
      <c r="A5697" s="186">
        <v>46301</v>
      </c>
      <c r="B5697" s="184">
        <v>7002848484</v>
      </c>
      <c r="C5697" s="184">
        <v>4</v>
      </c>
      <c r="D5697" s="184" t="s">
        <v>751</v>
      </c>
    </row>
    <row r="5698" spans="1:4" ht="12.5">
      <c r="A5698" s="186">
        <v>46301</v>
      </c>
      <c r="B5698" s="184">
        <v>7002848736</v>
      </c>
      <c r="C5698" s="184">
        <v>1</v>
      </c>
      <c r="D5698" s="184" t="s">
        <v>750</v>
      </c>
    </row>
    <row r="5699" spans="1:4" ht="12.5">
      <c r="A5699" s="186">
        <v>46301</v>
      </c>
      <c r="B5699" s="184">
        <v>7002849393</v>
      </c>
      <c r="C5699" s="184">
        <v>2</v>
      </c>
      <c r="D5699" s="184" t="s">
        <v>751</v>
      </c>
    </row>
    <row r="5700" spans="1:4" ht="12.5">
      <c r="A5700" s="186">
        <v>46301</v>
      </c>
      <c r="B5700" s="184">
        <v>7002851151</v>
      </c>
      <c r="C5700" s="184">
        <v>2</v>
      </c>
      <c r="D5700" s="184" t="s">
        <v>751</v>
      </c>
    </row>
    <row r="5701" spans="1:4" ht="12.5">
      <c r="A5701" s="186">
        <v>46301</v>
      </c>
      <c r="B5701" s="184">
        <v>7002851363</v>
      </c>
      <c r="C5701" s="184">
        <v>21</v>
      </c>
      <c r="D5701" s="184" t="s">
        <v>752</v>
      </c>
    </row>
    <row r="5702" spans="1:4" ht="12.5">
      <c r="A5702" s="186">
        <v>46301</v>
      </c>
      <c r="B5702" s="184">
        <v>7002852600</v>
      </c>
      <c r="C5702" s="184">
        <v>6</v>
      </c>
      <c r="D5702" s="184" t="s">
        <v>758</v>
      </c>
    </row>
    <row r="5703" spans="1:4" ht="12.5">
      <c r="A5703" s="186">
        <v>46301</v>
      </c>
      <c r="B5703" s="184">
        <v>7002852692</v>
      </c>
      <c r="C5703" s="184">
        <v>6</v>
      </c>
      <c r="D5703" s="184" t="s">
        <v>758</v>
      </c>
    </row>
    <row r="5704" spans="1:4" ht="12.5">
      <c r="A5704" s="186">
        <v>46301</v>
      </c>
      <c r="B5704" s="184">
        <v>7002852823</v>
      </c>
      <c r="C5704" s="184">
        <v>3</v>
      </c>
      <c r="D5704" s="184" t="s">
        <v>751</v>
      </c>
    </row>
    <row r="5705" spans="1:4" ht="12.5">
      <c r="A5705" s="186">
        <v>46301</v>
      </c>
      <c r="B5705" s="184">
        <v>7002852982</v>
      </c>
      <c r="C5705" s="184">
        <v>1</v>
      </c>
      <c r="D5705" s="184" t="s">
        <v>750</v>
      </c>
    </row>
    <row r="5706" spans="1:4" ht="12.5">
      <c r="A5706" s="186">
        <v>46301</v>
      </c>
      <c r="B5706" s="184">
        <v>7002853592</v>
      </c>
      <c r="C5706" s="184">
        <v>6</v>
      </c>
      <c r="D5706" s="184" t="s">
        <v>758</v>
      </c>
    </row>
    <row r="5707" spans="1:4" ht="12.5">
      <c r="A5707" s="186">
        <v>46301</v>
      </c>
      <c r="B5707" s="184">
        <v>7002855006</v>
      </c>
      <c r="C5707" s="184">
        <v>6</v>
      </c>
      <c r="D5707" s="184" t="s">
        <v>758</v>
      </c>
    </row>
    <row r="5708" spans="1:4" ht="12.5">
      <c r="A5708" s="186">
        <v>46301</v>
      </c>
      <c r="B5708" s="184">
        <v>7002855321</v>
      </c>
      <c r="C5708" s="184">
        <v>4</v>
      </c>
      <c r="D5708" s="184" t="s">
        <v>751</v>
      </c>
    </row>
    <row r="5709" spans="1:4" ht="12.5">
      <c r="A5709" s="186">
        <v>46301</v>
      </c>
      <c r="B5709" s="184">
        <v>7002855428</v>
      </c>
      <c r="C5709" s="184">
        <v>3</v>
      </c>
      <c r="D5709" s="184" t="s">
        <v>751</v>
      </c>
    </row>
    <row r="5710" spans="1:4" ht="12.5">
      <c r="A5710" s="186">
        <v>46301</v>
      </c>
      <c r="B5710" s="184">
        <v>7002856291</v>
      </c>
      <c r="C5710" s="184">
        <v>2</v>
      </c>
      <c r="D5710" s="184" t="s">
        <v>751</v>
      </c>
    </row>
    <row r="5711" spans="1:4" ht="12.5">
      <c r="A5711" s="186">
        <v>46301</v>
      </c>
      <c r="B5711" s="184">
        <v>7002856890</v>
      </c>
      <c r="C5711" s="184">
        <v>2</v>
      </c>
      <c r="D5711" s="184" t="s">
        <v>751</v>
      </c>
    </row>
    <row r="5712" spans="1:4" ht="12.5">
      <c r="A5712" s="186">
        <v>46301</v>
      </c>
      <c r="B5712" s="184">
        <v>7002857065</v>
      </c>
      <c r="C5712" s="184">
        <v>25</v>
      </c>
      <c r="D5712" s="184" t="s">
        <v>752</v>
      </c>
    </row>
    <row r="5713" spans="1:4" ht="12.5">
      <c r="A5713" s="186">
        <v>46301</v>
      </c>
      <c r="B5713" s="184">
        <v>7002857578</v>
      </c>
      <c r="C5713" s="184">
        <v>2</v>
      </c>
      <c r="D5713" s="184" t="s">
        <v>751</v>
      </c>
    </row>
    <row r="5714" spans="1:4" ht="12.5">
      <c r="A5714" s="186">
        <v>46301</v>
      </c>
      <c r="B5714" s="184">
        <v>7002858885</v>
      </c>
      <c r="C5714" s="184">
        <v>1</v>
      </c>
      <c r="D5714" s="184" t="s">
        <v>750</v>
      </c>
    </row>
    <row r="5715" spans="1:4" ht="12.5">
      <c r="A5715" s="186">
        <v>46301</v>
      </c>
      <c r="B5715" s="184">
        <v>7002863986</v>
      </c>
      <c r="C5715" s="184">
        <v>34</v>
      </c>
      <c r="D5715" s="184" t="s">
        <v>752</v>
      </c>
    </row>
    <row r="5716" spans="1:4" ht="12.5">
      <c r="A5716" s="186">
        <v>46301</v>
      </c>
      <c r="B5716" s="184">
        <v>7002864971</v>
      </c>
      <c r="C5716" s="184">
        <v>1</v>
      </c>
      <c r="D5716" s="184" t="s">
        <v>750</v>
      </c>
    </row>
    <row r="5717" spans="1:4" ht="12.5">
      <c r="A5717" s="186">
        <v>46301</v>
      </c>
      <c r="B5717" s="184">
        <v>7002867983</v>
      </c>
      <c r="C5717" s="184">
        <v>6</v>
      </c>
      <c r="D5717" s="184" t="s">
        <v>758</v>
      </c>
    </row>
    <row r="5718" spans="1:4" ht="12.5">
      <c r="A5718" s="186">
        <v>46301</v>
      </c>
      <c r="B5718" s="184">
        <v>7002870055</v>
      </c>
      <c r="C5718" s="184">
        <v>10</v>
      </c>
      <c r="D5718" s="184" t="s">
        <v>758</v>
      </c>
    </row>
    <row r="5719" spans="1:4" ht="12.5">
      <c r="A5719" s="186">
        <v>46301</v>
      </c>
      <c r="B5719" s="184">
        <v>7002870183</v>
      </c>
      <c r="C5719" s="184">
        <v>1</v>
      </c>
      <c r="D5719" s="184" t="s">
        <v>750</v>
      </c>
    </row>
    <row r="5720" spans="1:4" ht="12.5">
      <c r="A5720" s="186">
        <v>46301</v>
      </c>
      <c r="B5720" s="184">
        <v>7002870221</v>
      </c>
      <c r="C5720" s="184">
        <v>1</v>
      </c>
      <c r="D5720" s="184" t="s">
        <v>750</v>
      </c>
    </row>
    <row r="5721" spans="1:4" ht="12.5">
      <c r="A5721" s="186">
        <v>46301</v>
      </c>
      <c r="B5721" s="184">
        <v>7002871153</v>
      </c>
      <c r="C5721" s="184">
        <v>2</v>
      </c>
      <c r="D5721" s="184" t="s">
        <v>751</v>
      </c>
    </row>
    <row r="5722" spans="1:4" ht="12.5">
      <c r="A5722" s="186">
        <v>46301</v>
      </c>
      <c r="B5722" s="184">
        <v>7002871339</v>
      </c>
      <c r="C5722" s="184">
        <v>1</v>
      </c>
      <c r="D5722" s="184" t="s">
        <v>750</v>
      </c>
    </row>
    <row r="5723" spans="1:4" ht="12.5">
      <c r="A5723" s="186">
        <v>46301</v>
      </c>
      <c r="B5723" s="184">
        <v>7002871738</v>
      </c>
      <c r="C5723" s="184">
        <v>24</v>
      </c>
      <c r="D5723" s="184" t="s">
        <v>752</v>
      </c>
    </row>
    <row r="5724" spans="1:4" ht="12.5">
      <c r="A5724" s="186">
        <v>46301</v>
      </c>
      <c r="B5724" s="184">
        <v>7002872027</v>
      </c>
      <c r="C5724" s="184">
        <v>8</v>
      </c>
      <c r="D5724" s="184" t="s">
        <v>758</v>
      </c>
    </row>
    <row r="5725" spans="1:4" ht="12.5">
      <c r="A5725" s="186">
        <v>46301</v>
      </c>
      <c r="B5725" s="184">
        <v>7002873026</v>
      </c>
      <c r="C5725" s="184">
        <v>8</v>
      </c>
      <c r="D5725" s="184" t="s">
        <v>758</v>
      </c>
    </row>
    <row r="5726" spans="1:4" ht="12.5">
      <c r="A5726" s="186">
        <v>46301</v>
      </c>
      <c r="B5726" s="184">
        <v>7002873122</v>
      </c>
      <c r="C5726" s="184">
        <v>25</v>
      </c>
      <c r="D5726" s="184" t="s">
        <v>752</v>
      </c>
    </row>
    <row r="5727" spans="1:4" ht="12.5">
      <c r="A5727" s="186">
        <v>46301</v>
      </c>
      <c r="B5727" s="184">
        <v>7002873344</v>
      </c>
      <c r="C5727" s="184">
        <v>93</v>
      </c>
      <c r="D5727" s="184" t="s">
        <v>752</v>
      </c>
    </row>
    <row r="5728" spans="1:4" ht="12.5">
      <c r="A5728" s="186">
        <v>46301</v>
      </c>
      <c r="B5728" s="184">
        <v>7002873693</v>
      </c>
      <c r="C5728" s="184">
        <v>6</v>
      </c>
      <c r="D5728" s="184" t="s">
        <v>758</v>
      </c>
    </row>
    <row r="5729" spans="1:4" ht="12.5">
      <c r="A5729" s="186">
        <v>46301</v>
      </c>
      <c r="B5729" s="184">
        <v>7002873743</v>
      </c>
      <c r="C5729" s="184">
        <v>16</v>
      </c>
      <c r="D5729" s="184" t="s">
        <v>752</v>
      </c>
    </row>
    <row r="5730" spans="1:4" ht="12.5">
      <c r="A5730" s="186">
        <v>46301</v>
      </c>
      <c r="B5730" s="184">
        <v>7002875348</v>
      </c>
      <c r="C5730" s="184">
        <v>7</v>
      </c>
      <c r="D5730" s="184" t="s">
        <v>758</v>
      </c>
    </row>
    <row r="5731" spans="1:4" ht="12.5">
      <c r="A5731" s="186">
        <v>46301</v>
      </c>
      <c r="B5731" s="184">
        <v>7002875708</v>
      </c>
      <c r="C5731" s="184">
        <v>7</v>
      </c>
      <c r="D5731" s="184" t="s">
        <v>758</v>
      </c>
    </row>
    <row r="5732" spans="1:4" ht="12.5">
      <c r="A5732" s="186">
        <v>46301</v>
      </c>
      <c r="B5732" s="184">
        <v>7002876161</v>
      </c>
      <c r="C5732" s="184">
        <v>71</v>
      </c>
      <c r="D5732" s="184" t="s">
        <v>752</v>
      </c>
    </row>
    <row r="5733" spans="1:4" ht="12.5">
      <c r="A5733" s="186">
        <v>46301</v>
      </c>
      <c r="B5733" s="184">
        <v>7002877023</v>
      </c>
      <c r="C5733" s="184">
        <v>2</v>
      </c>
      <c r="D5733" s="184" t="s">
        <v>751</v>
      </c>
    </row>
    <row r="5734" spans="1:4" ht="12.5">
      <c r="A5734" s="186">
        <v>46301</v>
      </c>
      <c r="B5734" s="184">
        <v>7002877052</v>
      </c>
      <c r="C5734" s="184">
        <v>42</v>
      </c>
      <c r="D5734" s="184" t="s">
        <v>752</v>
      </c>
    </row>
    <row r="5735" spans="1:4" ht="12.5">
      <c r="A5735" s="186">
        <v>46301</v>
      </c>
      <c r="B5735" s="184">
        <v>7002877751</v>
      </c>
      <c r="C5735" s="184">
        <v>2</v>
      </c>
      <c r="D5735" s="184" t="s">
        <v>751</v>
      </c>
    </row>
    <row r="5736" spans="1:4" ht="12.5">
      <c r="A5736" s="186">
        <v>46301</v>
      </c>
      <c r="B5736" s="184">
        <v>7002878243</v>
      </c>
      <c r="C5736" s="184">
        <v>2</v>
      </c>
      <c r="D5736" s="184" t="s">
        <v>751</v>
      </c>
    </row>
    <row r="5737" spans="1:4" ht="12.5">
      <c r="A5737" s="186">
        <v>46301</v>
      </c>
      <c r="B5737" s="184">
        <v>7002878398</v>
      </c>
      <c r="C5737" s="184">
        <v>69</v>
      </c>
      <c r="D5737" s="184" t="s">
        <v>752</v>
      </c>
    </row>
    <row r="5738" spans="1:4" ht="12.5">
      <c r="A5738" s="186">
        <v>46301</v>
      </c>
      <c r="B5738" s="184">
        <v>7002879065</v>
      </c>
      <c r="C5738" s="184">
        <v>4</v>
      </c>
      <c r="D5738" s="184" t="s">
        <v>751</v>
      </c>
    </row>
    <row r="5739" spans="1:4" ht="12.5">
      <c r="A5739" s="186">
        <v>46301</v>
      </c>
      <c r="B5739" s="184">
        <v>7002879460</v>
      </c>
      <c r="C5739" s="184">
        <v>1</v>
      </c>
      <c r="D5739" s="184" t="s">
        <v>750</v>
      </c>
    </row>
    <row r="5740" spans="1:4" ht="12.5">
      <c r="A5740" s="186">
        <v>46301</v>
      </c>
      <c r="B5740" s="184">
        <v>7002881928</v>
      </c>
      <c r="C5740" s="184">
        <v>37</v>
      </c>
      <c r="D5740" s="184" t="s">
        <v>752</v>
      </c>
    </row>
    <row r="5741" spans="1:4" ht="12.5">
      <c r="A5741" s="186">
        <v>46301</v>
      </c>
      <c r="B5741" s="184">
        <v>7002882546</v>
      </c>
      <c r="C5741" s="184">
        <v>1</v>
      </c>
      <c r="D5741" s="184" t="s">
        <v>750</v>
      </c>
    </row>
    <row r="5742" spans="1:4" ht="12.5">
      <c r="A5742" s="186">
        <v>46301</v>
      </c>
      <c r="B5742" s="184">
        <v>7002884116</v>
      </c>
      <c r="C5742" s="184">
        <v>44</v>
      </c>
      <c r="D5742" s="184" t="s">
        <v>752</v>
      </c>
    </row>
    <row r="5743" spans="1:4" ht="12.5">
      <c r="A5743" s="186">
        <v>46301</v>
      </c>
      <c r="B5743" s="184">
        <v>7002884549</v>
      </c>
      <c r="C5743" s="184">
        <v>3</v>
      </c>
      <c r="D5743" s="184" t="s">
        <v>751</v>
      </c>
    </row>
    <row r="5744" spans="1:4" ht="12.5">
      <c r="A5744" s="186">
        <v>46301</v>
      </c>
      <c r="B5744" s="184">
        <v>7002884650</v>
      </c>
      <c r="C5744" s="184">
        <v>41</v>
      </c>
      <c r="D5744" s="184" t="s">
        <v>752</v>
      </c>
    </row>
    <row r="5745" spans="1:4" ht="12.5">
      <c r="A5745" s="186">
        <v>46301</v>
      </c>
      <c r="B5745" s="184">
        <v>7002887055</v>
      </c>
      <c r="C5745" s="184">
        <v>1</v>
      </c>
      <c r="D5745" s="184" t="s">
        <v>750</v>
      </c>
    </row>
    <row r="5746" spans="1:4" ht="12.5">
      <c r="A5746" s="186">
        <v>46301</v>
      </c>
      <c r="B5746" s="184">
        <v>7002887833</v>
      </c>
      <c r="C5746" s="184">
        <v>1</v>
      </c>
      <c r="D5746" s="184" t="s">
        <v>750</v>
      </c>
    </row>
    <row r="5747" spans="1:4" ht="12.5">
      <c r="A5747" s="186">
        <v>46301</v>
      </c>
      <c r="B5747" s="184">
        <v>7002887923</v>
      </c>
      <c r="C5747" s="184">
        <v>3</v>
      </c>
      <c r="D5747" s="184" t="s">
        <v>751</v>
      </c>
    </row>
    <row r="5748" spans="1:4" ht="12.5">
      <c r="A5748" s="186">
        <v>46301</v>
      </c>
      <c r="B5748" s="184">
        <v>7002888659</v>
      </c>
      <c r="C5748" s="184">
        <v>2</v>
      </c>
      <c r="D5748" s="184" t="s">
        <v>751</v>
      </c>
    </row>
    <row r="5749" spans="1:4" ht="12.5">
      <c r="A5749" s="186">
        <v>46301</v>
      </c>
      <c r="B5749" s="184">
        <v>7002888834</v>
      </c>
      <c r="C5749" s="184">
        <v>8</v>
      </c>
      <c r="D5749" s="184" t="s">
        <v>758</v>
      </c>
    </row>
    <row r="5750" spans="1:4" ht="12.5">
      <c r="A5750" s="186">
        <v>46301</v>
      </c>
      <c r="B5750" s="184">
        <v>7002888899</v>
      </c>
      <c r="C5750" s="184">
        <v>1</v>
      </c>
      <c r="D5750" s="184" t="s">
        <v>750</v>
      </c>
    </row>
    <row r="5751" spans="1:4" ht="12.5">
      <c r="A5751" s="186">
        <v>46301</v>
      </c>
      <c r="B5751" s="184">
        <v>7002889484</v>
      </c>
      <c r="C5751" s="184">
        <v>2</v>
      </c>
      <c r="D5751" s="184" t="s">
        <v>751</v>
      </c>
    </row>
    <row r="5752" spans="1:4" ht="12.5">
      <c r="A5752" s="186">
        <v>46301</v>
      </c>
      <c r="B5752" s="184">
        <v>7002890145</v>
      </c>
      <c r="C5752" s="184">
        <v>1</v>
      </c>
      <c r="D5752" s="184" t="s">
        <v>750</v>
      </c>
    </row>
    <row r="5753" spans="1:4" ht="12.5">
      <c r="A5753" s="186">
        <v>46301</v>
      </c>
      <c r="B5753" s="184">
        <v>7002890593</v>
      </c>
      <c r="C5753" s="184">
        <v>17</v>
      </c>
      <c r="D5753" s="184" t="s">
        <v>752</v>
      </c>
    </row>
    <row r="5754" spans="1:4" ht="12.5">
      <c r="A5754" s="186">
        <v>46301</v>
      </c>
      <c r="B5754" s="184">
        <v>7002890600</v>
      </c>
      <c r="C5754" s="184">
        <v>1</v>
      </c>
      <c r="D5754" s="184" t="s">
        <v>750</v>
      </c>
    </row>
    <row r="5755" spans="1:4" ht="12.5">
      <c r="A5755" s="186">
        <v>46301</v>
      </c>
      <c r="B5755" s="184">
        <v>7002890930</v>
      </c>
      <c r="C5755" s="184">
        <v>4</v>
      </c>
      <c r="D5755" s="184" t="s">
        <v>751</v>
      </c>
    </row>
    <row r="5756" spans="1:4" ht="12.5">
      <c r="A5756" s="186">
        <v>46301</v>
      </c>
      <c r="B5756" s="184">
        <v>7002890948</v>
      </c>
      <c r="C5756" s="184">
        <v>5</v>
      </c>
      <c r="D5756" s="184" t="s">
        <v>751</v>
      </c>
    </row>
    <row r="5757" spans="1:4" ht="12.5">
      <c r="A5757" s="186">
        <v>46301</v>
      </c>
      <c r="B5757" s="184">
        <v>7002890969</v>
      </c>
      <c r="C5757" s="184">
        <v>171</v>
      </c>
      <c r="D5757" s="184" t="s">
        <v>752</v>
      </c>
    </row>
    <row r="5758" spans="1:4" ht="12.5">
      <c r="A5758" s="186">
        <v>46301</v>
      </c>
      <c r="B5758" s="184">
        <v>7002891604</v>
      </c>
      <c r="C5758" s="184">
        <v>1</v>
      </c>
      <c r="D5758" s="184" t="s">
        <v>750</v>
      </c>
    </row>
    <row r="5759" spans="1:4" ht="12.5">
      <c r="A5759" s="186">
        <v>46301</v>
      </c>
      <c r="B5759" s="184">
        <v>7002891627</v>
      </c>
      <c r="C5759" s="184">
        <v>1</v>
      </c>
      <c r="D5759" s="184" t="s">
        <v>750</v>
      </c>
    </row>
    <row r="5760" spans="1:4" ht="12.5">
      <c r="A5760" s="186">
        <v>46301</v>
      </c>
      <c r="B5760" s="184">
        <v>7002891814</v>
      </c>
      <c r="C5760" s="184">
        <v>2</v>
      </c>
      <c r="D5760" s="184" t="s">
        <v>751</v>
      </c>
    </row>
    <row r="5761" spans="1:4" ht="12.5">
      <c r="A5761" s="186">
        <v>46301</v>
      </c>
      <c r="B5761" s="184">
        <v>7002891923</v>
      </c>
      <c r="C5761" s="184">
        <v>32</v>
      </c>
      <c r="D5761" s="184" t="s">
        <v>752</v>
      </c>
    </row>
    <row r="5762" spans="1:4" ht="12.5">
      <c r="A5762" s="186">
        <v>46301</v>
      </c>
      <c r="B5762" s="184">
        <v>7002891975</v>
      </c>
      <c r="C5762" s="184">
        <v>2</v>
      </c>
      <c r="D5762" s="184" t="s">
        <v>751</v>
      </c>
    </row>
    <row r="5763" spans="1:4" ht="12.5">
      <c r="A5763" s="186">
        <v>46301</v>
      </c>
      <c r="B5763" s="184">
        <v>7002891999</v>
      </c>
      <c r="C5763" s="184">
        <v>2</v>
      </c>
      <c r="D5763" s="184" t="s">
        <v>751</v>
      </c>
    </row>
    <row r="5764" spans="1:4" ht="12.5">
      <c r="A5764" s="186">
        <v>46301</v>
      </c>
      <c r="B5764" s="184">
        <v>7002892884</v>
      </c>
      <c r="C5764" s="184">
        <v>10</v>
      </c>
      <c r="D5764" s="184" t="s">
        <v>758</v>
      </c>
    </row>
    <row r="5765" spans="1:4" ht="12.5">
      <c r="A5765" s="186">
        <v>46301</v>
      </c>
      <c r="B5765" s="184">
        <v>7002892905</v>
      </c>
      <c r="C5765" s="184">
        <v>10</v>
      </c>
      <c r="D5765" s="184" t="s">
        <v>758</v>
      </c>
    </row>
    <row r="5766" spans="1:4" ht="12.5">
      <c r="A5766" s="186">
        <v>46301</v>
      </c>
      <c r="B5766" s="184">
        <v>7002892998</v>
      </c>
      <c r="C5766" s="184">
        <v>1</v>
      </c>
      <c r="D5766" s="184" t="s">
        <v>750</v>
      </c>
    </row>
    <row r="5767" spans="1:4" ht="12.5">
      <c r="A5767" s="186">
        <v>46301</v>
      </c>
      <c r="B5767" s="184">
        <v>7002893036</v>
      </c>
      <c r="C5767" s="184">
        <v>5</v>
      </c>
      <c r="D5767" s="184" t="s">
        <v>751</v>
      </c>
    </row>
    <row r="5768" spans="1:4" ht="12.5">
      <c r="A5768" s="186">
        <v>46301</v>
      </c>
      <c r="B5768" s="184">
        <v>7002893134</v>
      </c>
      <c r="C5768" s="184">
        <v>2</v>
      </c>
      <c r="D5768" s="184" t="s">
        <v>751</v>
      </c>
    </row>
    <row r="5769" spans="1:4" ht="12.5">
      <c r="A5769" s="186">
        <v>46301</v>
      </c>
      <c r="B5769" s="184">
        <v>7002893602</v>
      </c>
      <c r="C5769" s="184">
        <v>2</v>
      </c>
      <c r="D5769" s="184" t="s">
        <v>751</v>
      </c>
    </row>
    <row r="5770" spans="1:4" ht="12.5">
      <c r="A5770" s="186">
        <v>46301</v>
      </c>
      <c r="B5770" s="184">
        <v>7002893641</v>
      </c>
      <c r="C5770" s="184">
        <v>2</v>
      </c>
      <c r="D5770" s="184" t="s">
        <v>751</v>
      </c>
    </row>
    <row r="5771" spans="1:4" ht="12.5">
      <c r="A5771" s="186">
        <v>46301</v>
      </c>
      <c r="B5771" s="184">
        <v>7002893656</v>
      </c>
      <c r="C5771" s="184">
        <v>2</v>
      </c>
      <c r="D5771" s="184" t="s">
        <v>751</v>
      </c>
    </row>
    <row r="5772" spans="1:4" ht="12.5">
      <c r="A5772" s="186">
        <v>46301</v>
      </c>
      <c r="B5772" s="184">
        <v>7002893728</v>
      </c>
      <c r="C5772" s="184">
        <v>5</v>
      </c>
      <c r="D5772" s="184" t="s">
        <v>751</v>
      </c>
    </row>
    <row r="5773" spans="1:4" ht="12.5">
      <c r="A5773" s="186">
        <v>46301</v>
      </c>
      <c r="B5773" s="184">
        <v>7002893785</v>
      </c>
      <c r="C5773" s="184">
        <v>1</v>
      </c>
      <c r="D5773" s="184" t="s">
        <v>750</v>
      </c>
    </row>
    <row r="5774" spans="1:4" ht="12.5">
      <c r="A5774" s="186">
        <v>46301</v>
      </c>
      <c r="B5774" s="184">
        <v>7002894601</v>
      </c>
      <c r="C5774" s="184">
        <v>1</v>
      </c>
      <c r="D5774" s="184" t="s">
        <v>750</v>
      </c>
    </row>
    <row r="5775" spans="1:4" ht="12.5">
      <c r="A5775" s="186">
        <v>46301</v>
      </c>
      <c r="B5775" s="184">
        <v>7002894876</v>
      </c>
      <c r="C5775" s="184">
        <v>4</v>
      </c>
      <c r="D5775" s="184" t="s">
        <v>751</v>
      </c>
    </row>
    <row r="5776" spans="1:4" ht="12.5">
      <c r="A5776" s="186">
        <v>46301</v>
      </c>
      <c r="B5776" s="184">
        <v>7002894977</v>
      </c>
      <c r="C5776" s="184">
        <v>80</v>
      </c>
      <c r="D5776" s="184" t="s">
        <v>752</v>
      </c>
    </row>
    <row r="5777" spans="1:4" ht="12.5">
      <c r="A5777" s="186">
        <v>46301</v>
      </c>
      <c r="B5777" s="184">
        <v>7002895008</v>
      </c>
      <c r="C5777" s="184">
        <v>4</v>
      </c>
      <c r="D5777" s="184" t="s">
        <v>751</v>
      </c>
    </row>
    <row r="5778" spans="1:4" ht="12.5">
      <c r="A5778" s="186">
        <v>46301</v>
      </c>
      <c r="B5778" s="184">
        <v>7002895707</v>
      </c>
      <c r="C5778" s="184">
        <v>6</v>
      </c>
      <c r="D5778" s="184" t="s">
        <v>758</v>
      </c>
    </row>
    <row r="5779" spans="1:4" ht="12.5">
      <c r="A5779" s="186">
        <v>46301</v>
      </c>
      <c r="B5779" s="184">
        <v>7002895961</v>
      </c>
      <c r="C5779" s="184">
        <v>5</v>
      </c>
      <c r="D5779" s="184" t="s">
        <v>751</v>
      </c>
    </row>
    <row r="5780" spans="1:4" ht="12.5">
      <c r="A5780" s="186">
        <v>46301</v>
      </c>
      <c r="B5780" s="184">
        <v>7002896229</v>
      </c>
      <c r="C5780" s="184">
        <v>5</v>
      </c>
      <c r="D5780" s="184" t="s">
        <v>751</v>
      </c>
    </row>
    <row r="5781" spans="1:4" ht="12.5">
      <c r="A5781" s="186">
        <v>46301</v>
      </c>
      <c r="B5781" s="184">
        <v>7002896580</v>
      </c>
      <c r="C5781" s="184">
        <v>1</v>
      </c>
      <c r="D5781" s="184" t="s">
        <v>750</v>
      </c>
    </row>
    <row r="5782" spans="1:4" ht="12.5">
      <c r="A5782" s="186">
        <v>46301</v>
      </c>
      <c r="B5782" s="184">
        <v>7002896610</v>
      </c>
      <c r="C5782" s="184">
        <v>1</v>
      </c>
      <c r="D5782" s="184" t="s">
        <v>750</v>
      </c>
    </row>
    <row r="5783" spans="1:4" ht="12.5">
      <c r="A5783" s="186">
        <v>46301</v>
      </c>
      <c r="B5783" s="184">
        <v>7002896777</v>
      </c>
      <c r="C5783" s="184">
        <v>1</v>
      </c>
      <c r="D5783" s="184" t="s">
        <v>750</v>
      </c>
    </row>
    <row r="5784" spans="1:4" ht="12.5">
      <c r="A5784" s="186">
        <v>46301</v>
      </c>
      <c r="B5784" s="184">
        <v>7002896783</v>
      </c>
      <c r="C5784" s="184">
        <v>1</v>
      </c>
      <c r="D5784" s="184" t="s">
        <v>750</v>
      </c>
    </row>
    <row r="5785" spans="1:4" ht="12.5">
      <c r="A5785" s="186">
        <v>46301</v>
      </c>
      <c r="B5785" s="184">
        <v>7002896871</v>
      </c>
      <c r="C5785" s="184">
        <v>33</v>
      </c>
      <c r="D5785" s="184" t="s">
        <v>752</v>
      </c>
    </row>
    <row r="5786" spans="1:4" ht="12.5">
      <c r="A5786" s="186">
        <v>46301</v>
      </c>
      <c r="B5786" s="184">
        <v>7002896904</v>
      </c>
      <c r="C5786" s="184">
        <v>4</v>
      </c>
      <c r="D5786" s="184" t="s">
        <v>751</v>
      </c>
    </row>
    <row r="5787" spans="1:4" ht="12.5">
      <c r="A5787" s="186">
        <v>46301</v>
      </c>
      <c r="B5787" s="184">
        <v>7002896936</v>
      </c>
      <c r="C5787" s="184">
        <v>18</v>
      </c>
      <c r="D5787" s="184" t="s">
        <v>752</v>
      </c>
    </row>
    <row r="5788" spans="1:4" ht="12.5">
      <c r="A5788" s="186">
        <v>46301</v>
      </c>
      <c r="B5788" s="184">
        <v>7002897239</v>
      </c>
      <c r="C5788" s="184">
        <v>23</v>
      </c>
      <c r="D5788" s="184" t="s">
        <v>752</v>
      </c>
    </row>
    <row r="5789" spans="1:4" ht="12.5">
      <c r="A5789" s="186">
        <v>46301</v>
      </c>
      <c r="B5789" s="184">
        <v>7002897575</v>
      </c>
      <c r="C5789" s="184">
        <v>20</v>
      </c>
      <c r="D5789" s="184" t="s">
        <v>752</v>
      </c>
    </row>
    <row r="5790" spans="1:4" ht="12.5">
      <c r="A5790" s="186">
        <v>46301</v>
      </c>
      <c r="B5790" s="184">
        <v>7002897611</v>
      </c>
      <c r="C5790" s="184">
        <v>1</v>
      </c>
      <c r="D5790" s="184" t="s">
        <v>750</v>
      </c>
    </row>
    <row r="5791" spans="1:4" ht="12.5">
      <c r="A5791" s="186">
        <v>46301</v>
      </c>
      <c r="B5791" s="184">
        <v>7002897648</v>
      </c>
      <c r="C5791" s="184">
        <v>10</v>
      </c>
      <c r="D5791" s="184" t="s">
        <v>758</v>
      </c>
    </row>
    <row r="5792" spans="1:4" ht="12.5">
      <c r="A5792" s="186">
        <v>46301</v>
      </c>
      <c r="B5792" s="184">
        <v>7002897937</v>
      </c>
      <c r="C5792" s="184">
        <v>13</v>
      </c>
      <c r="D5792" s="184" t="s">
        <v>752</v>
      </c>
    </row>
    <row r="5793" spans="1:4" ht="12.5">
      <c r="A5793" s="186">
        <v>46301</v>
      </c>
      <c r="B5793" s="184">
        <v>7002897944</v>
      </c>
      <c r="C5793" s="184">
        <v>7</v>
      </c>
      <c r="D5793" s="184" t="s">
        <v>758</v>
      </c>
    </row>
    <row r="5794" spans="1:4" ht="12.5">
      <c r="A5794" s="186">
        <v>46301</v>
      </c>
      <c r="B5794" s="184">
        <v>7002897963</v>
      </c>
      <c r="C5794" s="184">
        <v>4</v>
      </c>
      <c r="D5794" s="184" t="s">
        <v>751</v>
      </c>
    </row>
    <row r="5795" spans="1:4" ht="12.5">
      <c r="A5795" s="186">
        <v>46301</v>
      </c>
      <c r="B5795" s="184">
        <v>7002897985</v>
      </c>
      <c r="C5795" s="184">
        <v>29</v>
      </c>
      <c r="D5795" s="184" t="s">
        <v>752</v>
      </c>
    </row>
    <row r="5796" spans="1:4" ht="12.5">
      <c r="A5796" s="186">
        <v>46301</v>
      </c>
      <c r="B5796" s="184">
        <v>7002898075</v>
      </c>
      <c r="C5796" s="184">
        <v>5</v>
      </c>
      <c r="D5796" s="184" t="s">
        <v>751</v>
      </c>
    </row>
    <row r="5797" spans="1:4" ht="12.5">
      <c r="A5797" s="186">
        <v>46301</v>
      </c>
      <c r="B5797" s="184">
        <v>7002898104</v>
      </c>
      <c r="C5797" s="184">
        <v>1</v>
      </c>
      <c r="D5797" s="184" t="s">
        <v>750</v>
      </c>
    </row>
    <row r="5798" spans="1:4" ht="12.5">
      <c r="A5798" s="186">
        <v>46301</v>
      </c>
      <c r="B5798" s="184">
        <v>7002898191</v>
      </c>
      <c r="C5798" s="184">
        <v>3</v>
      </c>
      <c r="D5798" s="184" t="s">
        <v>751</v>
      </c>
    </row>
    <row r="5799" spans="1:4" ht="12.5">
      <c r="A5799" s="186">
        <v>46301</v>
      </c>
      <c r="B5799" s="184">
        <v>7002898576</v>
      </c>
      <c r="C5799" s="184">
        <v>4</v>
      </c>
      <c r="D5799" s="184" t="s">
        <v>751</v>
      </c>
    </row>
    <row r="5800" spans="1:4" ht="12.5">
      <c r="A5800" s="186">
        <v>46301</v>
      </c>
      <c r="B5800" s="184">
        <v>7002898746</v>
      </c>
      <c r="C5800" s="184">
        <v>3</v>
      </c>
      <c r="D5800" s="184" t="s">
        <v>751</v>
      </c>
    </row>
    <row r="5801" spans="1:4" ht="12.5">
      <c r="A5801" s="186">
        <v>46301</v>
      </c>
      <c r="B5801" s="184">
        <v>7002898873</v>
      </c>
      <c r="C5801" s="184">
        <v>10</v>
      </c>
      <c r="D5801" s="184" t="s">
        <v>758</v>
      </c>
    </row>
    <row r="5802" spans="1:4" ht="12.5">
      <c r="A5802" s="186">
        <v>46301</v>
      </c>
      <c r="B5802" s="184">
        <v>7002898938</v>
      </c>
      <c r="C5802" s="184">
        <v>3</v>
      </c>
      <c r="D5802" s="184" t="s">
        <v>751</v>
      </c>
    </row>
    <row r="5803" spans="1:4" ht="12.5">
      <c r="A5803" s="186">
        <v>46301</v>
      </c>
      <c r="B5803" s="184">
        <v>7002898940</v>
      </c>
      <c r="C5803" s="184">
        <v>13</v>
      </c>
      <c r="D5803" s="184" t="s">
        <v>752</v>
      </c>
    </row>
    <row r="5804" spans="1:4" ht="12.5">
      <c r="A5804" s="186">
        <v>46301</v>
      </c>
      <c r="B5804" s="184">
        <v>7002898964</v>
      </c>
      <c r="C5804" s="184">
        <v>10</v>
      </c>
      <c r="D5804" s="184" t="s">
        <v>758</v>
      </c>
    </row>
    <row r="5805" spans="1:4" ht="12.5">
      <c r="A5805" s="186">
        <v>46301</v>
      </c>
      <c r="B5805" s="184">
        <v>7002899734</v>
      </c>
      <c r="C5805" s="184">
        <v>5</v>
      </c>
      <c r="D5805" s="184" t="s">
        <v>751</v>
      </c>
    </row>
    <row r="5806" spans="1:4" ht="12.5">
      <c r="A5806" s="186">
        <v>46301</v>
      </c>
      <c r="B5806" s="184">
        <v>7002899956</v>
      </c>
      <c r="C5806" s="184">
        <v>3</v>
      </c>
      <c r="D5806" s="184" t="s">
        <v>751</v>
      </c>
    </row>
    <row r="5807" spans="1:4" ht="12.5">
      <c r="A5807" s="186">
        <v>46301</v>
      </c>
      <c r="B5807" s="184">
        <v>7002899994</v>
      </c>
      <c r="C5807" s="184">
        <v>3</v>
      </c>
      <c r="D5807" s="184" t="s">
        <v>751</v>
      </c>
    </row>
    <row r="5808" spans="1:4" ht="12.5">
      <c r="A5808" s="186">
        <v>46301</v>
      </c>
      <c r="B5808" s="184">
        <v>7002900006</v>
      </c>
      <c r="C5808" s="184">
        <v>19</v>
      </c>
      <c r="D5808" s="184" t="s">
        <v>752</v>
      </c>
    </row>
    <row r="5809" spans="1:4" ht="12.5">
      <c r="A5809" s="186">
        <v>46301</v>
      </c>
      <c r="B5809" s="184">
        <v>7002900034</v>
      </c>
      <c r="C5809" s="184">
        <v>3</v>
      </c>
      <c r="D5809" s="184" t="s">
        <v>751</v>
      </c>
    </row>
    <row r="5810" spans="1:4" ht="12.5">
      <c r="A5810" s="186">
        <v>46301</v>
      </c>
      <c r="B5810" s="184">
        <v>7002900047</v>
      </c>
      <c r="C5810" s="184">
        <v>1</v>
      </c>
      <c r="D5810" s="184" t="s">
        <v>750</v>
      </c>
    </row>
    <row r="5811" spans="1:4" ht="12.5">
      <c r="A5811" s="186">
        <v>46301</v>
      </c>
      <c r="B5811" s="184">
        <v>7002900115</v>
      </c>
      <c r="C5811" s="184">
        <v>8</v>
      </c>
      <c r="D5811" s="184" t="s">
        <v>758</v>
      </c>
    </row>
    <row r="5812" spans="1:4" ht="12.5">
      <c r="A5812" s="186">
        <v>46301</v>
      </c>
      <c r="B5812" s="184">
        <v>7002900158</v>
      </c>
      <c r="C5812" s="184">
        <v>3</v>
      </c>
      <c r="D5812" s="184" t="s">
        <v>751</v>
      </c>
    </row>
    <row r="5813" spans="1:4" ht="12.5">
      <c r="A5813" s="186">
        <v>46301</v>
      </c>
      <c r="B5813" s="184">
        <v>7002900290</v>
      </c>
      <c r="C5813" s="184">
        <v>28</v>
      </c>
      <c r="D5813" s="184" t="s">
        <v>752</v>
      </c>
    </row>
    <row r="5814" spans="1:4" ht="12.5">
      <c r="A5814" s="186">
        <v>46301</v>
      </c>
      <c r="B5814" s="184">
        <v>7002900384</v>
      </c>
      <c r="C5814" s="184">
        <v>1</v>
      </c>
      <c r="D5814" s="184" t="s">
        <v>750</v>
      </c>
    </row>
    <row r="5815" spans="1:4" ht="12.5">
      <c r="A5815" s="186">
        <v>46301</v>
      </c>
      <c r="B5815" s="184">
        <v>7002900400</v>
      </c>
      <c r="C5815" s="184">
        <v>27</v>
      </c>
      <c r="D5815" s="184" t="s">
        <v>752</v>
      </c>
    </row>
    <row r="5816" spans="1:4" ht="12.5">
      <c r="A5816" s="186">
        <v>46301</v>
      </c>
      <c r="B5816" s="184">
        <v>7002900416</v>
      </c>
      <c r="C5816" s="184">
        <v>2</v>
      </c>
      <c r="D5816" s="184" t="s">
        <v>751</v>
      </c>
    </row>
    <row r="5817" spans="1:4" ht="12.5">
      <c r="A5817" s="186">
        <v>46301</v>
      </c>
      <c r="B5817" s="184">
        <v>7002900683</v>
      </c>
      <c r="C5817" s="184">
        <v>1</v>
      </c>
      <c r="D5817" s="184" t="s">
        <v>750</v>
      </c>
    </row>
    <row r="5818" spans="1:4" ht="12.5">
      <c r="A5818" s="186">
        <v>46301</v>
      </c>
      <c r="B5818" s="184">
        <v>7002900705</v>
      </c>
      <c r="C5818" s="184">
        <v>3</v>
      </c>
      <c r="D5818" s="184" t="s">
        <v>751</v>
      </c>
    </row>
    <row r="5819" spans="1:4" ht="12.5">
      <c r="A5819" s="186">
        <v>46301</v>
      </c>
      <c r="B5819" s="184">
        <v>7002900746</v>
      </c>
      <c r="C5819" s="184">
        <v>2</v>
      </c>
      <c r="D5819" s="184" t="s">
        <v>751</v>
      </c>
    </row>
    <row r="5820" spans="1:4" ht="12.5">
      <c r="A5820" s="186">
        <v>46301</v>
      </c>
      <c r="B5820" s="184">
        <v>7002900767</v>
      </c>
      <c r="C5820" s="184">
        <v>9</v>
      </c>
      <c r="D5820" s="184" t="s">
        <v>758</v>
      </c>
    </row>
    <row r="5821" spans="1:4" ht="12.5">
      <c r="A5821" s="186">
        <v>46301</v>
      </c>
      <c r="B5821" s="184">
        <v>7002901188</v>
      </c>
      <c r="C5821" s="184">
        <v>1</v>
      </c>
      <c r="D5821" s="184" t="s">
        <v>750</v>
      </c>
    </row>
    <row r="5822" spans="1:4" ht="12.5">
      <c r="A5822" s="186">
        <v>46301</v>
      </c>
      <c r="B5822" s="184">
        <v>7002901225</v>
      </c>
      <c r="C5822" s="184">
        <v>5</v>
      </c>
      <c r="D5822" s="184" t="s">
        <v>751</v>
      </c>
    </row>
    <row r="5823" spans="1:4" ht="12.5">
      <c r="A5823" s="186">
        <v>46301</v>
      </c>
      <c r="B5823" s="184">
        <v>7002901256</v>
      </c>
      <c r="C5823" s="184">
        <v>2</v>
      </c>
      <c r="D5823" s="184" t="s">
        <v>751</v>
      </c>
    </row>
    <row r="5824" spans="1:4" ht="12.5">
      <c r="A5824" s="186">
        <v>46301</v>
      </c>
      <c r="B5824" s="184">
        <v>7002901308</v>
      </c>
      <c r="C5824" s="184">
        <v>2</v>
      </c>
      <c r="D5824" s="184" t="s">
        <v>751</v>
      </c>
    </row>
    <row r="5825" spans="1:4" ht="12.5">
      <c r="A5825" s="186">
        <v>46301</v>
      </c>
      <c r="B5825" s="184">
        <v>7002901331</v>
      </c>
      <c r="C5825" s="184">
        <v>39</v>
      </c>
      <c r="D5825" s="184" t="s">
        <v>752</v>
      </c>
    </row>
    <row r="5826" spans="1:4" ht="12.5">
      <c r="A5826" s="186">
        <v>46301</v>
      </c>
      <c r="B5826" s="184">
        <v>7002901607</v>
      </c>
      <c r="C5826" s="184">
        <v>1</v>
      </c>
      <c r="D5826" s="184" t="s">
        <v>750</v>
      </c>
    </row>
    <row r="5827" spans="1:4" ht="12.5">
      <c r="A5827" s="186">
        <v>46301</v>
      </c>
      <c r="B5827" s="184">
        <v>7002902032</v>
      </c>
      <c r="C5827" s="184">
        <v>9</v>
      </c>
      <c r="D5827" s="184" t="s">
        <v>758</v>
      </c>
    </row>
    <row r="5828" spans="1:4" ht="12.5">
      <c r="A5828" s="186">
        <v>46301</v>
      </c>
      <c r="B5828" s="184">
        <v>7002902141</v>
      </c>
      <c r="C5828" s="184">
        <v>7</v>
      </c>
      <c r="D5828" s="184" t="s">
        <v>758</v>
      </c>
    </row>
    <row r="5829" spans="1:4" ht="12.5">
      <c r="A5829" s="186">
        <v>46301</v>
      </c>
      <c r="B5829" s="184">
        <v>7002902353</v>
      </c>
      <c r="C5829" s="184">
        <v>2</v>
      </c>
      <c r="D5829" s="184" t="s">
        <v>751</v>
      </c>
    </row>
    <row r="5830" spans="1:4" ht="12.5">
      <c r="A5830" s="186">
        <v>46301</v>
      </c>
      <c r="B5830" s="184">
        <v>7002902395</v>
      </c>
      <c r="C5830" s="184">
        <v>4</v>
      </c>
      <c r="D5830" s="184" t="s">
        <v>751</v>
      </c>
    </row>
    <row r="5831" spans="1:4" ht="12.5">
      <c r="A5831" s="186">
        <v>46301</v>
      </c>
      <c r="B5831" s="184">
        <v>7002902522</v>
      </c>
      <c r="C5831" s="184">
        <v>1</v>
      </c>
      <c r="D5831" s="184" t="s">
        <v>750</v>
      </c>
    </row>
    <row r="5832" spans="1:4" ht="12.5">
      <c r="A5832" s="186">
        <v>46301</v>
      </c>
      <c r="B5832" s="184">
        <v>7002903012</v>
      </c>
      <c r="C5832" s="184">
        <v>9</v>
      </c>
      <c r="D5832" s="184" t="s">
        <v>758</v>
      </c>
    </row>
    <row r="5833" spans="1:4" ht="12.5">
      <c r="A5833" s="186">
        <v>46301</v>
      </c>
      <c r="B5833" s="184">
        <v>7002903031</v>
      </c>
      <c r="C5833" s="184">
        <v>4</v>
      </c>
      <c r="D5833" s="184" t="s">
        <v>751</v>
      </c>
    </row>
    <row r="5834" spans="1:4" ht="12.5">
      <c r="A5834" s="186">
        <v>46301</v>
      </c>
      <c r="B5834" s="184">
        <v>7002903101</v>
      </c>
      <c r="C5834" s="184">
        <v>4</v>
      </c>
      <c r="D5834" s="184" t="s">
        <v>751</v>
      </c>
    </row>
    <row r="5835" spans="1:4" ht="12.5">
      <c r="A5835" s="186">
        <v>46301</v>
      </c>
      <c r="B5835" s="184">
        <v>7002903323</v>
      </c>
      <c r="C5835" s="184">
        <v>5</v>
      </c>
      <c r="D5835" s="184" t="s">
        <v>751</v>
      </c>
    </row>
    <row r="5836" spans="1:4" ht="12.5">
      <c r="A5836" s="186">
        <v>46301</v>
      </c>
      <c r="B5836" s="184">
        <v>7002903399</v>
      </c>
      <c r="C5836" s="184">
        <v>2</v>
      </c>
      <c r="D5836" s="184" t="s">
        <v>751</v>
      </c>
    </row>
    <row r="5837" spans="1:4" ht="12.5">
      <c r="A5837" s="186">
        <v>46301</v>
      </c>
      <c r="B5837" s="184">
        <v>7002903456</v>
      </c>
      <c r="C5837" s="184">
        <v>5</v>
      </c>
      <c r="D5837" s="184" t="s">
        <v>751</v>
      </c>
    </row>
    <row r="5838" spans="1:4" ht="12.5">
      <c r="A5838" s="186">
        <v>46301</v>
      </c>
      <c r="B5838" s="184">
        <v>7002903724</v>
      </c>
      <c r="C5838" s="184">
        <v>4</v>
      </c>
      <c r="D5838" s="184" t="s">
        <v>751</v>
      </c>
    </row>
    <row r="5839" spans="1:4" ht="12.5">
      <c r="A5839" s="186">
        <v>46301</v>
      </c>
      <c r="B5839" s="184">
        <v>7002904024</v>
      </c>
      <c r="C5839" s="184">
        <v>1</v>
      </c>
      <c r="D5839" s="184" t="s">
        <v>750</v>
      </c>
    </row>
    <row r="5840" spans="1:4" ht="12.5">
      <c r="A5840" s="186">
        <v>46301</v>
      </c>
      <c r="B5840" s="184">
        <v>7002904100</v>
      </c>
      <c r="C5840" s="184">
        <v>1</v>
      </c>
      <c r="D5840" s="184" t="s">
        <v>750</v>
      </c>
    </row>
    <row r="5841" spans="1:4" ht="12.5">
      <c r="A5841" s="186">
        <v>46301</v>
      </c>
      <c r="B5841" s="184">
        <v>7002904291</v>
      </c>
      <c r="C5841" s="184">
        <v>3</v>
      </c>
      <c r="D5841" s="184" t="s">
        <v>751</v>
      </c>
    </row>
    <row r="5842" spans="1:4" ht="12.5">
      <c r="A5842" s="186">
        <v>46301</v>
      </c>
      <c r="B5842" s="184">
        <v>7002904322</v>
      </c>
      <c r="C5842" s="184">
        <v>1</v>
      </c>
      <c r="D5842" s="184" t="s">
        <v>750</v>
      </c>
    </row>
    <row r="5843" spans="1:4" ht="12.5">
      <c r="A5843" s="186">
        <v>46301</v>
      </c>
      <c r="B5843" s="184">
        <v>7002904379</v>
      </c>
      <c r="C5843" s="184">
        <v>10</v>
      </c>
      <c r="D5843" s="184" t="s">
        <v>758</v>
      </c>
    </row>
    <row r="5844" spans="1:4" ht="12.5">
      <c r="A5844" s="186">
        <v>46301</v>
      </c>
      <c r="B5844" s="184">
        <v>7002904401</v>
      </c>
      <c r="C5844" s="184">
        <v>1</v>
      </c>
      <c r="D5844" s="184" t="s">
        <v>750</v>
      </c>
    </row>
    <row r="5845" spans="1:4" ht="12.5">
      <c r="A5845" s="186">
        <v>46301</v>
      </c>
      <c r="B5845" s="184">
        <v>7002904417</v>
      </c>
      <c r="C5845" s="184">
        <v>1</v>
      </c>
      <c r="D5845" s="184" t="s">
        <v>750</v>
      </c>
    </row>
    <row r="5846" spans="1:4" ht="12.5">
      <c r="A5846" s="186">
        <v>46301</v>
      </c>
      <c r="B5846" s="184">
        <v>7002904752</v>
      </c>
      <c r="C5846" s="184">
        <v>1</v>
      </c>
      <c r="D5846" s="184" t="s">
        <v>750</v>
      </c>
    </row>
    <row r="5847" spans="1:4" ht="12.5">
      <c r="A5847" s="186">
        <v>46301</v>
      </c>
      <c r="B5847" s="184">
        <v>7002904835</v>
      </c>
      <c r="C5847" s="184">
        <v>24</v>
      </c>
      <c r="D5847" s="184" t="s">
        <v>752</v>
      </c>
    </row>
    <row r="5848" spans="1:4" ht="12.5">
      <c r="A5848" s="186">
        <v>46301</v>
      </c>
      <c r="B5848" s="184">
        <v>7002905110</v>
      </c>
      <c r="C5848" s="184">
        <v>52</v>
      </c>
      <c r="D5848" s="184" t="s">
        <v>752</v>
      </c>
    </row>
    <row r="5849" spans="1:4" ht="12.5">
      <c r="A5849" s="186">
        <v>46301</v>
      </c>
      <c r="B5849" s="184">
        <v>7002905207</v>
      </c>
      <c r="C5849" s="184">
        <v>28</v>
      </c>
      <c r="D5849" s="184" t="s">
        <v>752</v>
      </c>
    </row>
    <row r="5850" spans="1:4" ht="12.5">
      <c r="A5850" s="186">
        <v>46301</v>
      </c>
      <c r="B5850" s="184">
        <v>7002905282</v>
      </c>
      <c r="C5850" s="184">
        <v>9</v>
      </c>
      <c r="D5850" s="184" t="s">
        <v>758</v>
      </c>
    </row>
    <row r="5851" spans="1:4" ht="12.5">
      <c r="A5851" s="186">
        <v>46301</v>
      </c>
      <c r="B5851" s="184">
        <v>7002905422</v>
      </c>
      <c r="C5851" s="184">
        <v>17</v>
      </c>
      <c r="D5851" s="184" t="s">
        <v>752</v>
      </c>
    </row>
    <row r="5852" spans="1:4" ht="12.5">
      <c r="A5852" s="186">
        <v>46301</v>
      </c>
      <c r="B5852" s="184">
        <v>7002905433</v>
      </c>
      <c r="C5852" s="184">
        <v>1</v>
      </c>
      <c r="D5852" s="184" t="s">
        <v>750</v>
      </c>
    </row>
    <row r="5853" spans="1:4" ht="12.5">
      <c r="A5853" s="186">
        <v>46301</v>
      </c>
      <c r="B5853" s="184">
        <v>7002906016</v>
      </c>
      <c r="C5853" s="184">
        <v>15</v>
      </c>
      <c r="D5853" s="184" t="s">
        <v>752</v>
      </c>
    </row>
    <row r="5854" spans="1:4" ht="12.5">
      <c r="A5854" s="186">
        <v>46301</v>
      </c>
      <c r="B5854" s="184">
        <v>7002906176</v>
      </c>
      <c r="C5854" s="184">
        <v>15</v>
      </c>
      <c r="D5854" s="184" t="s">
        <v>752</v>
      </c>
    </row>
    <row r="5855" spans="1:4" ht="12.5">
      <c r="A5855" s="186">
        <v>46301</v>
      </c>
      <c r="B5855" s="184">
        <v>7002906231</v>
      </c>
      <c r="C5855" s="184">
        <v>13</v>
      </c>
      <c r="D5855" s="184" t="s">
        <v>752</v>
      </c>
    </row>
    <row r="5856" spans="1:4" ht="12.5">
      <c r="A5856" s="186">
        <v>46301</v>
      </c>
      <c r="B5856" s="184">
        <v>7002906325</v>
      </c>
      <c r="C5856" s="184">
        <v>2</v>
      </c>
      <c r="D5856" s="184" t="s">
        <v>751</v>
      </c>
    </row>
    <row r="5857" spans="1:4" ht="12.5">
      <c r="A5857" s="186">
        <v>46301</v>
      </c>
      <c r="B5857" s="184">
        <v>7002907038</v>
      </c>
      <c r="C5857" s="184">
        <v>1</v>
      </c>
      <c r="D5857" s="184" t="s">
        <v>750</v>
      </c>
    </row>
    <row r="5858" spans="1:4" ht="12.5">
      <c r="A5858" s="186">
        <v>46301</v>
      </c>
      <c r="B5858" s="184">
        <v>7002907055</v>
      </c>
      <c r="C5858" s="184">
        <v>4</v>
      </c>
      <c r="D5858" s="184" t="s">
        <v>751</v>
      </c>
    </row>
    <row r="5859" spans="1:4" ht="12.5">
      <c r="A5859" s="186">
        <v>46301</v>
      </c>
      <c r="B5859" s="184">
        <v>7002907250</v>
      </c>
      <c r="C5859" s="184">
        <v>6</v>
      </c>
      <c r="D5859" s="184" t="s">
        <v>758</v>
      </c>
    </row>
    <row r="5860" spans="1:4" ht="12.5">
      <c r="A5860" s="186">
        <v>46301</v>
      </c>
      <c r="B5860" s="184">
        <v>7002907335</v>
      </c>
      <c r="C5860" s="184">
        <v>3</v>
      </c>
      <c r="D5860" s="184" t="s">
        <v>751</v>
      </c>
    </row>
    <row r="5861" spans="1:4" ht="12.5">
      <c r="A5861" s="186">
        <v>46301</v>
      </c>
      <c r="B5861" s="184">
        <v>7002907361</v>
      </c>
      <c r="C5861" s="184">
        <v>3</v>
      </c>
      <c r="D5861" s="184" t="s">
        <v>751</v>
      </c>
    </row>
    <row r="5862" spans="1:4" ht="12.5">
      <c r="A5862" s="186">
        <v>46301</v>
      </c>
      <c r="B5862" s="184">
        <v>7002907430</v>
      </c>
      <c r="C5862" s="184">
        <v>1</v>
      </c>
      <c r="D5862" s="184" t="s">
        <v>750</v>
      </c>
    </row>
    <row r="5863" spans="1:4" ht="12.5">
      <c r="A5863" s="186">
        <v>46301</v>
      </c>
      <c r="B5863" s="184">
        <v>7002907760</v>
      </c>
      <c r="C5863" s="184">
        <v>2</v>
      </c>
      <c r="D5863" s="184" t="s">
        <v>751</v>
      </c>
    </row>
    <row r="5864" spans="1:4" ht="12.5">
      <c r="A5864" s="186">
        <v>46301</v>
      </c>
      <c r="B5864" s="184">
        <v>7002908362</v>
      </c>
      <c r="C5864" s="184">
        <v>2</v>
      </c>
      <c r="D5864" s="184" t="s">
        <v>751</v>
      </c>
    </row>
    <row r="5865" spans="1:4" ht="12.5">
      <c r="A5865" s="186">
        <v>46301</v>
      </c>
      <c r="B5865" s="184">
        <v>7002908431</v>
      </c>
      <c r="C5865" s="184">
        <v>1</v>
      </c>
      <c r="D5865" s="184" t="s">
        <v>750</v>
      </c>
    </row>
    <row r="5866" spans="1:4" ht="12.5">
      <c r="A5866" s="186">
        <v>46301</v>
      </c>
      <c r="B5866" s="184">
        <v>7002909026</v>
      </c>
      <c r="C5866" s="184">
        <v>5</v>
      </c>
      <c r="D5866" s="184" t="s">
        <v>751</v>
      </c>
    </row>
    <row r="5867" spans="1:4" ht="12.5">
      <c r="A5867" s="186">
        <v>46301</v>
      </c>
      <c r="B5867" s="184">
        <v>7002909074</v>
      </c>
      <c r="C5867" s="184">
        <v>4</v>
      </c>
      <c r="D5867" s="184" t="s">
        <v>751</v>
      </c>
    </row>
    <row r="5868" spans="1:4" ht="12.5">
      <c r="A5868" s="186">
        <v>46301</v>
      </c>
      <c r="B5868" s="184">
        <v>7002909133</v>
      </c>
      <c r="C5868" s="184">
        <v>5</v>
      </c>
      <c r="D5868" s="184" t="s">
        <v>751</v>
      </c>
    </row>
    <row r="5869" spans="1:4" ht="12.5">
      <c r="A5869" s="186">
        <v>46301</v>
      </c>
      <c r="B5869" s="184">
        <v>7002909223</v>
      </c>
      <c r="C5869" s="184">
        <v>18</v>
      </c>
      <c r="D5869" s="184" t="s">
        <v>752</v>
      </c>
    </row>
    <row r="5870" spans="1:4" ht="12.5">
      <c r="A5870" s="186">
        <v>46301</v>
      </c>
      <c r="B5870" s="184">
        <v>7002909328</v>
      </c>
      <c r="C5870" s="184">
        <v>2</v>
      </c>
      <c r="D5870" s="184" t="s">
        <v>751</v>
      </c>
    </row>
    <row r="5871" spans="1:4" ht="12.5">
      <c r="A5871" s="186">
        <v>46301</v>
      </c>
      <c r="B5871" s="184">
        <v>7002909421</v>
      </c>
      <c r="C5871" s="184">
        <v>1</v>
      </c>
      <c r="D5871" s="184" t="s">
        <v>750</v>
      </c>
    </row>
    <row r="5872" spans="1:4" ht="12.5">
      <c r="A5872" s="186">
        <v>46301</v>
      </c>
      <c r="B5872" s="184">
        <v>7002909484</v>
      </c>
      <c r="C5872" s="184">
        <v>1</v>
      </c>
      <c r="D5872" s="184" t="s">
        <v>750</v>
      </c>
    </row>
    <row r="5873" spans="1:4" ht="12.5">
      <c r="A5873" s="186">
        <v>46301</v>
      </c>
      <c r="B5873" s="184">
        <v>7002911166</v>
      </c>
      <c r="C5873" s="184">
        <v>2</v>
      </c>
      <c r="D5873" s="184" t="s">
        <v>751</v>
      </c>
    </row>
    <row r="5874" spans="1:4" ht="12.5">
      <c r="A5874" s="186">
        <v>46301</v>
      </c>
      <c r="B5874" s="184">
        <v>7002911343</v>
      </c>
      <c r="C5874" s="184">
        <v>1</v>
      </c>
      <c r="D5874" s="184" t="s">
        <v>750</v>
      </c>
    </row>
    <row r="5875" spans="1:4" ht="12.5">
      <c r="A5875" s="186">
        <v>46301</v>
      </c>
      <c r="B5875" s="184">
        <v>7002913570</v>
      </c>
      <c r="C5875" s="184">
        <v>1</v>
      </c>
      <c r="D5875" s="184" t="s">
        <v>750</v>
      </c>
    </row>
    <row r="5876" spans="1:4" ht="12.5">
      <c r="A5876" s="186">
        <v>46301</v>
      </c>
      <c r="B5876" s="184">
        <v>7002913755</v>
      </c>
      <c r="C5876" s="184">
        <v>1</v>
      </c>
      <c r="D5876" s="184" t="s">
        <v>750</v>
      </c>
    </row>
    <row r="5877" spans="1:4" ht="12.5">
      <c r="A5877" s="186">
        <v>46301</v>
      </c>
      <c r="B5877" s="184">
        <v>7002913897</v>
      </c>
      <c r="C5877" s="184">
        <v>6</v>
      </c>
      <c r="D5877" s="184" t="s">
        <v>758</v>
      </c>
    </row>
    <row r="5878" spans="1:4" ht="12.5">
      <c r="A5878" s="186">
        <v>46301</v>
      </c>
      <c r="B5878" s="184">
        <v>7002914224</v>
      </c>
      <c r="C5878" s="184">
        <v>8</v>
      </c>
      <c r="D5878" s="184" t="s">
        <v>758</v>
      </c>
    </row>
    <row r="5879" spans="1:4" ht="12.5">
      <c r="A5879" s="186">
        <v>46301</v>
      </c>
      <c r="B5879" s="184">
        <v>7002914588</v>
      </c>
      <c r="C5879" s="184">
        <v>2</v>
      </c>
      <c r="D5879" s="184" t="s">
        <v>751</v>
      </c>
    </row>
    <row r="5880" spans="1:4" ht="12.5">
      <c r="A5880" s="186">
        <v>46301</v>
      </c>
      <c r="B5880" s="184">
        <v>7002914618</v>
      </c>
      <c r="C5880" s="184">
        <v>1</v>
      </c>
      <c r="D5880" s="184" t="s">
        <v>750</v>
      </c>
    </row>
    <row r="5881" spans="1:4" ht="12.5">
      <c r="A5881" s="186">
        <v>46301</v>
      </c>
      <c r="B5881" s="184">
        <v>7002915512</v>
      </c>
      <c r="C5881" s="184">
        <v>4</v>
      </c>
      <c r="D5881" s="184" t="s">
        <v>751</v>
      </c>
    </row>
    <row r="5882" spans="1:4" ht="12.5">
      <c r="A5882" s="186">
        <v>46301</v>
      </c>
      <c r="B5882" s="184">
        <v>7002915520</v>
      </c>
      <c r="C5882" s="184">
        <v>10</v>
      </c>
      <c r="D5882" s="184" t="s">
        <v>758</v>
      </c>
    </row>
    <row r="5883" spans="1:4" ht="12.5">
      <c r="A5883" s="186">
        <v>46301</v>
      </c>
      <c r="B5883" s="184">
        <v>7002916138</v>
      </c>
      <c r="C5883" s="184">
        <v>1</v>
      </c>
      <c r="D5883" s="184" t="s">
        <v>750</v>
      </c>
    </row>
    <row r="5884" spans="1:4" ht="12.5">
      <c r="A5884" s="186">
        <v>46301</v>
      </c>
      <c r="B5884" s="184">
        <v>7002917376</v>
      </c>
      <c r="C5884" s="184">
        <v>1</v>
      </c>
      <c r="D5884" s="184" t="s">
        <v>750</v>
      </c>
    </row>
    <row r="5885" spans="1:4" ht="12.5">
      <c r="A5885" s="186">
        <v>46301</v>
      </c>
      <c r="B5885" s="184">
        <v>7002917606</v>
      </c>
      <c r="C5885" s="184">
        <v>2</v>
      </c>
      <c r="D5885" s="184" t="s">
        <v>751</v>
      </c>
    </row>
    <row r="5886" spans="1:4" ht="12.5">
      <c r="A5886" s="186">
        <v>46301</v>
      </c>
      <c r="B5886" s="184">
        <v>7002919705</v>
      </c>
      <c r="C5886" s="184">
        <v>1</v>
      </c>
      <c r="D5886" s="184" t="s">
        <v>750</v>
      </c>
    </row>
    <row r="5887" spans="1:4" ht="12.5">
      <c r="A5887" s="186">
        <v>46301</v>
      </c>
      <c r="B5887" s="184">
        <v>7002920193</v>
      </c>
      <c r="C5887" s="184">
        <v>2</v>
      </c>
      <c r="D5887" s="184" t="s">
        <v>751</v>
      </c>
    </row>
    <row r="5888" spans="1:4" ht="12.5">
      <c r="A5888" s="186">
        <v>46301</v>
      </c>
      <c r="B5888" s="184">
        <v>7002920228</v>
      </c>
      <c r="C5888" s="184">
        <v>13</v>
      </c>
      <c r="D5888" s="184" t="s">
        <v>752</v>
      </c>
    </row>
    <row r="5889" spans="1:4" ht="12.5">
      <c r="A5889" s="186">
        <v>46301</v>
      </c>
      <c r="B5889" s="184">
        <v>7002920368</v>
      </c>
      <c r="C5889" s="184">
        <v>6</v>
      </c>
      <c r="D5889" s="184" t="s">
        <v>758</v>
      </c>
    </row>
    <row r="5890" spans="1:4" ht="12.5">
      <c r="A5890" s="186">
        <v>46301</v>
      </c>
      <c r="B5890" s="184">
        <v>7002920375</v>
      </c>
      <c r="C5890" s="184">
        <v>156</v>
      </c>
      <c r="D5890" s="184" t="s">
        <v>752</v>
      </c>
    </row>
    <row r="5891" spans="1:4" ht="12.5">
      <c r="A5891" s="186">
        <v>46301</v>
      </c>
      <c r="B5891" s="184">
        <v>7002920402</v>
      </c>
      <c r="C5891" s="184">
        <v>7</v>
      </c>
      <c r="D5891" s="184" t="s">
        <v>758</v>
      </c>
    </row>
    <row r="5892" spans="1:4" ht="12.5">
      <c r="A5892" s="186">
        <v>46301</v>
      </c>
      <c r="B5892" s="184">
        <v>7002921159</v>
      </c>
      <c r="C5892" s="184">
        <v>1</v>
      </c>
      <c r="D5892" s="184" t="s">
        <v>750</v>
      </c>
    </row>
    <row r="5893" spans="1:4" ht="12.5">
      <c r="A5893" s="186">
        <v>46301</v>
      </c>
      <c r="B5893" s="184">
        <v>7002921243</v>
      </c>
      <c r="C5893" s="184">
        <v>11</v>
      </c>
      <c r="D5893" s="184" t="s">
        <v>752</v>
      </c>
    </row>
    <row r="5894" spans="1:4" ht="12.5">
      <c r="A5894" s="186">
        <v>46301</v>
      </c>
      <c r="B5894" s="184">
        <v>7002921367</v>
      </c>
      <c r="C5894" s="184">
        <v>25</v>
      </c>
      <c r="D5894" s="184" t="s">
        <v>752</v>
      </c>
    </row>
    <row r="5895" spans="1:4" ht="12.5">
      <c r="A5895" s="186">
        <v>46301</v>
      </c>
      <c r="B5895" s="184">
        <v>7002921398</v>
      </c>
      <c r="C5895" s="184">
        <v>57</v>
      </c>
      <c r="D5895" s="184" t="s">
        <v>752</v>
      </c>
    </row>
    <row r="5896" spans="1:4" ht="12.5">
      <c r="A5896" s="186">
        <v>46301</v>
      </c>
      <c r="B5896" s="184">
        <v>7002921401</v>
      </c>
      <c r="C5896" s="184">
        <v>24</v>
      </c>
      <c r="D5896" s="184" t="s">
        <v>752</v>
      </c>
    </row>
    <row r="5897" spans="1:4" ht="12.5">
      <c r="A5897" s="186">
        <v>46301</v>
      </c>
      <c r="B5897" s="184">
        <v>7002921464</v>
      </c>
      <c r="C5897" s="184">
        <v>1</v>
      </c>
      <c r="D5897" s="184" t="s">
        <v>750</v>
      </c>
    </row>
    <row r="5898" spans="1:4" ht="12.5">
      <c r="A5898" s="186">
        <v>46301</v>
      </c>
      <c r="B5898" s="184">
        <v>7002922034</v>
      </c>
      <c r="C5898" s="184">
        <v>1</v>
      </c>
      <c r="D5898" s="184" t="s">
        <v>750</v>
      </c>
    </row>
    <row r="5899" spans="1:4" ht="12.5">
      <c r="A5899" s="186">
        <v>46301</v>
      </c>
      <c r="B5899" s="184">
        <v>7002922219</v>
      </c>
      <c r="C5899" s="184">
        <v>4</v>
      </c>
      <c r="D5899" s="184" t="s">
        <v>751</v>
      </c>
    </row>
    <row r="5900" spans="1:4" ht="12.5">
      <c r="A5900" s="186">
        <v>46301</v>
      </c>
      <c r="B5900" s="184">
        <v>7002922242</v>
      </c>
      <c r="C5900" s="184">
        <v>4</v>
      </c>
      <c r="D5900" s="184" t="s">
        <v>751</v>
      </c>
    </row>
    <row r="5901" spans="1:4" ht="12.5">
      <c r="A5901" s="186">
        <v>46301</v>
      </c>
      <c r="B5901" s="184">
        <v>7002922257</v>
      </c>
      <c r="C5901" s="184">
        <v>1</v>
      </c>
      <c r="D5901" s="184" t="s">
        <v>750</v>
      </c>
    </row>
    <row r="5902" spans="1:4" ht="12.5">
      <c r="A5902" s="186">
        <v>46301</v>
      </c>
      <c r="B5902" s="184">
        <v>7002922274</v>
      </c>
      <c r="C5902" s="184">
        <v>40</v>
      </c>
      <c r="D5902" s="184" t="s">
        <v>752</v>
      </c>
    </row>
    <row r="5903" spans="1:4" ht="12.5">
      <c r="A5903" s="186">
        <v>46301</v>
      </c>
      <c r="B5903" s="184">
        <v>7002922288</v>
      </c>
      <c r="C5903" s="184">
        <v>14</v>
      </c>
      <c r="D5903" s="184" t="s">
        <v>752</v>
      </c>
    </row>
    <row r="5904" spans="1:4" ht="12.5">
      <c r="A5904" s="186">
        <v>46301</v>
      </c>
      <c r="B5904" s="184">
        <v>7002922313</v>
      </c>
      <c r="C5904" s="184">
        <v>2</v>
      </c>
      <c r="D5904" s="184" t="s">
        <v>751</v>
      </c>
    </row>
    <row r="5905" spans="1:4" ht="12.5">
      <c r="A5905" s="186">
        <v>46301</v>
      </c>
      <c r="B5905" s="184">
        <v>7002922397</v>
      </c>
      <c r="C5905" s="184">
        <v>24</v>
      </c>
      <c r="D5905" s="184" t="s">
        <v>752</v>
      </c>
    </row>
    <row r="5906" spans="1:4" ht="12.5">
      <c r="A5906" s="186">
        <v>46301</v>
      </c>
      <c r="B5906" s="184">
        <v>7002922416</v>
      </c>
      <c r="C5906" s="184">
        <v>6</v>
      </c>
      <c r="D5906" s="184" t="s">
        <v>758</v>
      </c>
    </row>
    <row r="5907" spans="1:4" ht="12.5">
      <c r="A5907" s="186">
        <v>46301</v>
      </c>
      <c r="B5907" s="184">
        <v>7002922428</v>
      </c>
      <c r="C5907" s="184">
        <v>8</v>
      </c>
      <c r="D5907" s="184" t="s">
        <v>758</v>
      </c>
    </row>
    <row r="5908" spans="1:4" ht="12.5">
      <c r="A5908" s="186">
        <v>46301</v>
      </c>
      <c r="B5908" s="184">
        <v>7002922437</v>
      </c>
      <c r="C5908" s="184">
        <v>109</v>
      </c>
      <c r="D5908" s="184" t="s">
        <v>752</v>
      </c>
    </row>
    <row r="5909" spans="1:4" ht="12.5">
      <c r="A5909" s="186">
        <v>46301</v>
      </c>
      <c r="B5909" s="184">
        <v>7002922972</v>
      </c>
      <c r="C5909" s="184">
        <v>1</v>
      </c>
      <c r="D5909" s="184" t="s">
        <v>750</v>
      </c>
    </row>
    <row r="5910" spans="1:4" ht="12.5">
      <c r="A5910" s="186">
        <v>46301</v>
      </c>
      <c r="B5910" s="184">
        <v>7002923225</v>
      </c>
      <c r="C5910" s="184">
        <v>5</v>
      </c>
      <c r="D5910" s="184" t="s">
        <v>751</v>
      </c>
    </row>
    <row r="5911" spans="1:4" ht="12.5">
      <c r="A5911" s="186">
        <v>46301</v>
      </c>
      <c r="B5911" s="184">
        <v>7002923239</v>
      </c>
      <c r="C5911" s="184">
        <v>108</v>
      </c>
      <c r="D5911" s="184" t="s">
        <v>752</v>
      </c>
    </row>
    <row r="5912" spans="1:4" ht="12.5">
      <c r="A5912" s="186">
        <v>46301</v>
      </c>
      <c r="B5912" s="184">
        <v>7002923312</v>
      </c>
      <c r="C5912" s="184">
        <v>12</v>
      </c>
      <c r="D5912" s="184" t="s">
        <v>752</v>
      </c>
    </row>
    <row r="5913" spans="1:4" ht="12.5">
      <c r="A5913" s="186">
        <v>46301</v>
      </c>
      <c r="B5913" s="184">
        <v>7002923365</v>
      </c>
      <c r="C5913" s="184">
        <v>1</v>
      </c>
      <c r="D5913" s="184" t="s">
        <v>750</v>
      </c>
    </row>
    <row r="5914" spans="1:4" ht="12.5">
      <c r="A5914" s="186">
        <v>46301</v>
      </c>
      <c r="B5914" s="184">
        <v>7002923427</v>
      </c>
      <c r="C5914" s="184">
        <v>1</v>
      </c>
      <c r="D5914" s="184" t="s">
        <v>750</v>
      </c>
    </row>
    <row r="5915" spans="1:4" ht="12.5">
      <c r="A5915" s="186">
        <v>46301</v>
      </c>
      <c r="B5915" s="184">
        <v>7002923443</v>
      </c>
      <c r="C5915" s="184">
        <v>3</v>
      </c>
      <c r="D5915" s="184" t="s">
        <v>751</v>
      </c>
    </row>
    <row r="5916" spans="1:4" ht="12.5">
      <c r="A5916" s="186">
        <v>46301</v>
      </c>
      <c r="B5916" s="184">
        <v>7002924009</v>
      </c>
      <c r="C5916" s="184">
        <v>4</v>
      </c>
      <c r="D5916" s="184" t="s">
        <v>751</v>
      </c>
    </row>
    <row r="5917" spans="1:4" ht="12.5">
      <c r="A5917" s="186">
        <v>46301</v>
      </c>
      <c r="B5917" s="184">
        <v>7002924229</v>
      </c>
      <c r="C5917" s="184">
        <v>13</v>
      </c>
      <c r="D5917" s="184" t="s">
        <v>752</v>
      </c>
    </row>
    <row r="5918" spans="1:4" ht="12.5">
      <c r="A5918" s="186">
        <v>46301</v>
      </c>
      <c r="B5918" s="184">
        <v>7002924240</v>
      </c>
      <c r="C5918" s="184">
        <v>5</v>
      </c>
      <c r="D5918" s="184" t="s">
        <v>751</v>
      </c>
    </row>
    <row r="5919" spans="1:4" ht="12.5">
      <c r="A5919" s="186">
        <v>46301</v>
      </c>
      <c r="B5919" s="184">
        <v>7002924255</v>
      </c>
      <c r="C5919" s="184">
        <v>1</v>
      </c>
      <c r="D5919" s="184" t="s">
        <v>750</v>
      </c>
    </row>
    <row r="5920" spans="1:4" ht="12.5">
      <c r="A5920" s="186">
        <v>46301</v>
      </c>
      <c r="B5920" s="184">
        <v>7002924426</v>
      </c>
      <c r="C5920" s="184">
        <v>65</v>
      </c>
      <c r="D5920" s="184" t="s">
        <v>752</v>
      </c>
    </row>
    <row r="5921" spans="1:4" ht="12.5">
      <c r="A5921" s="186">
        <v>46301</v>
      </c>
      <c r="B5921" s="184">
        <v>7002924435</v>
      </c>
      <c r="C5921" s="184">
        <v>3</v>
      </c>
      <c r="D5921" s="184" t="s">
        <v>751</v>
      </c>
    </row>
    <row r="5922" spans="1:4" ht="12.5">
      <c r="A5922" s="186">
        <v>46301</v>
      </c>
      <c r="B5922" s="184">
        <v>7002925145</v>
      </c>
      <c r="C5922" s="184">
        <v>1</v>
      </c>
      <c r="D5922" s="184" t="s">
        <v>750</v>
      </c>
    </row>
    <row r="5923" spans="1:4" ht="12.5">
      <c r="A5923" s="186">
        <v>46301</v>
      </c>
      <c r="B5923" s="184">
        <v>7002925246</v>
      </c>
      <c r="C5923" s="184">
        <v>1</v>
      </c>
      <c r="D5923" s="184" t="s">
        <v>750</v>
      </c>
    </row>
    <row r="5924" spans="1:4" ht="12.5">
      <c r="A5924" s="186">
        <v>46301</v>
      </c>
      <c r="B5924" s="184">
        <v>7002925251</v>
      </c>
      <c r="C5924" s="184">
        <v>4</v>
      </c>
      <c r="D5924" s="184" t="s">
        <v>751</v>
      </c>
    </row>
    <row r="5925" spans="1:4" ht="12.5">
      <c r="A5925" s="186">
        <v>46301</v>
      </c>
      <c r="B5925" s="184">
        <v>7002925408</v>
      </c>
      <c r="C5925" s="184">
        <v>1</v>
      </c>
      <c r="D5925" s="184" t="s">
        <v>750</v>
      </c>
    </row>
    <row r="5926" spans="1:4" ht="12.5">
      <c r="A5926" s="186">
        <v>46301</v>
      </c>
      <c r="B5926" s="184">
        <v>7002925810</v>
      </c>
      <c r="C5926" s="184">
        <v>2</v>
      </c>
      <c r="D5926" s="184" t="s">
        <v>751</v>
      </c>
    </row>
    <row r="5927" spans="1:4" ht="12.5">
      <c r="A5927" s="186">
        <v>46301</v>
      </c>
      <c r="B5927" s="184">
        <v>7002926234</v>
      </c>
      <c r="C5927" s="184">
        <v>4</v>
      </c>
      <c r="D5927" s="184" t="s">
        <v>751</v>
      </c>
    </row>
    <row r="5928" spans="1:4" ht="12.5">
      <c r="A5928" s="186">
        <v>46301</v>
      </c>
      <c r="B5928" s="184">
        <v>7002926247</v>
      </c>
      <c r="C5928" s="184">
        <v>1</v>
      </c>
      <c r="D5928" s="184" t="s">
        <v>750</v>
      </c>
    </row>
    <row r="5929" spans="1:4" ht="12.5">
      <c r="A5929" s="186">
        <v>46301</v>
      </c>
      <c r="B5929" s="184">
        <v>7002926385</v>
      </c>
      <c r="C5929" s="184">
        <v>1</v>
      </c>
      <c r="D5929" s="184" t="s">
        <v>750</v>
      </c>
    </row>
    <row r="5930" spans="1:4" ht="12.5">
      <c r="A5930" s="186">
        <v>46301</v>
      </c>
      <c r="B5930" s="184">
        <v>7002926655</v>
      </c>
      <c r="C5930" s="184">
        <v>1</v>
      </c>
      <c r="D5930" s="184" t="s">
        <v>750</v>
      </c>
    </row>
    <row r="5931" spans="1:4" ht="12.5">
      <c r="A5931" s="186">
        <v>46301</v>
      </c>
      <c r="B5931" s="184">
        <v>7002927207</v>
      </c>
      <c r="C5931" s="184">
        <v>10</v>
      </c>
      <c r="D5931" s="184" t="s">
        <v>758</v>
      </c>
    </row>
    <row r="5932" spans="1:4" ht="12.5">
      <c r="A5932" s="186">
        <v>46301</v>
      </c>
      <c r="B5932" s="184">
        <v>7002927276</v>
      </c>
      <c r="C5932" s="184">
        <v>11</v>
      </c>
      <c r="D5932" s="184" t="s">
        <v>752</v>
      </c>
    </row>
    <row r="5933" spans="1:4" ht="12.5">
      <c r="A5933" s="186">
        <v>46301</v>
      </c>
      <c r="B5933" s="184">
        <v>7002927301</v>
      </c>
      <c r="C5933" s="184">
        <v>75</v>
      </c>
      <c r="D5933" s="184" t="s">
        <v>752</v>
      </c>
    </row>
    <row r="5934" spans="1:4" ht="12.5">
      <c r="A5934" s="186">
        <v>46301</v>
      </c>
      <c r="B5934" s="184">
        <v>7002927372</v>
      </c>
      <c r="C5934" s="184">
        <v>36</v>
      </c>
      <c r="D5934" s="184" t="s">
        <v>752</v>
      </c>
    </row>
    <row r="5935" spans="1:4" ht="12.5">
      <c r="A5935" s="186">
        <v>46301</v>
      </c>
      <c r="B5935" s="184">
        <v>7002927405</v>
      </c>
      <c r="C5935" s="184">
        <v>24</v>
      </c>
      <c r="D5935" s="184" t="s">
        <v>752</v>
      </c>
    </row>
    <row r="5936" spans="1:4" ht="12.5">
      <c r="A5936" s="186">
        <v>46301</v>
      </c>
      <c r="B5936" s="184">
        <v>7002927479</v>
      </c>
      <c r="C5936" s="184">
        <v>47</v>
      </c>
      <c r="D5936" s="184" t="s">
        <v>752</v>
      </c>
    </row>
    <row r="5937" spans="1:4" ht="12.5">
      <c r="A5937" s="186">
        <v>46301</v>
      </c>
      <c r="B5937" s="184">
        <v>7002928212</v>
      </c>
      <c r="C5937" s="184">
        <v>3</v>
      </c>
      <c r="D5937" s="184" t="s">
        <v>751</v>
      </c>
    </row>
    <row r="5938" spans="1:4" ht="12.5">
      <c r="A5938" s="186">
        <v>46301</v>
      </c>
      <c r="B5938" s="184">
        <v>7002928277</v>
      </c>
      <c r="C5938" s="184">
        <v>1</v>
      </c>
      <c r="D5938" s="184" t="s">
        <v>750</v>
      </c>
    </row>
    <row r="5939" spans="1:4" ht="12.5">
      <c r="A5939" s="186">
        <v>46301</v>
      </c>
      <c r="B5939" s="184">
        <v>7002928302</v>
      </c>
      <c r="C5939" s="184">
        <v>48</v>
      </c>
      <c r="D5939" s="184" t="s">
        <v>752</v>
      </c>
    </row>
    <row r="5940" spans="1:4" ht="12.5">
      <c r="A5940" s="186">
        <v>46301</v>
      </c>
      <c r="B5940" s="184">
        <v>7002928373</v>
      </c>
      <c r="C5940" s="184">
        <v>1</v>
      </c>
      <c r="D5940" s="184" t="s">
        <v>750</v>
      </c>
    </row>
    <row r="5941" spans="1:4" ht="12.5">
      <c r="A5941" s="186">
        <v>46301</v>
      </c>
      <c r="B5941" s="184">
        <v>7002928447</v>
      </c>
      <c r="C5941" s="184">
        <v>6</v>
      </c>
      <c r="D5941" s="184" t="s">
        <v>758</v>
      </c>
    </row>
    <row r="5942" spans="1:4" ht="12.5">
      <c r="A5942" s="186">
        <v>46301</v>
      </c>
      <c r="B5942" s="184">
        <v>7002928452</v>
      </c>
      <c r="C5942" s="184">
        <v>5</v>
      </c>
      <c r="D5942" s="184" t="s">
        <v>751</v>
      </c>
    </row>
    <row r="5943" spans="1:4" ht="12.5">
      <c r="A5943" s="186">
        <v>46301</v>
      </c>
      <c r="B5943" s="184">
        <v>7002929335</v>
      </c>
      <c r="C5943" s="184">
        <v>1</v>
      </c>
      <c r="D5943" s="184" t="s">
        <v>750</v>
      </c>
    </row>
    <row r="5944" spans="1:4" ht="12.5">
      <c r="A5944" s="186">
        <v>46301</v>
      </c>
      <c r="B5944" s="184">
        <v>7002929374</v>
      </c>
      <c r="C5944" s="184">
        <v>131</v>
      </c>
      <c r="D5944" s="184" t="s">
        <v>752</v>
      </c>
    </row>
    <row r="5945" spans="1:4" ht="12.5">
      <c r="A5945" s="186">
        <v>46301</v>
      </c>
      <c r="B5945" s="184">
        <v>7002929388</v>
      </c>
      <c r="C5945" s="184">
        <v>1</v>
      </c>
      <c r="D5945" s="184" t="s">
        <v>750</v>
      </c>
    </row>
    <row r="5946" spans="1:4" ht="12.5">
      <c r="A5946" s="186">
        <v>46301</v>
      </c>
      <c r="B5946" s="184">
        <v>7002929430</v>
      </c>
      <c r="C5946" s="184">
        <v>8</v>
      </c>
      <c r="D5946" s="184" t="s">
        <v>758</v>
      </c>
    </row>
    <row r="5947" spans="1:4" ht="12.5">
      <c r="A5947" s="186">
        <v>46301</v>
      </c>
      <c r="B5947" s="184">
        <v>7002929643</v>
      </c>
      <c r="C5947" s="184">
        <v>28</v>
      </c>
      <c r="D5947" s="184" t="s">
        <v>752</v>
      </c>
    </row>
    <row r="5948" spans="1:4" ht="12.5">
      <c r="A5948" s="186">
        <v>46301</v>
      </c>
      <c r="B5948" s="184">
        <v>7002930317</v>
      </c>
      <c r="C5948" s="184">
        <v>2</v>
      </c>
      <c r="D5948" s="184" t="s">
        <v>751</v>
      </c>
    </row>
    <row r="5949" spans="1:4" ht="12.5">
      <c r="A5949" s="186">
        <v>46301</v>
      </c>
      <c r="B5949" s="184">
        <v>7002933662</v>
      </c>
      <c r="C5949" s="184">
        <v>1</v>
      </c>
      <c r="D5949" s="184" t="s">
        <v>750</v>
      </c>
    </row>
    <row r="5950" spans="1:4" ht="12.5">
      <c r="A5950" s="186">
        <v>46301</v>
      </c>
      <c r="B5950" s="184">
        <v>7002934037</v>
      </c>
      <c r="C5950" s="184">
        <v>1</v>
      </c>
      <c r="D5950" s="184" t="s">
        <v>750</v>
      </c>
    </row>
    <row r="5951" spans="1:4" ht="12.5">
      <c r="A5951" s="186">
        <v>46301</v>
      </c>
      <c r="B5951" s="184">
        <v>7002935444</v>
      </c>
      <c r="C5951" s="184">
        <v>2</v>
      </c>
      <c r="D5951" s="184" t="s">
        <v>751</v>
      </c>
    </row>
    <row r="5952" spans="1:4" ht="12.5">
      <c r="A5952" s="186">
        <v>46301</v>
      </c>
      <c r="B5952" s="184">
        <v>7002936874</v>
      </c>
      <c r="C5952" s="184">
        <v>33</v>
      </c>
      <c r="D5952" s="184" t="s">
        <v>752</v>
      </c>
    </row>
    <row r="5953" spans="1:4" ht="12.5">
      <c r="A5953" s="186">
        <v>46301</v>
      </c>
      <c r="B5953" s="184">
        <v>7002939067</v>
      </c>
      <c r="C5953" s="184">
        <v>1</v>
      </c>
      <c r="D5953" s="184" t="s">
        <v>750</v>
      </c>
    </row>
    <row r="5954" spans="1:4" ht="12.5">
      <c r="A5954" s="191"/>
      <c r="B5954" s="192"/>
      <c r="C5954" s="192"/>
      <c r="D5954" s="192"/>
    </row>
    <row r="5955" spans="1:4" ht="12.5">
      <c r="A5955" s="186">
        <v>46332</v>
      </c>
      <c r="B5955" s="184">
        <v>7001727096</v>
      </c>
      <c r="C5955" s="184">
        <v>2</v>
      </c>
      <c r="D5955" s="184" t="s">
        <v>751</v>
      </c>
    </row>
    <row r="5956" spans="1:4" ht="12.5">
      <c r="A5956" s="186">
        <v>46332</v>
      </c>
      <c r="B5956" s="184">
        <v>7002633475</v>
      </c>
      <c r="C5956" s="184">
        <v>4</v>
      </c>
      <c r="D5956" s="184" t="s">
        <v>751</v>
      </c>
    </row>
    <row r="5957" spans="1:4" ht="12.5">
      <c r="A5957" s="186">
        <v>46332</v>
      </c>
      <c r="B5957" s="184">
        <v>7002636782</v>
      </c>
      <c r="C5957" s="184">
        <v>5</v>
      </c>
      <c r="D5957" s="184" t="s">
        <v>751</v>
      </c>
    </row>
    <row r="5958" spans="1:4" ht="12.5">
      <c r="A5958" s="186">
        <v>46332</v>
      </c>
      <c r="B5958" s="184">
        <v>7002640661</v>
      </c>
      <c r="C5958" s="184">
        <v>13</v>
      </c>
      <c r="D5958" s="184" t="s">
        <v>752</v>
      </c>
    </row>
    <row r="5959" spans="1:4" ht="12.5">
      <c r="A5959" s="186">
        <v>46332</v>
      </c>
      <c r="B5959" s="184">
        <v>7002724648</v>
      </c>
      <c r="C5959" s="184">
        <v>2</v>
      </c>
      <c r="D5959" s="184" t="s">
        <v>751</v>
      </c>
    </row>
    <row r="5960" spans="1:4" ht="12.5">
      <c r="A5960" s="186">
        <v>46332</v>
      </c>
      <c r="B5960" s="184">
        <v>7002731618</v>
      </c>
      <c r="C5960" s="184">
        <v>43</v>
      </c>
      <c r="D5960" s="184" t="s">
        <v>752</v>
      </c>
    </row>
    <row r="5961" spans="1:4" ht="12.5">
      <c r="A5961" s="186">
        <v>46332</v>
      </c>
      <c r="B5961" s="184">
        <v>7002767505</v>
      </c>
      <c r="C5961" s="184">
        <v>3</v>
      </c>
      <c r="D5961" s="184" t="s">
        <v>751</v>
      </c>
    </row>
    <row r="5962" spans="1:4" ht="12.5">
      <c r="A5962" s="186">
        <v>46332</v>
      </c>
      <c r="B5962" s="184">
        <v>7002780898</v>
      </c>
      <c r="C5962" s="184">
        <v>2</v>
      </c>
      <c r="D5962" s="184" t="s">
        <v>751</v>
      </c>
    </row>
    <row r="5963" spans="1:4" ht="12.5">
      <c r="A5963" s="186">
        <v>46332</v>
      </c>
      <c r="B5963" s="184">
        <v>7002781212</v>
      </c>
      <c r="C5963" s="184">
        <v>4</v>
      </c>
      <c r="D5963" s="184" t="s">
        <v>751</v>
      </c>
    </row>
    <row r="5964" spans="1:4" ht="12.5">
      <c r="A5964" s="186">
        <v>46332</v>
      </c>
      <c r="B5964" s="184">
        <v>7002781325</v>
      </c>
      <c r="C5964" s="184">
        <v>4</v>
      </c>
      <c r="D5964" s="184" t="s">
        <v>751</v>
      </c>
    </row>
    <row r="5965" spans="1:4" ht="12.5">
      <c r="A5965" s="186">
        <v>46332</v>
      </c>
      <c r="B5965" s="184">
        <v>7002786893</v>
      </c>
      <c r="C5965" s="184">
        <v>5</v>
      </c>
      <c r="D5965" s="184" t="s">
        <v>751</v>
      </c>
    </row>
    <row r="5966" spans="1:4" ht="12.5">
      <c r="A5966" s="186">
        <v>46332</v>
      </c>
      <c r="B5966" s="184">
        <v>7002791731</v>
      </c>
      <c r="C5966" s="184">
        <v>4</v>
      </c>
      <c r="D5966" s="184" t="s">
        <v>751</v>
      </c>
    </row>
    <row r="5967" spans="1:4" ht="12.5">
      <c r="A5967" s="186">
        <v>46332</v>
      </c>
      <c r="B5967" s="184">
        <v>7002792782</v>
      </c>
      <c r="C5967" s="184">
        <v>6</v>
      </c>
      <c r="D5967" s="184" t="s">
        <v>758</v>
      </c>
    </row>
    <row r="5968" spans="1:4" ht="12.5">
      <c r="A5968" s="186">
        <v>46332</v>
      </c>
      <c r="B5968" s="184">
        <v>7002801106</v>
      </c>
      <c r="C5968" s="184">
        <v>7</v>
      </c>
      <c r="D5968" s="184" t="s">
        <v>758</v>
      </c>
    </row>
    <row r="5969" spans="1:4" ht="12.5">
      <c r="A5969" s="186">
        <v>46332</v>
      </c>
      <c r="B5969" s="184">
        <v>7002801574</v>
      </c>
      <c r="C5969" s="184">
        <v>1</v>
      </c>
      <c r="D5969" s="184" t="s">
        <v>750</v>
      </c>
    </row>
    <row r="5970" spans="1:4" ht="12.5">
      <c r="A5970" s="186">
        <v>46332</v>
      </c>
      <c r="B5970" s="184">
        <v>7002815995</v>
      </c>
      <c r="C5970" s="184">
        <v>50</v>
      </c>
      <c r="D5970" s="184" t="s">
        <v>752</v>
      </c>
    </row>
    <row r="5971" spans="1:4" ht="12.5">
      <c r="A5971" s="186">
        <v>46332</v>
      </c>
      <c r="B5971" s="184">
        <v>7002821496</v>
      </c>
      <c r="C5971" s="184">
        <v>6</v>
      </c>
      <c r="D5971" s="184" t="s">
        <v>758</v>
      </c>
    </row>
    <row r="5972" spans="1:4" ht="12.5">
      <c r="A5972" s="186">
        <v>46332</v>
      </c>
      <c r="B5972" s="184">
        <v>7002821982</v>
      </c>
      <c r="C5972" s="184">
        <v>2</v>
      </c>
      <c r="D5972" s="184" t="s">
        <v>751</v>
      </c>
    </row>
    <row r="5973" spans="1:4" ht="12.5">
      <c r="A5973" s="186">
        <v>46332</v>
      </c>
      <c r="B5973" s="184">
        <v>7002823764</v>
      </c>
      <c r="C5973" s="184">
        <v>5</v>
      </c>
      <c r="D5973" s="184" t="s">
        <v>751</v>
      </c>
    </row>
    <row r="5974" spans="1:4" ht="12.5">
      <c r="A5974" s="186">
        <v>46332</v>
      </c>
      <c r="B5974" s="184">
        <v>7002824355</v>
      </c>
      <c r="C5974" s="184">
        <v>12</v>
      </c>
      <c r="D5974" s="184" t="s">
        <v>752</v>
      </c>
    </row>
    <row r="5975" spans="1:4" ht="12.5">
      <c r="A5975" s="186">
        <v>46332</v>
      </c>
      <c r="B5975" s="184">
        <v>7002834827</v>
      </c>
      <c r="C5975" s="184">
        <v>2</v>
      </c>
      <c r="D5975" s="184" t="s">
        <v>751</v>
      </c>
    </row>
    <row r="5976" spans="1:4" ht="12.5">
      <c r="A5976" s="186">
        <v>46332</v>
      </c>
      <c r="B5976" s="184">
        <v>7002835090</v>
      </c>
      <c r="C5976" s="184">
        <v>5</v>
      </c>
      <c r="D5976" s="184" t="s">
        <v>751</v>
      </c>
    </row>
    <row r="5977" spans="1:4" ht="12.5">
      <c r="A5977" s="186">
        <v>46332</v>
      </c>
      <c r="B5977" s="184">
        <v>7002839868</v>
      </c>
      <c r="C5977" s="184">
        <v>3</v>
      </c>
      <c r="D5977" s="184" t="s">
        <v>751</v>
      </c>
    </row>
    <row r="5978" spans="1:4" ht="12.5">
      <c r="A5978" s="186">
        <v>46332</v>
      </c>
      <c r="B5978" s="184">
        <v>7002841324</v>
      </c>
      <c r="C5978" s="184">
        <v>1</v>
      </c>
      <c r="D5978" s="184" t="s">
        <v>750</v>
      </c>
    </row>
    <row r="5979" spans="1:4" ht="12.5">
      <c r="A5979" s="186">
        <v>46332</v>
      </c>
      <c r="B5979" s="184">
        <v>7002842776</v>
      </c>
      <c r="C5979" s="184">
        <v>26</v>
      </c>
      <c r="D5979" s="184" t="s">
        <v>752</v>
      </c>
    </row>
    <row r="5980" spans="1:4" ht="12.5">
      <c r="A5980" s="186">
        <v>46332</v>
      </c>
      <c r="B5980" s="184">
        <v>7002846303</v>
      </c>
      <c r="C5980" s="184">
        <v>1</v>
      </c>
      <c r="D5980" s="184" t="s">
        <v>750</v>
      </c>
    </row>
    <row r="5981" spans="1:4" ht="12.5">
      <c r="A5981" s="186">
        <v>46332</v>
      </c>
      <c r="B5981" s="184">
        <v>7002851151</v>
      </c>
      <c r="C5981" s="184">
        <v>2</v>
      </c>
      <c r="D5981" s="184" t="s">
        <v>751</v>
      </c>
    </row>
    <row r="5982" spans="1:4" ht="12.5">
      <c r="A5982" s="186">
        <v>46332</v>
      </c>
      <c r="B5982" s="184">
        <v>7002852692</v>
      </c>
      <c r="C5982" s="184">
        <v>6</v>
      </c>
      <c r="D5982" s="184" t="s">
        <v>758</v>
      </c>
    </row>
    <row r="5983" spans="1:4" ht="12.5">
      <c r="A5983" s="186">
        <v>46332</v>
      </c>
      <c r="B5983" s="184">
        <v>7002855321</v>
      </c>
      <c r="C5983" s="184">
        <v>4</v>
      </c>
      <c r="D5983" s="184" t="s">
        <v>751</v>
      </c>
    </row>
    <row r="5984" spans="1:4" ht="12.5">
      <c r="A5984" s="186">
        <v>46332</v>
      </c>
      <c r="B5984" s="184">
        <v>7002870055</v>
      </c>
      <c r="C5984" s="184">
        <v>10</v>
      </c>
      <c r="D5984" s="184" t="s">
        <v>758</v>
      </c>
    </row>
    <row r="5985" spans="1:4" ht="12.5">
      <c r="A5985" s="186">
        <v>46332</v>
      </c>
      <c r="B5985" s="184">
        <v>7002870183</v>
      </c>
      <c r="C5985" s="184">
        <v>1</v>
      </c>
      <c r="D5985" s="184" t="s">
        <v>750</v>
      </c>
    </row>
    <row r="5986" spans="1:4" ht="12.5">
      <c r="A5986" s="186">
        <v>46332</v>
      </c>
      <c r="B5986" s="184">
        <v>7002870221</v>
      </c>
      <c r="C5986" s="184">
        <v>1</v>
      </c>
      <c r="D5986" s="184" t="s">
        <v>750</v>
      </c>
    </row>
    <row r="5987" spans="1:4" ht="12.5">
      <c r="A5987" s="186">
        <v>46332</v>
      </c>
      <c r="B5987" s="184">
        <v>7002871153</v>
      </c>
      <c r="C5987" s="184">
        <v>2</v>
      </c>
      <c r="D5987" s="184" t="s">
        <v>751</v>
      </c>
    </row>
    <row r="5988" spans="1:4" ht="12.5">
      <c r="A5988" s="186">
        <v>46332</v>
      </c>
      <c r="B5988" s="184">
        <v>7002872027</v>
      </c>
      <c r="C5988" s="184">
        <v>8</v>
      </c>
      <c r="D5988" s="184" t="s">
        <v>758</v>
      </c>
    </row>
    <row r="5989" spans="1:4" ht="12.5">
      <c r="A5989" s="186">
        <v>46332</v>
      </c>
      <c r="B5989" s="184">
        <v>7002873026</v>
      </c>
      <c r="C5989" s="184">
        <v>8</v>
      </c>
      <c r="D5989" s="184" t="s">
        <v>758</v>
      </c>
    </row>
    <row r="5990" spans="1:4" ht="12.5">
      <c r="A5990" s="186">
        <v>46332</v>
      </c>
      <c r="B5990" s="184">
        <v>7002873122</v>
      </c>
      <c r="C5990" s="184">
        <v>25</v>
      </c>
      <c r="D5990" s="184" t="s">
        <v>752</v>
      </c>
    </row>
    <row r="5991" spans="1:4" ht="12.5">
      <c r="A5991" s="186">
        <v>46332</v>
      </c>
      <c r="B5991" s="184">
        <v>7002873693</v>
      </c>
      <c r="C5991" s="184">
        <v>6</v>
      </c>
      <c r="D5991" s="184" t="s">
        <v>758</v>
      </c>
    </row>
    <row r="5992" spans="1:4" ht="12.5">
      <c r="A5992" s="186">
        <v>46332</v>
      </c>
      <c r="B5992" s="184">
        <v>7002875348</v>
      </c>
      <c r="C5992" s="184">
        <v>7</v>
      </c>
      <c r="D5992" s="184" t="s">
        <v>758</v>
      </c>
    </row>
    <row r="5993" spans="1:4" ht="12.5">
      <c r="A5993" s="186">
        <v>46332</v>
      </c>
      <c r="B5993" s="184">
        <v>7002876161</v>
      </c>
      <c r="C5993" s="184">
        <v>71</v>
      </c>
      <c r="D5993" s="184" t="s">
        <v>752</v>
      </c>
    </row>
    <row r="5994" spans="1:4" ht="12.5">
      <c r="A5994" s="186">
        <v>46332</v>
      </c>
      <c r="B5994" s="184">
        <v>7002877052</v>
      </c>
      <c r="C5994" s="184">
        <v>42</v>
      </c>
      <c r="D5994" s="184" t="s">
        <v>752</v>
      </c>
    </row>
    <row r="5995" spans="1:4" ht="12.5">
      <c r="A5995" s="186">
        <v>46332</v>
      </c>
      <c r="B5995" s="184">
        <v>7002877309</v>
      </c>
      <c r="C5995" s="184">
        <v>16</v>
      </c>
      <c r="D5995" s="184" t="s">
        <v>752</v>
      </c>
    </row>
    <row r="5996" spans="1:4" ht="12.5">
      <c r="A5996" s="186">
        <v>46332</v>
      </c>
      <c r="B5996" s="184">
        <v>7002877751</v>
      </c>
      <c r="C5996" s="184">
        <v>2</v>
      </c>
      <c r="D5996" s="184" t="s">
        <v>751</v>
      </c>
    </row>
    <row r="5997" spans="1:4" ht="12.5">
      <c r="A5997" s="186">
        <v>46332</v>
      </c>
      <c r="B5997" s="184">
        <v>7002878243</v>
      </c>
      <c r="C5997" s="184">
        <v>2</v>
      </c>
      <c r="D5997" s="184" t="s">
        <v>751</v>
      </c>
    </row>
    <row r="5998" spans="1:4" ht="12.5">
      <c r="A5998" s="186">
        <v>46332</v>
      </c>
      <c r="B5998" s="184">
        <v>7002879065</v>
      </c>
      <c r="C5998" s="184">
        <v>4</v>
      </c>
      <c r="D5998" s="184" t="s">
        <v>751</v>
      </c>
    </row>
    <row r="5999" spans="1:4" ht="12.5">
      <c r="A5999" s="186">
        <v>46332</v>
      </c>
      <c r="B5999" s="184">
        <v>7002879460</v>
      </c>
      <c r="C5999" s="184">
        <v>1</v>
      </c>
      <c r="D5999" s="184" t="s">
        <v>750</v>
      </c>
    </row>
    <row r="6000" spans="1:4" ht="12.5">
      <c r="A6000" s="186">
        <v>46332</v>
      </c>
      <c r="B6000" s="184">
        <v>7002882546</v>
      </c>
      <c r="C6000" s="184">
        <v>1</v>
      </c>
      <c r="D6000" s="184" t="s">
        <v>750</v>
      </c>
    </row>
    <row r="6001" spans="1:4" ht="12.5">
      <c r="A6001" s="186">
        <v>46332</v>
      </c>
      <c r="B6001" s="184">
        <v>7002885535</v>
      </c>
      <c r="C6001" s="184">
        <v>1</v>
      </c>
      <c r="D6001" s="184" t="s">
        <v>750</v>
      </c>
    </row>
    <row r="6002" spans="1:4" ht="12.5">
      <c r="A6002" s="186">
        <v>46332</v>
      </c>
      <c r="B6002" s="184">
        <v>7002887055</v>
      </c>
      <c r="C6002" s="184">
        <v>1</v>
      </c>
      <c r="D6002" s="184" t="s">
        <v>750</v>
      </c>
    </row>
    <row r="6003" spans="1:4" ht="12.5">
      <c r="A6003" s="186">
        <v>46332</v>
      </c>
      <c r="B6003" s="184">
        <v>7002887923</v>
      </c>
      <c r="C6003" s="184">
        <v>3</v>
      </c>
      <c r="D6003" s="184" t="s">
        <v>751</v>
      </c>
    </row>
    <row r="6004" spans="1:4" ht="12.5">
      <c r="A6004" s="186">
        <v>46332</v>
      </c>
      <c r="B6004" s="184">
        <v>7002888899</v>
      </c>
      <c r="C6004" s="184">
        <v>1</v>
      </c>
      <c r="D6004" s="184" t="s">
        <v>750</v>
      </c>
    </row>
    <row r="6005" spans="1:4" ht="12.5">
      <c r="A6005" s="186">
        <v>46332</v>
      </c>
      <c r="B6005" s="184">
        <v>7002889484</v>
      </c>
      <c r="C6005" s="184">
        <v>2</v>
      </c>
      <c r="D6005" s="184" t="s">
        <v>751</v>
      </c>
    </row>
    <row r="6006" spans="1:4" ht="12.5">
      <c r="A6006" s="186">
        <v>46332</v>
      </c>
      <c r="B6006" s="184">
        <v>7002890593</v>
      </c>
      <c r="C6006" s="184">
        <v>17</v>
      </c>
      <c r="D6006" s="184" t="s">
        <v>752</v>
      </c>
    </row>
    <row r="6007" spans="1:4" ht="12.5">
      <c r="A6007" s="186">
        <v>46332</v>
      </c>
      <c r="B6007" s="184">
        <v>7002890600</v>
      </c>
      <c r="C6007" s="184">
        <v>1</v>
      </c>
      <c r="D6007" s="184" t="s">
        <v>750</v>
      </c>
    </row>
    <row r="6008" spans="1:4" ht="12.5">
      <c r="A6008" s="186">
        <v>46332</v>
      </c>
      <c r="B6008" s="184">
        <v>7002890852</v>
      </c>
      <c r="C6008" s="184">
        <v>4</v>
      </c>
      <c r="D6008" s="184" t="s">
        <v>751</v>
      </c>
    </row>
    <row r="6009" spans="1:4" ht="12.5">
      <c r="A6009" s="186">
        <v>46332</v>
      </c>
      <c r="B6009" s="184">
        <v>7002891604</v>
      </c>
      <c r="C6009" s="184">
        <v>1</v>
      </c>
      <c r="D6009" s="184" t="s">
        <v>750</v>
      </c>
    </row>
    <row r="6010" spans="1:4" ht="12.5">
      <c r="A6010" s="186">
        <v>46332</v>
      </c>
      <c r="B6010" s="184">
        <v>7002891627</v>
      </c>
      <c r="C6010" s="184">
        <v>1</v>
      </c>
      <c r="D6010" s="184" t="s">
        <v>750</v>
      </c>
    </row>
    <row r="6011" spans="1:4" ht="12.5">
      <c r="A6011" s="186">
        <v>46332</v>
      </c>
      <c r="B6011" s="184">
        <v>7002891814</v>
      </c>
      <c r="C6011" s="184">
        <v>2</v>
      </c>
      <c r="D6011" s="184" t="s">
        <v>751</v>
      </c>
    </row>
    <row r="6012" spans="1:4" ht="12.5">
      <c r="A6012" s="186">
        <v>46332</v>
      </c>
      <c r="B6012" s="184">
        <v>7002891833</v>
      </c>
      <c r="C6012" s="184">
        <v>1</v>
      </c>
      <c r="D6012" s="184" t="s">
        <v>750</v>
      </c>
    </row>
    <row r="6013" spans="1:4" ht="12.5">
      <c r="A6013" s="186">
        <v>46332</v>
      </c>
      <c r="B6013" s="184">
        <v>7002891947</v>
      </c>
      <c r="C6013" s="184">
        <v>85</v>
      </c>
      <c r="D6013" s="184" t="s">
        <v>752</v>
      </c>
    </row>
    <row r="6014" spans="1:4" ht="12.5">
      <c r="A6014" s="186">
        <v>46332</v>
      </c>
      <c r="B6014" s="184">
        <v>7002891975</v>
      </c>
      <c r="C6014" s="184">
        <v>2</v>
      </c>
      <c r="D6014" s="184" t="s">
        <v>751</v>
      </c>
    </row>
    <row r="6015" spans="1:4" ht="12.5">
      <c r="A6015" s="186">
        <v>46332</v>
      </c>
      <c r="B6015" s="184">
        <v>7002892884</v>
      </c>
      <c r="C6015" s="184">
        <v>10</v>
      </c>
      <c r="D6015" s="184" t="s">
        <v>758</v>
      </c>
    </row>
    <row r="6016" spans="1:4" ht="12.5">
      <c r="A6016" s="186">
        <v>46332</v>
      </c>
      <c r="B6016" s="184">
        <v>7002892905</v>
      </c>
      <c r="C6016" s="184">
        <v>10</v>
      </c>
      <c r="D6016" s="184" t="s">
        <v>758</v>
      </c>
    </row>
    <row r="6017" spans="1:4" ht="12.5">
      <c r="A6017" s="186">
        <v>46332</v>
      </c>
      <c r="B6017" s="184">
        <v>7002892946</v>
      </c>
      <c r="C6017" s="184">
        <v>45</v>
      </c>
      <c r="D6017" s="184" t="s">
        <v>752</v>
      </c>
    </row>
    <row r="6018" spans="1:4" ht="12.5">
      <c r="A6018" s="186">
        <v>46332</v>
      </c>
      <c r="B6018" s="184">
        <v>7002892967</v>
      </c>
      <c r="C6018" s="184">
        <v>62</v>
      </c>
      <c r="D6018" s="184" t="s">
        <v>752</v>
      </c>
    </row>
    <row r="6019" spans="1:4" ht="12.5">
      <c r="A6019" s="186">
        <v>46332</v>
      </c>
      <c r="B6019" s="184">
        <v>7002892979</v>
      </c>
      <c r="C6019" s="184">
        <v>4</v>
      </c>
      <c r="D6019" s="184" t="s">
        <v>751</v>
      </c>
    </row>
    <row r="6020" spans="1:4" ht="12.5">
      <c r="A6020" s="186">
        <v>46332</v>
      </c>
      <c r="B6020" s="184">
        <v>7002892980</v>
      </c>
      <c r="C6020" s="184">
        <v>4</v>
      </c>
      <c r="D6020" s="184" t="s">
        <v>751</v>
      </c>
    </row>
    <row r="6021" spans="1:4" ht="12.5">
      <c r="A6021" s="186">
        <v>46332</v>
      </c>
      <c r="B6021" s="184">
        <v>7002893602</v>
      </c>
      <c r="C6021" s="184">
        <v>2</v>
      </c>
      <c r="D6021" s="184" t="s">
        <v>751</v>
      </c>
    </row>
    <row r="6022" spans="1:4" ht="12.5">
      <c r="A6022" s="186">
        <v>46332</v>
      </c>
      <c r="B6022" s="184">
        <v>7002893641</v>
      </c>
      <c r="C6022" s="184">
        <v>2</v>
      </c>
      <c r="D6022" s="184" t="s">
        <v>751</v>
      </c>
    </row>
    <row r="6023" spans="1:4" ht="12.5">
      <c r="A6023" s="186">
        <v>46332</v>
      </c>
      <c r="B6023" s="184">
        <v>7002893656</v>
      </c>
      <c r="C6023" s="184">
        <v>2</v>
      </c>
      <c r="D6023" s="184" t="s">
        <v>751</v>
      </c>
    </row>
    <row r="6024" spans="1:4" ht="12.5">
      <c r="A6024" s="186">
        <v>46332</v>
      </c>
      <c r="B6024" s="184">
        <v>7002893785</v>
      </c>
      <c r="C6024" s="184">
        <v>1</v>
      </c>
      <c r="D6024" s="184" t="s">
        <v>750</v>
      </c>
    </row>
    <row r="6025" spans="1:4" ht="12.5">
      <c r="A6025" s="186">
        <v>46332</v>
      </c>
      <c r="B6025" s="184">
        <v>7002893909</v>
      </c>
      <c r="C6025" s="184">
        <v>1</v>
      </c>
      <c r="D6025" s="184" t="s">
        <v>750</v>
      </c>
    </row>
    <row r="6026" spans="1:4" ht="12.5">
      <c r="A6026" s="186">
        <v>46332</v>
      </c>
      <c r="B6026" s="184">
        <v>7002893913</v>
      </c>
      <c r="C6026" s="184">
        <v>1</v>
      </c>
      <c r="D6026" s="184" t="s">
        <v>750</v>
      </c>
    </row>
    <row r="6027" spans="1:4" ht="12.5">
      <c r="A6027" s="186">
        <v>46332</v>
      </c>
      <c r="B6027" s="184">
        <v>7002893921</v>
      </c>
      <c r="C6027" s="184">
        <v>1</v>
      </c>
      <c r="D6027" s="184" t="s">
        <v>750</v>
      </c>
    </row>
    <row r="6028" spans="1:4" ht="12.5">
      <c r="A6028" s="186">
        <v>46332</v>
      </c>
      <c r="B6028" s="184">
        <v>7002893950</v>
      </c>
      <c r="C6028" s="184">
        <v>8</v>
      </c>
      <c r="D6028" s="184" t="s">
        <v>758</v>
      </c>
    </row>
    <row r="6029" spans="1:4" ht="12.5">
      <c r="A6029" s="186">
        <v>46332</v>
      </c>
      <c r="B6029" s="184">
        <v>7002894601</v>
      </c>
      <c r="C6029" s="184">
        <v>1</v>
      </c>
      <c r="D6029" s="184" t="s">
        <v>750</v>
      </c>
    </row>
    <row r="6030" spans="1:4" ht="12.5">
      <c r="A6030" s="186">
        <v>46332</v>
      </c>
      <c r="B6030" s="184">
        <v>7002894876</v>
      </c>
      <c r="C6030" s="184">
        <v>4</v>
      </c>
      <c r="D6030" s="184" t="s">
        <v>751</v>
      </c>
    </row>
    <row r="6031" spans="1:4" ht="12.5">
      <c r="A6031" s="186">
        <v>46332</v>
      </c>
      <c r="B6031" s="184">
        <v>7002894954</v>
      </c>
      <c r="C6031" s="184">
        <v>72</v>
      </c>
      <c r="D6031" s="184" t="s">
        <v>752</v>
      </c>
    </row>
    <row r="6032" spans="1:4" ht="12.5">
      <c r="A6032" s="186">
        <v>46332</v>
      </c>
      <c r="B6032" s="184">
        <v>7002895008</v>
      </c>
      <c r="C6032" s="184">
        <v>4</v>
      </c>
      <c r="D6032" s="184" t="s">
        <v>751</v>
      </c>
    </row>
    <row r="6033" spans="1:4" ht="12.5">
      <c r="A6033" s="186">
        <v>46332</v>
      </c>
      <c r="B6033" s="184">
        <v>7002895926</v>
      </c>
      <c r="C6033" s="184">
        <v>110</v>
      </c>
      <c r="D6033" s="184" t="s">
        <v>752</v>
      </c>
    </row>
    <row r="6034" spans="1:4" ht="12.5">
      <c r="A6034" s="186">
        <v>46332</v>
      </c>
      <c r="B6034" s="184">
        <v>7002895961</v>
      </c>
      <c r="C6034" s="184">
        <v>5</v>
      </c>
      <c r="D6034" s="184" t="s">
        <v>751</v>
      </c>
    </row>
    <row r="6035" spans="1:4" ht="12.5">
      <c r="A6035" s="186">
        <v>46332</v>
      </c>
      <c r="B6035" s="184">
        <v>7002896580</v>
      </c>
      <c r="C6035" s="184">
        <v>1</v>
      </c>
      <c r="D6035" s="184" t="s">
        <v>750</v>
      </c>
    </row>
    <row r="6036" spans="1:4" ht="12.5">
      <c r="A6036" s="186">
        <v>46332</v>
      </c>
      <c r="B6036" s="184">
        <v>7002896610</v>
      </c>
      <c r="C6036" s="184">
        <v>1</v>
      </c>
      <c r="D6036" s="184" t="s">
        <v>750</v>
      </c>
    </row>
    <row r="6037" spans="1:4" ht="12.5">
      <c r="A6037" s="186">
        <v>46332</v>
      </c>
      <c r="B6037" s="184">
        <v>7002896777</v>
      </c>
      <c r="C6037" s="184">
        <v>1</v>
      </c>
      <c r="D6037" s="184" t="s">
        <v>750</v>
      </c>
    </row>
    <row r="6038" spans="1:4" ht="12.5">
      <c r="A6038" s="186">
        <v>46332</v>
      </c>
      <c r="B6038" s="184">
        <v>7002896783</v>
      </c>
      <c r="C6038" s="184">
        <v>1</v>
      </c>
      <c r="D6038" s="184" t="s">
        <v>750</v>
      </c>
    </row>
    <row r="6039" spans="1:4" ht="12.5">
      <c r="A6039" s="186">
        <v>46332</v>
      </c>
      <c r="B6039" s="184">
        <v>7002896936</v>
      </c>
      <c r="C6039" s="184">
        <v>18</v>
      </c>
      <c r="D6039" s="184" t="s">
        <v>752</v>
      </c>
    </row>
    <row r="6040" spans="1:4" ht="12.5">
      <c r="A6040" s="186">
        <v>46332</v>
      </c>
      <c r="B6040" s="184">
        <v>7002897611</v>
      </c>
      <c r="C6040" s="184">
        <v>1</v>
      </c>
      <c r="D6040" s="184" t="s">
        <v>750</v>
      </c>
    </row>
    <row r="6041" spans="1:4" ht="12.5">
      <c r="A6041" s="186">
        <v>46332</v>
      </c>
      <c r="B6041" s="184">
        <v>7002897648</v>
      </c>
      <c r="C6041" s="184">
        <v>10</v>
      </c>
      <c r="D6041" s="184" t="s">
        <v>758</v>
      </c>
    </row>
    <row r="6042" spans="1:4" ht="12.5">
      <c r="A6042" s="186">
        <v>46332</v>
      </c>
      <c r="B6042" s="184">
        <v>7002897937</v>
      </c>
      <c r="C6042" s="184">
        <v>13</v>
      </c>
      <c r="D6042" s="184" t="s">
        <v>752</v>
      </c>
    </row>
    <row r="6043" spans="1:4" ht="12.5">
      <c r="A6043" s="186">
        <v>46332</v>
      </c>
      <c r="B6043" s="184">
        <v>7002897963</v>
      </c>
      <c r="C6043" s="184">
        <v>4</v>
      </c>
      <c r="D6043" s="184" t="s">
        <v>751</v>
      </c>
    </row>
    <row r="6044" spans="1:4" ht="12.5">
      <c r="A6044" s="186">
        <v>46332</v>
      </c>
      <c r="B6044" s="184">
        <v>7002897985</v>
      </c>
      <c r="C6044" s="184">
        <v>29</v>
      </c>
      <c r="D6044" s="184" t="s">
        <v>752</v>
      </c>
    </row>
    <row r="6045" spans="1:4" ht="12.5">
      <c r="A6045" s="186">
        <v>46332</v>
      </c>
      <c r="B6045" s="184">
        <v>7002898075</v>
      </c>
      <c r="C6045" s="184">
        <v>5</v>
      </c>
      <c r="D6045" s="184" t="s">
        <v>751</v>
      </c>
    </row>
    <row r="6046" spans="1:4" ht="12.5">
      <c r="A6046" s="186">
        <v>46332</v>
      </c>
      <c r="B6046" s="184">
        <v>7002898104</v>
      </c>
      <c r="C6046" s="184">
        <v>1</v>
      </c>
      <c r="D6046" s="184" t="s">
        <v>750</v>
      </c>
    </row>
    <row r="6047" spans="1:4" ht="12.5">
      <c r="A6047" s="186">
        <v>46332</v>
      </c>
      <c r="B6047" s="184">
        <v>7002898746</v>
      </c>
      <c r="C6047" s="184">
        <v>3</v>
      </c>
      <c r="D6047" s="184" t="s">
        <v>751</v>
      </c>
    </row>
    <row r="6048" spans="1:4" ht="12.5">
      <c r="A6048" s="186">
        <v>46332</v>
      </c>
      <c r="B6048" s="184">
        <v>7002898964</v>
      </c>
      <c r="C6048" s="184">
        <v>10</v>
      </c>
      <c r="D6048" s="184" t="s">
        <v>758</v>
      </c>
    </row>
    <row r="6049" spans="1:4" ht="12.5">
      <c r="A6049" s="186">
        <v>46332</v>
      </c>
      <c r="B6049" s="184">
        <v>7002899734</v>
      </c>
      <c r="C6049" s="184">
        <v>5</v>
      </c>
      <c r="D6049" s="184" t="s">
        <v>751</v>
      </c>
    </row>
    <row r="6050" spans="1:4" ht="12.5">
      <c r="A6050" s="186">
        <v>46332</v>
      </c>
      <c r="B6050" s="184">
        <v>7002899918</v>
      </c>
      <c r="C6050" s="184">
        <v>1</v>
      </c>
      <c r="D6050" s="184" t="s">
        <v>750</v>
      </c>
    </row>
    <row r="6051" spans="1:4" ht="12.5">
      <c r="A6051" s="186">
        <v>46332</v>
      </c>
      <c r="B6051" s="184">
        <v>7002899994</v>
      </c>
      <c r="C6051" s="184">
        <v>3</v>
      </c>
      <c r="D6051" s="184" t="s">
        <v>751</v>
      </c>
    </row>
    <row r="6052" spans="1:4" ht="12.5">
      <c r="A6052" s="186">
        <v>46332</v>
      </c>
      <c r="B6052" s="184">
        <v>7002900006</v>
      </c>
      <c r="C6052" s="184">
        <v>19</v>
      </c>
      <c r="D6052" s="184" t="s">
        <v>752</v>
      </c>
    </row>
    <row r="6053" spans="1:4" ht="12.5">
      <c r="A6053" s="186">
        <v>46332</v>
      </c>
      <c r="B6053" s="184">
        <v>7002900034</v>
      </c>
      <c r="C6053" s="184">
        <v>3</v>
      </c>
      <c r="D6053" s="184" t="s">
        <v>751</v>
      </c>
    </row>
    <row r="6054" spans="1:4" ht="12.5">
      <c r="A6054" s="186">
        <v>46332</v>
      </c>
      <c r="B6054" s="184">
        <v>7002900416</v>
      </c>
      <c r="C6054" s="184">
        <v>2</v>
      </c>
      <c r="D6054" s="184" t="s">
        <v>751</v>
      </c>
    </row>
    <row r="6055" spans="1:4" ht="12.5">
      <c r="A6055" s="186">
        <v>46332</v>
      </c>
      <c r="B6055" s="184">
        <v>7002900683</v>
      </c>
      <c r="C6055" s="184">
        <v>1</v>
      </c>
      <c r="D6055" s="184" t="s">
        <v>750</v>
      </c>
    </row>
    <row r="6056" spans="1:4" ht="12.5">
      <c r="A6056" s="186">
        <v>46332</v>
      </c>
      <c r="B6056" s="184">
        <v>7002900705</v>
      </c>
      <c r="C6056" s="184">
        <v>3</v>
      </c>
      <c r="D6056" s="184" t="s">
        <v>751</v>
      </c>
    </row>
    <row r="6057" spans="1:4" ht="12.5">
      <c r="A6057" s="186">
        <v>46332</v>
      </c>
      <c r="B6057" s="184">
        <v>7002901188</v>
      </c>
      <c r="C6057" s="184">
        <v>1</v>
      </c>
      <c r="D6057" s="184" t="s">
        <v>750</v>
      </c>
    </row>
    <row r="6058" spans="1:4" ht="12.5">
      <c r="A6058" s="186">
        <v>46332</v>
      </c>
      <c r="B6058" s="184">
        <v>7002901287</v>
      </c>
      <c r="C6058" s="184">
        <v>48</v>
      </c>
      <c r="D6058" s="184" t="s">
        <v>752</v>
      </c>
    </row>
    <row r="6059" spans="1:4" ht="12.5">
      <c r="A6059" s="186">
        <v>46332</v>
      </c>
      <c r="B6059" s="184">
        <v>7002901308</v>
      </c>
      <c r="C6059" s="184">
        <v>2</v>
      </c>
      <c r="D6059" s="184" t="s">
        <v>751</v>
      </c>
    </row>
    <row r="6060" spans="1:4" ht="12.5">
      <c r="A6060" s="186">
        <v>46332</v>
      </c>
      <c r="B6060" s="184">
        <v>7002901331</v>
      </c>
      <c r="C6060" s="184">
        <v>39</v>
      </c>
      <c r="D6060" s="184" t="s">
        <v>752</v>
      </c>
    </row>
    <row r="6061" spans="1:4" ht="12.5">
      <c r="A6061" s="186">
        <v>46332</v>
      </c>
      <c r="B6061" s="184">
        <v>7002901607</v>
      </c>
      <c r="C6061" s="184">
        <v>1</v>
      </c>
      <c r="D6061" s="184" t="s">
        <v>750</v>
      </c>
    </row>
    <row r="6062" spans="1:4" ht="12.5">
      <c r="A6062" s="186">
        <v>46332</v>
      </c>
      <c r="B6062" s="184">
        <v>7002902009</v>
      </c>
      <c r="C6062" s="184">
        <v>6</v>
      </c>
      <c r="D6062" s="184" t="s">
        <v>758</v>
      </c>
    </row>
    <row r="6063" spans="1:4" ht="12.5">
      <c r="A6063" s="186">
        <v>46332</v>
      </c>
      <c r="B6063" s="184">
        <v>7002902353</v>
      </c>
      <c r="C6063" s="184">
        <v>2</v>
      </c>
      <c r="D6063" s="184" t="s">
        <v>751</v>
      </c>
    </row>
    <row r="6064" spans="1:4" ht="12.5">
      <c r="A6064" s="186">
        <v>46332</v>
      </c>
      <c r="B6064" s="184">
        <v>7002902522</v>
      </c>
      <c r="C6064" s="184">
        <v>1</v>
      </c>
      <c r="D6064" s="184" t="s">
        <v>750</v>
      </c>
    </row>
    <row r="6065" spans="1:4" ht="12.5">
      <c r="A6065" s="186">
        <v>46332</v>
      </c>
      <c r="B6065" s="184">
        <v>7002903012</v>
      </c>
      <c r="C6065" s="184">
        <v>9</v>
      </c>
      <c r="D6065" s="184" t="s">
        <v>758</v>
      </c>
    </row>
    <row r="6066" spans="1:4" ht="12.5">
      <c r="A6066" s="186">
        <v>46332</v>
      </c>
      <c r="B6066" s="184">
        <v>7002903031</v>
      </c>
      <c r="C6066" s="184">
        <v>4</v>
      </c>
      <c r="D6066" s="184" t="s">
        <v>751</v>
      </c>
    </row>
    <row r="6067" spans="1:4" ht="12.5">
      <c r="A6067" s="186">
        <v>46332</v>
      </c>
      <c r="B6067" s="184">
        <v>7002903244</v>
      </c>
      <c r="C6067" s="184">
        <v>28</v>
      </c>
      <c r="D6067" s="184" t="s">
        <v>752</v>
      </c>
    </row>
    <row r="6068" spans="1:4" ht="12.5">
      <c r="A6068" s="186">
        <v>46332</v>
      </c>
      <c r="B6068" s="184">
        <v>7002903399</v>
      </c>
      <c r="C6068" s="184">
        <v>2</v>
      </c>
      <c r="D6068" s="184" t="s">
        <v>751</v>
      </c>
    </row>
    <row r="6069" spans="1:4" ht="12.5">
      <c r="A6069" s="186">
        <v>46332</v>
      </c>
      <c r="B6069" s="184">
        <v>7002903724</v>
      </c>
      <c r="C6069" s="184">
        <v>4</v>
      </c>
      <c r="D6069" s="184" t="s">
        <v>751</v>
      </c>
    </row>
    <row r="6070" spans="1:4" ht="12.5">
      <c r="A6070" s="186">
        <v>46332</v>
      </c>
      <c r="B6070" s="184">
        <v>7002904100</v>
      </c>
      <c r="C6070" s="184">
        <v>1</v>
      </c>
      <c r="D6070" s="184" t="s">
        <v>750</v>
      </c>
    </row>
    <row r="6071" spans="1:4" ht="12.5">
      <c r="A6071" s="186">
        <v>46332</v>
      </c>
      <c r="B6071" s="184">
        <v>7002904204</v>
      </c>
      <c r="C6071" s="184">
        <v>46</v>
      </c>
      <c r="D6071" s="184" t="s">
        <v>752</v>
      </c>
    </row>
    <row r="6072" spans="1:4" ht="12.5">
      <c r="A6072" s="186">
        <v>46332</v>
      </c>
      <c r="B6072" s="184">
        <v>7002904243</v>
      </c>
      <c r="C6072" s="184">
        <v>58</v>
      </c>
      <c r="D6072" s="184" t="s">
        <v>752</v>
      </c>
    </row>
    <row r="6073" spans="1:4" ht="12.5">
      <c r="A6073" s="186">
        <v>46332</v>
      </c>
      <c r="B6073" s="184">
        <v>7002904291</v>
      </c>
      <c r="C6073" s="184">
        <v>3</v>
      </c>
      <c r="D6073" s="184" t="s">
        <v>751</v>
      </c>
    </row>
    <row r="6074" spans="1:4" ht="12.5">
      <c r="A6074" s="186">
        <v>46332</v>
      </c>
      <c r="B6074" s="184">
        <v>7002904379</v>
      </c>
      <c r="C6074" s="184">
        <v>10</v>
      </c>
      <c r="D6074" s="184" t="s">
        <v>758</v>
      </c>
    </row>
    <row r="6075" spans="1:4" ht="12.5">
      <c r="A6075" s="186">
        <v>46332</v>
      </c>
      <c r="B6075" s="184">
        <v>7002904803</v>
      </c>
      <c r="C6075" s="184">
        <v>18</v>
      </c>
      <c r="D6075" s="184" t="s">
        <v>752</v>
      </c>
    </row>
    <row r="6076" spans="1:4" ht="12.5">
      <c r="A6076" s="186">
        <v>46332</v>
      </c>
      <c r="B6076" s="184">
        <v>7002905110</v>
      </c>
      <c r="C6076" s="184">
        <v>52</v>
      </c>
      <c r="D6076" s="184" t="s">
        <v>752</v>
      </c>
    </row>
    <row r="6077" spans="1:4" ht="12.5">
      <c r="A6077" s="186">
        <v>46332</v>
      </c>
      <c r="B6077" s="184">
        <v>7002905338</v>
      </c>
      <c r="C6077" s="184">
        <v>27</v>
      </c>
      <c r="D6077" s="184" t="s">
        <v>752</v>
      </c>
    </row>
    <row r="6078" spans="1:4" ht="12.5">
      <c r="A6078" s="186">
        <v>46332</v>
      </c>
      <c r="B6078" s="184">
        <v>7002906016</v>
      </c>
      <c r="C6078" s="184">
        <v>15</v>
      </c>
      <c r="D6078" s="184" t="s">
        <v>752</v>
      </c>
    </row>
    <row r="6079" spans="1:4" ht="12.5">
      <c r="A6079" s="186">
        <v>46332</v>
      </c>
      <c r="B6079" s="184">
        <v>7002906176</v>
      </c>
      <c r="C6079" s="184">
        <v>15</v>
      </c>
      <c r="D6079" s="184" t="s">
        <v>752</v>
      </c>
    </row>
    <row r="6080" spans="1:4" ht="12.5">
      <c r="A6080" s="186">
        <v>46332</v>
      </c>
      <c r="B6080" s="184">
        <v>7002906220</v>
      </c>
      <c r="C6080" s="184">
        <v>2</v>
      </c>
      <c r="D6080" s="184" t="s">
        <v>751</v>
      </c>
    </row>
    <row r="6081" spans="1:4" ht="12.5">
      <c r="A6081" s="186">
        <v>46332</v>
      </c>
      <c r="B6081" s="184">
        <v>7002907017</v>
      </c>
      <c r="C6081" s="184">
        <v>1</v>
      </c>
      <c r="D6081" s="184" t="s">
        <v>750</v>
      </c>
    </row>
    <row r="6082" spans="1:4" ht="12.5">
      <c r="A6082" s="186">
        <v>46332</v>
      </c>
      <c r="B6082" s="184">
        <v>7002907038</v>
      </c>
      <c r="C6082" s="184">
        <v>1</v>
      </c>
      <c r="D6082" s="184" t="s">
        <v>750</v>
      </c>
    </row>
    <row r="6083" spans="1:4" ht="12.5">
      <c r="A6083" s="186">
        <v>46332</v>
      </c>
      <c r="B6083" s="184">
        <v>7002907055</v>
      </c>
      <c r="C6083" s="184">
        <v>4</v>
      </c>
      <c r="D6083" s="184" t="s">
        <v>751</v>
      </c>
    </row>
    <row r="6084" spans="1:4" ht="12.5">
      <c r="A6084" s="186">
        <v>46332</v>
      </c>
      <c r="B6084" s="184">
        <v>7002907250</v>
      </c>
      <c r="C6084" s="184">
        <v>6</v>
      </c>
      <c r="D6084" s="184" t="s">
        <v>758</v>
      </c>
    </row>
    <row r="6085" spans="1:4" ht="12.5">
      <c r="A6085" s="186">
        <v>46332</v>
      </c>
      <c r="B6085" s="184">
        <v>7002907361</v>
      </c>
      <c r="C6085" s="184">
        <v>3</v>
      </c>
      <c r="D6085" s="184" t="s">
        <v>751</v>
      </c>
    </row>
    <row r="6086" spans="1:4" ht="12.5">
      <c r="A6086" s="186">
        <v>46332</v>
      </c>
      <c r="B6086" s="184">
        <v>7002908145</v>
      </c>
      <c r="C6086" s="184">
        <v>13</v>
      </c>
      <c r="D6086" s="184" t="s">
        <v>752</v>
      </c>
    </row>
    <row r="6087" spans="1:4" ht="12.5">
      <c r="A6087" s="186">
        <v>46332</v>
      </c>
      <c r="B6087" s="184">
        <v>7002908431</v>
      </c>
      <c r="C6087" s="184">
        <v>1</v>
      </c>
      <c r="D6087" s="184" t="s">
        <v>750</v>
      </c>
    </row>
    <row r="6088" spans="1:4" ht="12.5">
      <c r="A6088" s="186">
        <v>46332</v>
      </c>
      <c r="B6088" s="184">
        <v>7002909003</v>
      </c>
      <c r="C6088" s="184">
        <v>1</v>
      </c>
      <c r="D6088" s="184" t="s">
        <v>750</v>
      </c>
    </row>
    <row r="6089" spans="1:4" ht="12.5">
      <c r="A6089" s="186">
        <v>46332</v>
      </c>
      <c r="B6089" s="184">
        <v>7002909057</v>
      </c>
      <c r="C6089" s="184">
        <v>2</v>
      </c>
      <c r="D6089" s="184" t="s">
        <v>751</v>
      </c>
    </row>
    <row r="6090" spans="1:4" ht="12.5">
      <c r="A6090" s="186">
        <v>46332</v>
      </c>
      <c r="B6090" s="184">
        <v>7002909074</v>
      </c>
      <c r="C6090" s="184">
        <v>4</v>
      </c>
      <c r="D6090" s="184" t="s">
        <v>751</v>
      </c>
    </row>
    <row r="6091" spans="1:4" ht="12.5">
      <c r="A6091" s="186">
        <v>46332</v>
      </c>
      <c r="B6091" s="184">
        <v>7002909133</v>
      </c>
      <c r="C6091" s="184">
        <v>5</v>
      </c>
      <c r="D6091" s="184" t="s">
        <v>751</v>
      </c>
    </row>
    <row r="6092" spans="1:4" ht="12.5">
      <c r="A6092" s="186">
        <v>46332</v>
      </c>
      <c r="B6092" s="184">
        <v>7002909167</v>
      </c>
      <c r="C6092" s="184">
        <v>26</v>
      </c>
      <c r="D6092" s="184" t="s">
        <v>752</v>
      </c>
    </row>
    <row r="6093" spans="1:4" ht="12.5">
      <c r="A6093" s="186">
        <v>46332</v>
      </c>
      <c r="B6093" s="184">
        <v>7002909223</v>
      </c>
      <c r="C6093" s="184">
        <v>18</v>
      </c>
      <c r="D6093" s="184" t="s">
        <v>752</v>
      </c>
    </row>
    <row r="6094" spans="1:4" ht="12.5">
      <c r="A6094" s="186">
        <v>46332</v>
      </c>
      <c r="B6094" s="184">
        <v>7002909328</v>
      </c>
      <c r="C6094" s="184">
        <v>2</v>
      </c>
      <c r="D6094" s="184" t="s">
        <v>751</v>
      </c>
    </row>
    <row r="6095" spans="1:4" ht="12.5">
      <c r="A6095" s="186">
        <v>46332</v>
      </c>
      <c r="B6095" s="184">
        <v>7002909421</v>
      </c>
      <c r="C6095" s="184">
        <v>1</v>
      </c>
      <c r="D6095" s="184" t="s">
        <v>750</v>
      </c>
    </row>
    <row r="6096" spans="1:4" ht="12.5">
      <c r="A6096" s="186">
        <v>46332</v>
      </c>
      <c r="B6096" s="184">
        <v>7002909484</v>
      </c>
      <c r="C6096" s="184">
        <v>1</v>
      </c>
      <c r="D6096" s="184" t="s">
        <v>750</v>
      </c>
    </row>
    <row r="6097" spans="1:4" ht="12.5">
      <c r="A6097" s="186">
        <v>46332</v>
      </c>
      <c r="B6097" s="184">
        <v>7002910664</v>
      </c>
      <c r="C6097" s="184">
        <v>1</v>
      </c>
      <c r="D6097" s="184" t="s">
        <v>750</v>
      </c>
    </row>
    <row r="6098" spans="1:4" ht="12.5">
      <c r="A6098" s="186">
        <v>46332</v>
      </c>
      <c r="B6098" s="184">
        <v>7002911166</v>
      </c>
      <c r="C6098" s="184">
        <v>2</v>
      </c>
      <c r="D6098" s="184" t="s">
        <v>751</v>
      </c>
    </row>
    <row r="6099" spans="1:4" ht="12.5">
      <c r="A6099" s="186">
        <v>46332</v>
      </c>
      <c r="B6099" s="184">
        <v>7002913570</v>
      </c>
      <c r="C6099" s="184">
        <v>1</v>
      </c>
      <c r="D6099" s="184" t="s">
        <v>750</v>
      </c>
    </row>
    <row r="6100" spans="1:4" ht="12.5">
      <c r="A6100" s="186">
        <v>46332</v>
      </c>
      <c r="B6100" s="184">
        <v>7002913755</v>
      </c>
      <c r="C6100" s="184">
        <v>1</v>
      </c>
      <c r="D6100" s="184" t="s">
        <v>750</v>
      </c>
    </row>
    <row r="6101" spans="1:4" ht="12.5">
      <c r="A6101" s="186">
        <v>46332</v>
      </c>
      <c r="B6101" s="184">
        <v>7002914479</v>
      </c>
      <c r="C6101" s="184">
        <v>1</v>
      </c>
      <c r="D6101" s="184" t="s">
        <v>750</v>
      </c>
    </row>
    <row r="6102" spans="1:4" ht="12.5">
      <c r="A6102" s="186">
        <v>46332</v>
      </c>
      <c r="B6102" s="184">
        <v>7002915512</v>
      </c>
      <c r="C6102" s="184">
        <v>4</v>
      </c>
      <c r="D6102" s="184" t="s">
        <v>751</v>
      </c>
    </row>
    <row r="6103" spans="1:4" ht="12.5">
      <c r="A6103" s="186">
        <v>46332</v>
      </c>
      <c r="B6103" s="184">
        <v>7002917376</v>
      </c>
      <c r="C6103" s="184">
        <v>1</v>
      </c>
      <c r="D6103" s="184" t="s">
        <v>750</v>
      </c>
    </row>
    <row r="6104" spans="1:4" ht="12.5">
      <c r="A6104" s="186">
        <v>46332</v>
      </c>
      <c r="B6104" s="184">
        <v>7002917606</v>
      </c>
      <c r="C6104" s="184">
        <v>2</v>
      </c>
      <c r="D6104" s="184" t="s">
        <v>751</v>
      </c>
    </row>
    <row r="6105" spans="1:4" ht="12.5">
      <c r="A6105" s="186">
        <v>46332</v>
      </c>
      <c r="B6105" s="184">
        <v>7002918404</v>
      </c>
      <c r="C6105" s="184">
        <v>5</v>
      </c>
      <c r="D6105" s="184" t="s">
        <v>751</v>
      </c>
    </row>
    <row r="6106" spans="1:4" ht="12.5">
      <c r="A6106" s="186">
        <v>46332</v>
      </c>
      <c r="B6106" s="184">
        <v>7002919397</v>
      </c>
      <c r="C6106" s="184">
        <v>6</v>
      </c>
      <c r="D6106" s="184" t="s">
        <v>758</v>
      </c>
    </row>
    <row r="6107" spans="1:4" ht="12.5">
      <c r="A6107" s="186">
        <v>46332</v>
      </c>
      <c r="B6107" s="184">
        <v>7002919705</v>
      </c>
      <c r="C6107" s="184">
        <v>1</v>
      </c>
      <c r="D6107" s="184" t="s">
        <v>750</v>
      </c>
    </row>
    <row r="6108" spans="1:4" ht="12.5">
      <c r="A6108" s="186">
        <v>46332</v>
      </c>
      <c r="B6108" s="184">
        <v>7002920193</v>
      </c>
      <c r="C6108" s="184">
        <v>2</v>
      </c>
      <c r="D6108" s="184" t="s">
        <v>751</v>
      </c>
    </row>
    <row r="6109" spans="1:4" ht="12.5">
      <c r="A6109" s="186">
        <v>46332</v>
      </c>
      <c r="B6109" s="184">
        <v>7002920375</v>
      </c>
      <c r="C6109" s="184">
        <v>69</v>
      </c>
      <c r="D6109" s="184" t="s">
        <v>752</v>
      </c>
    </row>
    <row r="6110" spans="1:4" ht="12.5">
      <c r="A6110" s="186">
        <v>46332</v>
      </c>
      <c r="B6110" s="184">
        <v>7002920402</v>
      </c>
      <c r="C6110" s="184">
        <v>7</v>
      </c>
      <c r="D6110" s="184" t="s">
        <v>758</v>
      </c>
    </row>
    <row r="6111" spans="1:4" ht="12.5">
      <c r="A6111" s="186">
        <v>46332</v>
      </c>
      <c r="B6111" s="184">
        <v>7002921159</v>
      </c>
      <c r="C6111" s="184">
        <v>1</v>
      </c>
      <c r="D6111" s="184" t="s">
        <v>750</v>
      </c>
    </row>
    <row r="6112" spans="1:4" ht="12.5">
      <c r="A6112" s="186">
        <v>46332</v>
      </c>
      <c r="B6112" s="184">
        <v>7002921204</v>
      </c>
      <c r="C6112" s="184">
        <v>4</v>
      </c>
      <c r="D6112" s="184" t="s">
        <v>751</v>
      </c>
    </row>
    <row r="6113" spans="1:4" ht="12.5">
      <c r="A6113" s="186">
        <v>46332</v>
      </c>
      <c r="B6113" s="184">
        <v>7002921227</v>
      </c>
      <c r="C6113" s="184">
        <v>1</v>
      </c>
      <c r="D6113" s="184" t="s">
        <v>750</v>
      </c>
    </row>
    <row r="6114" spans="1:4" ht="12.5">
      <c r="A6114" s="186">
        <v>46332</v>
      </c>
      <c r="B6114" s="184">
        <v>7002921243</v>
      </c>
      <c r="C6114" s="184">
        <v>11</v>
      </c>
      <c r="D6114" s="184" t="s">
        <v>752</v>
      </c>
    </row>
    <row r="6115" spans="1:4" ht="12.5">
      <c r="A6115" s="186">
        <v>46332</v>
      </c>
      <c r="B6115" s="184">
        <v>7002921351</v>
      </c>
      <c r="C6115" s="184">
        <v>7</v>
      </c>
      <c r="D6115" s="184" t="s">
        <v>758</v>
      </c>
    </row>
    <row r="6116" spans="1:4" ht="12.5">
      <c r="A6116" s="186">
        <v>46332</v>
      </c>
      <c r="B6116" s="184">
        <v>7002921367</v>
      </c>
      <c r="C6116" s="184">
        <v>13</v>
      </c>
      <c r="D6116" s="184" t="s">
        <v>752</v>
      </c>
    </row>
    <row r="6117" spans="1:4" ht="12.5">
      <c r="A6117" s="186">
        <v>46332</v>
      </c>
      <c r="B6117" s="184">
        <v>7002921398</v>
      </c>
      <c r="C6117" s="184">
        <v>57</v>
      </c>
      <c r="D6117" s="184" t="s">
        <v>752</v>
      </c>
    </row>
    <row r="6118" spans="1:4" ht="12.5">
      <c r="A6118" s="186">
        <v>46332</v>
      </c>
      <c r="B6118" s="184">
        <v>7002921440</v>
      </c>
      <c r="C6118" s="184">
        <v>13</v>
      </c>
      <c r="D6118" s="184" t="s">
        <v>752</v>
      </c>
    </row>
    <row r="6119" spans="1:4" ht="12.5">
      <c r="A6119" s="186">
        <v>46332</v>
      </c>
      <c r="B6119" s="184">
        <v>7002921464</v>
      </c>
      <c r="C6119" s="184">
        <v>1</v>
      </c>
      <c r="D6119" s="184" t="s">
        <v>750</v>
      </c>
    </row>
    <row r="6120" spans="1:4" ht="12.5">
      <c r="A6120" s="186">
        <v>46332</v>
      </c>
      <c r="B6120" s="184">
        <v>7002921621</v>
      </c>
      <c r="C6120" s="184">
        <v>1</v>
      </c>
      <c r="D6120" s="184" t="s">
        <v>750</v>
      </c>
    </row>
    <row r="6121" spans="1:4" ht="12.5">
      <c r="A6121" s="186">
        <v>46332</v>
      </c>
      <c r="B6121" s="184">
        <v>7002921697</v>
      </c>
      <c r="C6121" s="184">
        <v>4</v>
      </c>
      <c r="D6121" s="184" t="s">
        <v>751</v>
      </c>
    </row>
    <row r="6122" spans="1:4" ht="12.5">
      <c r="A6122" s="186">
        <v>46332</v>
      </c>
      <c r="B6122" s="184">
        <v>7002921857</v>
      </c>
      <c r="C6122" s="184">
        <v>1</v>
      </c>
      <c r="D6122" s="184" t="s">
        <v>750</v>
      </c>
    </row>
    <row r="6123" spans="1:4" ht="12.5">
      <c r="A6123" s="186">
        <v>46332</v>
      </c>
      <c r="B6123" s="184">
        <v>7002921861</v>
      </c>
      <c r="C6123" s="184">
        <v>2</v>
      </c>
      <c r="D6123" s="184" t="s">
        <v>751</v>
      </c>
    </row>
    <row r="6124" spans="1:4" ht="12.5">
      <c r="A6124" s="186">
        <v>46332</v>
      </c>
      <c r="B6124" s="184">
        <v>7002922034</v>
      </c>
      <c r="C6124" s="184">
        <v>1</v>
      </c>
      <c r="D6124" s="184" t="s">
        <v>750</v>
      </c>
    </row>
    <row r="6125" spans="1:4" ht="12.5">
      <c r="A6125" s="186">
        <v>46332</v>
      </c>
      <c r="B6125" s="184">
        <v>7002922219</v>
      </c>
      <c r="C6125" s="184">
        <v>4</v>
      </c>
      <c r="D6125" s="184" t="s">
        <v>751</v>
      </c>
    </row>
    <row r="6126" spans="1:4" ht="12.5">
      <c r="A6126" s="186">
        <v>46332</v>
      </c>
      <c r="B6126" s="184">
        <v>7002922226</v>
      </c>
      <c r="C6126" s="184">
        <v>3</v>
      </c>
      <c r="D6126" s="184" t="s">
        <v>751</v>
      </c>
    </row>
    <row r="6127" spans="1:4" ht="12.5">
      <c r="A6127" s="186">
        <v>46332</v>
      </c>
      <c r="B6127" s="184">
        <v>7002922242</v>
      </c>
      <c r="C6127" s="184">
        <v>4</v>
      </c>
      <c r="D6127" s="184" t="s">
        <v>751</v>
      </c>
    </row>
    <row r="6128" spans="1:4" ht="12.5">
      <c r="A6128" s="186">
        <v>46332</v>
      </c>
      <c r="B6128" s="184">
        <v>7002922257</v>
      </c>
      <c r="C6128" s="184">
        <v>1</v>
      </c>
      <c r="D6128" s="184" t="s">
        <v>750</v>
      </c>
    </row>
    <row r="6129" spans="1:4" ht="12.5">
      <c r="A6129" s="186">
        <v>46332</v>
      </c>
      <c r="B6129" s="184">
        <v>7002922274</v>
      </c>
      <c r="C6129" s="184">
        <v>40</v>
      </c>
      <c r="D6129" s="184" t="s">
        <v>752</v>
      </c>
    </row>
    <row r="6130" spans="1:4" ht="12.5">
      <c r="A6130" s="186">
        <v>46332</v>
      </c>
      <c r="B6130" s="184">
        <v>7002922288</v>
      </c>
      <c r="C6130" s="184">
        <v>13</v>
      </c>
      <c r="D6130" s="184" t="s">
        <v>752</v>
      </c>
    </row>
    <row r="6131" spans="1:4" ht="12.5">
      <c r="A6131" s="186">
        <v>46332</v>
      </c>
      <c r="B6131" s="184">
        <v>7002922313</v>
      </c>
      <c r="C6131" s="184">
        <v>2</v>
      </c>
      <c r="D6131" s="184" t="s">
        <v>751</v>
      </c>
    </row>
    <row r="6132" spans="1:4" ht="12.5">
      <c r="A6132" s="186">
        <v>46332</v>
      </c>
      <c r="B6132" s="184">
        <v>7002922397</v>
      </c>
      <c r="C6132" s="184">
        <v>24</v>
      </c>
      <c r="D6132" s="184" t="s">
        <v>752</v>
      </c>
    </row>
    <row r="6133" spans="1:4" ht="12.5">
      <c r="A6133" s="186">
        <v>46332</v>
      </c>
      <c r="B6133" s="184">
        <v>7002922416</v>
      </c>
      <c r="C6133" s="184">
        <v>6</v>
      </c>
      <c r="D6133" s="184" t="s">
        <v>758</v>
      </c>
    </row>
    <row r="6134" spans="1:4" ht="12.5">
      <c r="A6134" s="186">
        <v>46332</v>
      </c>
      <c r="B6134" s="184">
        <v>7002922428</v>
      </c>
      <c r="C6134" s="184">
        <v>8</v>
      </c>
      <c r="D6134" s="184" t="s">
        <v>758</v>
      </c>
    </row>
    <row r="6135" spans="1:4" ht="12.5">
      <c r="A6135" s="186">
        <v>46332</v>
      </c>
      <c r="B6135" s="184">
        <v>7002922437</v>
      </c>
      <c r="C6135" s="184">
        <v>109</v>
      </c>
      <c r="D6135" s="184" t="s">
        <v>752</v>
      </c>
    </row>
    <row r="6136" spans="1:4" ht="12.5">
      <c r="A6136" s="186">
        <v>46332</v>
      </c>
      <c r="B6136" s="184">
        <v>7002922582</v>
      </c>
      <c r="C6136" s="184">
        <v>11</v>
      </c>
      <c r="D6136" s="184" t="s">
        <v>752</v>
      </c>
    </row>
    <row r="6137" spans="1:4" ht="12.5">
      <c r="A6137" s="186">
        <v>46332</v>
      </c>
      <c r="B6137" s="184">
        <v>7002922620</v>
      </c>
      <c r="C6137" s="184">
        <v>1</v>
      </c>
      <c r="D6137" s="184" t="s">
        <v>750</v>
      </c>
    </row>
    <row r="6138" spans="1:4" ht="12.5">
      <c r="A6138" s="186">
        <v>46332</v>
      </c>
      <c r="B6138" s="184">
        <v>7002922972</v>
      </c>
      <c r="C6138" s="184">
        <v>1</v>
      </c>
      <c r="D6138" s="184" t="s">
        <v>750</v>
      </c>
    </row>
    <row r="6139" spans="1:4" ht="12.5">
      <c r="A6139" s="186">
        <v>46332</v>
      </c>
      <c r="B6139" s="184">
        <v>7002923225</v>
      </c>
      <c r="C6139" s="184">
        <v>5</v>
      </c>
      <c r="D6139" s="184" t="s">
        <v>751</v>
      </c>
    </row>
    <row r="6140" spans="1:4" ht="12.5">
      <c r="A6140" s="186">
        <v>46332</v>
      </c>
      <c r="B6140" s="184">
        <v>7002923239</v>
      </c>
      <c r="C6140" s="184">
        <v>60</v>
      </c>
      <c r="D6140" s="184" t="s">
        <v>752</v>
      </c>
    </row>
    <row r="6141" spans="1:4" ht="12.5">
      <c r="A6141" s="186">
        <v>46332</v>
      </c>
      <c r="B6141" s="184">
        <v>7002923241</v>
      </c>
      <c r="C6141" s="184">
        <v>18</v>
      </c>
      <c r="D6141" s="184" t="s">
        <v>752</v>
      </c>
    </row>
    <row r="6142" spans="1:4" ht="12.5">
      <c r="A6142" s="186">
        <v>46332</v>
      </c>
      <c r="B6142" s="184">
        <v>7002923273</v>
      </c>
      <c r="C6142" s="184">
        <v>1</v>
      </c>
      <c r="D6142" s="184" t="s">
        <v>750</v>
      </c>
    </row>
    <row r="6143" spans="1:4" ht="12.5">
      <c r="A6143" s="186">
        <v>46332</v>
      </c>
      <c r="B6143" s="184">
        <v>7002923312</v>
      </c>
      <c r="C6143" s="184">
        <v>12</v>
      </c>
      <c r="D6143" s="184" t="s">
        <v>752</v>
      </c>
    </row>
    <row r="6144" spans="1:4" ht="12.5">
      <c r="A6144" s="186">
        <v>46332</v>
      </c>
      <c r="B6144" s="184">
        <v>7002923365</v>
      </c>
      <c r="C6144" s="184">
        <v>1</v>
      </c>
      <c r="D6144" s="184" t="s">
        <v>750</v>
      </c>
    </row>
    <row r="6145" spans="1:4" ht="12.5">
      <c r="A6145" s="186">
        <v>46332</v>
      </c>
      <c r="B6145" s="184">
        <v>7002923396</v>
      </c>
      <c r="C6145" s="184">
        <v>3</v>
      </c>
      <c r="D6145" s="184" t="s">
        <v>751</v>
      </c>
    </row>
    <row r="6146" spans="1:4" ht="12.5">
      <c r="A6146" s="186">
        <v>46332</v>
      </c>
      <c r="B6146" s="184">
        <v>7002923427</v>
      </c>
      <c r="C6146" s="184">
        <v>1</v>
      </c>
      <c r="D6146" s="184" t="s">
        <v>750</v>
      </c>
    </row>
    <row r="6147" spans="1:4" ht="12.5">
      <c r="A6147" s="186">
        <v>46332</v>
      </c>
      <c r="B6147" s="184">
        <v>7002923443</v>
      </c>
      <c r="C6147" s="184">
        <v>3</v>
      </c>
      <c r="D6147" s="184" t="s">
        <v>751</v>
      </c>
    </row>
    <row r="6148" spans="1:4" ht="12.5">
      <c r="A6148" s="186">
        <v>46332</v>
      </c>
      <c r="B6148" s="184">
        <v>7002923462</v>
      </c>
      <c r="C6148" s="184">
        <v>1</v>
      </c>
      <c r="D6148" s="184" t="s">
        <v>750</v>
      </c>
    </row>
    <row r="6149" spans="1:4" ht="12.5">
      <c r="A6149" s="186">
        <v>46332</v>
      </c>
      <c r="B6149" s="184">
        <v>7002923676</v>
      </c>
      <c r="C6149" s="184">
        <v>17</v>
      </c>
      <c r="D6149" s="184" t="s">
        <v>752</v>
      </c>
    </row>
    <row r="6150" spans="1:4" ht="12.5">
      <c r="A6150" s="186">
        <v>46332</v>
      </c>
      <c r="B6150" s="184">
        <v>7002923900</v>
      </c>
      <c r="C6150" s="184">
        <v>2</v>
      </c>
      <c r="D6150" s="184" t="s">
        <v>751</v>
      </c>
    </row>
    <row r="6151" spans="1:4" ht="12.5">
      <c r="A6151" s="186">
        <v>46332</v>
      </c>
      <c r="B6151" s="184">
        <v>7002924009</v>
      </c>
      <c r="C6151" s="184">
        <v>4</v>
      </c>
      <c r="D6151" s="184" t="s">
        <v>751</v>
      </c>
    </row>
    <row r="6152" spans="1:4" ht="12.5">
      <c r="A6152" s="186">
        <v>46332</v>
      </c>
      <c r="B6152" s="184">
        <v>7002924229</v>
      </c>
      <c r="C6152" s="184">
        <v>13</v>
      </c>
      <c r="D6152" s="184" t="s">
        <v>752</v>
      </c>
    </row>
    <row r="6153" spans="1:4" ht="12.5">
      <c r="A6153" s="186">
        <v>46332</v>
      </c>
      <c r="B6153" s="184">
        <v>7002924240</v>
      </c>
      <c r="C6153" s="184">
        <v>5</v>
      </c>
      <c r="D6153" s="184" t="s">
        <v>751</v>
      </c>
    </row>
    <row r="6154" spans="1:4" ht="12.5">
      <c r="A6154" s="186">
        <v>46332</v>
      </c>
      <c r="B6154" s="184">
        <v>7002924255</v>
      </c>
      <c r="C6154" s="184">
        <v>1</v>
      </c>
      <c r="D6154" s="184" t="s">
        <v>750</v>
      </c>
    </row>
    <row r="6155" spans="1:4" ht="12.5">
      <c r="A6155" s="186">
        <v>46332</v>
      </c>
      <c r="B6155" s="184">
        <v>7002924376</v>
      </c>
      <c r="C6155" s="184">
        <v>2</v>
      </c>
      <c r="D6155" s="184" t="s">
        <v>751</v>
      </c>
    </row>
    <row r="6156" spans="1:4" ht="12.5">
      <c r="A6156" s="186">
        <v>46332</v>
      </c>
      <c r="B6156" s="184">
        <v>7002924426</v>
      </c>
      <c r="C6156" s="184">
        <v>65</v>
      </c>
      <c r="D6156" s="184" t="s">
        <v>752</v>
      </c>
    </row>
    <row r="6157" spans="1:4" ht="12.5">
      <c r="A6157" s="186">
        <v>46332</v>
      </c>
      <c r="B6157" s="184">
        <v>7002925145</v>
      </c>
      <c r="C6157" s="184">
        <v>1</v>
      </c>
      <c r="D6157" s="184" t="s">
        <v>750</v>
      </c>
    </row>
    <row r="6158" spans="1:4" ht="12.5">
      <c r="A6158" s="186">
        <v>46332</v>
      </c>
      <c r="B6158" s="184">
        <v>7002925246</v>
      </c>
      <c r="C6158" s="184">
        <v>1</v>
      </c>
      <c r="D6158" s="184" t="s">
        <v>750</v>
      </c>
    </row>
    <row r="6159" spans="1:4" ht="12.5">
      <c r="A6159" s="186">
        <v>46332</v>
      </c>
      <c r="B6159" s="184">
        <v>7002925251</v>
      </c>
      <c r="C6159" s="184">
        <v>4</v>
      </c>
      <c r="D6159" s="184" t="s">
        <v>751</v>
      </c>
    </row>
    <row r="6160" spans="1:4" ht="12.5">
      <c r="A6160" s="186">
        <v>46332</v>
      </c>
      <c r="B6160" s="184">
        <v>7002925298</v>
      </c>
      <c r="C6160" s="184">
        <v>1</v>
      </c>
      <c r="D6160" s="184" t="s">
        <v>750</v>
      </c>
    </row>
    <row r="6161" spans="1:4" ht="12.5">
      <c r="A6161" s="186">
        <v>46332</v>
      </c>
      <c r="B6161" s="184">
        <v>7002925304</v>
      </c>
      <c r="C6161" s="184">
        <v>2</v>
      </c>
      <c r="D6161" s="184" t="s">
        <v>751</v>
      </c>
    </row>
    <row r="6162" spans="1:4" ht="12.5">
      <c r="A6162" s="186">
        <v>46332</v>
      </c>
      <c r="B6162" s="184">
        <v>7002925362</v>
      </c>
      <c r="C6162" s="184">
        <v>5</v>
      </c>
      <c r="D6162" s="184" t="s">
        <v>751</v>
      </c>
    </row>
    <row r="6163" spans="1:4" ht="12.5">
      <c r="A6163" s="186">
        <v>46332</v>
      </c>
      <c r="B6163" s="184">
        <v>7002925408</v>
      </c>
      <c r="C6163" s="184">
        <v>1</v>
      </c>
      <c r="D6163" s="184" t="s">
        <v>750</v>
      </c>
    </row>
    <row r="6164" spans="1:4" ht="12.5">
      <c r="A6164" s="186">
        <v>46332</v>
      </c>
      <c r="B6164" s="184">
        <v>7002925449</v>
      </c>
      <c r="C6164" s="184">
        <v>10</v>
      </c>
      <c r="D6164" s="184" t="s">
        <v>758</v>
      </c>
    </row>
    <row r="6165" spans="1:4" ht="12.5">
      <c r="A6165" s="186">
        <v>46332</v>
      </c>
      <c r="B6165" s="184">
        <v>7002925810</v>
      </c>
      <c r="C6165" s="184">
        <v>2</v>
      </c>
      <c r="D6165" s="184" t="s">
        <v>751</v>
      </c>
    </row>
    <row r="6166" spans="1:4" ht="12.5">
      <c r="A6166" s="186">
        <v>46332</v>
      </c>
      <c r="B6166" s="184">
        <v>7002926234</v>
      </c>
      <c r="C6166" s="184">
        <v>4</v>
      </c>
      <c r="D6166" s="184" t="s">
        <v>751</v>
      </c>
    </row>
    <row r="6167" spans="1:4" ht="12.5">
      <c r="A6167" s="186">
        <v>46332</v>
      </c>
      <c r="B6167" s="184">
        <v>7002926247</v>
      </c>
      <c r="C6167" s="184">
        <v>1</v>
      </c>
      <c r="D6167" s="184" t="s">
        <v>750</v>
      </c>
    </row>
    <row r="6168" spans="1:4" ht="12.5">
      <c r="A6168" s="186">
        <v>46332</v>
      </c>
      <c r="B6168" s="184">
        <v>7002926371</v>
      </c>
      <c r="C6168" s="184">
        <v>9</v>
      </c>
      <c r="D6168" s="184" t="s">
        <v>758</v>
      </c>
    </row>
    <row r="6169" spans="1:4" ht="12.5">
      <c r="A6169" s="186">
        <v>46332</v>
      </c>
      <c r="B6169" s="184">
        <v>7002926385</v>
      </c>
      <c r="C6169" s="184">
        <v>1</v>
      </c>
      <c r="D6169" s="184" t="s">
        <v>750</v>
      </c>
    </row>
    <row r="6170" spans="1:4" ht="12.5">
      <c r="A6170" s="186">
        <v>46332</v>
      </c>
      <c r="B6170" s="184">
        <v>7002926445</v>
      </c>
      <c r="C6170" s="184">
        <v>2</v>
      </c>
      <c r="D6170" s="184" t="s">
        <v>751</v>
      </c>
    </row>
    <row r="6171" spans="1:4" ht="12.5">
      <c r="A6171" s="186">
        <v>46332</v>
      </c>
      <c r="B6171" s="184">
        <v>7002926587</v>
      </c>
      <c r="C6171" s="184">
        <v>1</v>
      </c>
      <c r="D6171" s="184" t="s">
        <v>750</v>
      </c>
    </row>
    <row r="6172" spans="1:4" ht="12.5">
      <c r="A6172" s="186">
        <v>46332</v>
      </c>
      <c r="B6172" s="184">
        <v>7002926655</v>
      </c>
      <c r="C6172" s="184">
        <v>1</v>
      </c>
      <c r="D6172" s="184" t="s">
        <v>750</v>
      </c>
    </row>
    <row r="6173" spans="1:4" ht="12.5">
      <c r="A6173" s="186">
        <v>46332</v>
      </c>
      <c r="B6173" s="184">
        <v>7002927207</v>
      </c>
      <c r="C6173" s="184">
        <v>10</v>
      </c>
      <c r="D6173" s="184" t="s">
        <v>758</v>
      </c>
    </row>
    <row r="6174" spans="1:4" ht="12.5">
      <c r="A6174" s="186">
        <v>46332</v>
      </c>
      <c r="B6174" s="184">
        <v>7002927230</v>
      </c>
      <c r="C6174" s="184">
        <v>1</v>
      </c>
      <c r="D6174" s="184" t="s">
        <v>750</v>
      </c>
    </row>
    <row r="6175" spans="1:4" ht="12.5">
      <c r="A6175" s="186">
        <v>46332</v>
      </c>
      <c r="B6175" s="184">
        <v>7002927276</v>
      </c>
      <c r="C6175" s="184">
        <v>11</v>
      </c>
      <c r="D6175" s="184" t="s">
        <v>752</v>
      </c>
    </row>
    <row r="6176" spans="1:4" ht="12.5">
      <c r="A6176" s="186">
        <v>46332</v>
      </c>
      <c r="B6176" s="184">
        <v>7002927301</v>
      </c>
      <c r="C6176" s="184">
        <v>27</v>
      </c>
      <c r="D6176" s="184" t="s">
        <v>752</v>
      </c>
    </row>
    <row r="6177" spans="1:4" ht="12.5">
      <c r="A6177" s="186">
        <v>46332</v>
      </c>
      <c r="B6177" s="184">
        <v>7002927338</v>
      </c>
      <c r="C6177" s="184">
        <v>3</v>
      </c>
      <c r="D6177" s="184" t="s">
        <v>751</v>
      </c>
    </row>
    <row r="6178" spans="1:4" ht="12.5">
      <c r="A6178" s="186">
        <v>46332</v>
      </c>
      <c r="B6178" s="184">
        <v>7002927372</v>
      </c>
      <c r="C6178" s="184">
        <v>7</v>
      </c>
      <c r="D6178" s="184" t="s">
        <v>758</v>
      </c>
    </row>
    <row r="6179" spans="1:4" ht="12.5">
      <c r="A6179" s="186">
        <v>46332</v>
      </c>
      <c r="B6179" s="184">
        <v>7002927414</v>
      </c>
      <c r="C6179" s="184">
        <v>5</v>
      </c>
      <c r="D6179" s="184" t="s">
        <v>751</v>
      </c>
    </row>
    <row r="6180" spans="1:4" ht="12.5">
      <c r="A6180" s="186">
        <v>46332</v>
      </c>
      <c r="B6180" s="184">
        <v>7002927479</v>
      </c>
      <c r="C6180" s="184">
        <v>47</v>
      </c>
      <c r="D6180" s="184" t="s">
        <v>752</v>
      </c>
    </row>
    <row r="6181" spans="1:4" ht="12.5">
      <c r="A6181" s="186">
        <v>46332</v>
      </c>
      <c r="B6181" s="184">
        <v>7002927896</v>
      </c>
      <c r="C6181" s="184">
        <v>1</v>
      </c>
      <c r="D6181" s="184" t="s">
        <v>750</v>
      </c>
    </row>
    <row r="6182" spans="1:4" ht="12.5">
      <c r="A6182" s="186">
        <v>46332</v>
      </c>
      <c r="B6182" s="184">
        <v>7002928208</v>
      </c>
      <c r="C6182" s="184">
        <v>1</v>
      </c>
      <c r="D6182" s="184" t="s">
        <v>750</v>
      </c>
    </row>
    <row r="6183" spans="1:4" ht="12.5">
      <c r="A6183" s="186">
        <v>46332</v>
      </c>
      <c r="B6183" s="184">
        <v>7002928212</v>
      </c>
      <c r="C6183" s="184">
        <v>3</v>
      </c>
      <c r="D6183" s="184" t="s">
        <v>751</v>
      </c>
    </row>
    <row r="6184" spans="1:4" ht="12.5">
      <c r="A6184" s="186">
        <v>46332</v>
      </c>
      <c r="B6184" s="184">
        <v>7002928277</v>
      </c>
      <c r="C6184" s="184">
        <v>1</v>
      </c>
      <c r="D6184" s="184" t="s">
        <v>750</v>
      </c>
    </row>
    <row r="6185" spans="1:4" ht="12.5">
      <c r="A6185" s="186">
        <v>46332</v>
      </c>
      <c r="B6185" s="184">
        <v>7002928318</v>
      </c>
      <c r="C6185" s="184">
        <v>36</v>
      </c>
      <c r="D6185" s="184" t="s">
        <v>752</v>
      </c>
    </row>
    <row r="6186" spans="1:4" ht="12.5">
      <c r="A6186" s="186">
        <v>46332</v>
      </c>
      <c r="B6186" s="184">
        <v>7002928373</v>
      </c>
      <c r="C6186" s="184">
        <v>1</v>
      </c>
      <c r="D6186" s="184" t="s">
        <v>750</v>
      </c>
    </row>
    <row r="6187" spans="1:4" ht="12.5">
      <c r="A6187" s="186">
        <v>46332</v>
      </c>
      <c r="B6187" s="184">
        <v>7002928434</v>
      </c>
      <c r="C6187" s="184">
        <v>4</v>
      </c>
      <c r="D6187" s="184" t="s">
        <v>751</v>
      </c>
    </row>
    <row r="6188" spans="1:4" ht="12.5">
      <c r="A6188" s="186">
        <v>46332</v>
      </c>
      <c r="B6188" s="184">
        <v>7002928447</v>
      </c>
      <c r="C6188" s="184">
        <v>6</v>
      </c>
      <c r="D6188" s="184" t="s">
        <v>758</v>
      </c>
    </row>
    <row r="6189" spans="1:4" ht="12.5">
      <c r="A6189" s="186">
        <v>46332</v>
      </c>
      <c r="B6189" s="184">
        <v>7002928452</v>
      </c>
      <c r="C6189" s="184">
        <v>5</v>
      </c>
      <c r="D6189" s="184" t="s">
        <v>751</v>
      </c>
    </row>
    <row r="6190" spans="1:4" ht="12.5">
      <c r="A6190" s="186">
        <v>46332</v>
      </c>
      <c r="B6190" s="184">
        <v>7002928701</v>
      </c>
      <c r="C6190" s="184">
        <v>5</v>
      </c>
      <c r="D6190" s="184" t="s">
        <v>751</v>
      </c>
    </row>
    <row r="6191" spans="1:4" ht="12.5">
      <c r="A6191" s="186">
        <v>46332</v>
      </c>
      <c r="B6191" s="184">
        <v>7002928832</v>
      </c>
      <c r="C6191" s="184">
        <v>2</v>
      </c>
      <c r="D6191" s="184" t="s">
        <v>751</v>
      </c>
    </row>
    <row r="6192" spans="1:4" ht="12.5">
      <c r="A6192" s="186">
        <v>46332</v>
      </c>
      <c r="B6192" s="184">
        <v>7002929209</v>
      </c>
      <c r="C6192" s="184">
        <v>1</v>
      </c>
      <c r="D6192" s="184" t="s">
        <v>750</v>
      </c>
    </row>
    <row r="6193" spans="1:4" ht="12.5">
      <c r="A6193" s="186">
        <v>46332</v>
      </c>
      <c r="B6193" s="184">
        <v>7002929284</v>
      </c>
      <c r="C6193" s="184">
        <v>220</v>
      </c>
      <c r="D6193" s="184" t="s">
        <v>752</v>
      </c>
    </row>
    <row r="6194" spans="1:4" ht="12.5">
      <c r="A6194" s="186">
        <v>46332</v>
      </c>
      <c r="B6194" s="184">
        <v>7002929335</v>
      </c>
      <c r="C6194" s="184">
        <v>1</v>
      </c>
      <c r="D6194" s="184" t="s">
        <v>750</v>
      </c>
    </row>
    <row r="6195" spans="1:4" ht="12.5">
      <c r="A6195" s="186">
        <v>46332</v>
      </c>
      <c r="B6195" s="184">
        <v>7002929374</v>
      </c>
      <c r="C6195" s="184">
        <v>71</v>
      </c>
      <c r="D6195" s="184" t="s">
        <v>752</v>
      </c>
    </row>
    <row r="6196" spans="1:4" ht="12.5">
      <c r="A6196" s="186">
        <v>46332</v>
      </c>
      <c r="B6196" s="184">
        <v>7002929388</v>
      </c>
      <c r="C6196" s="184">
        <v>1</v>
      </c>
      <c r="D6196" s="184" t="s">
        <v>750</v>
      </c>
    </row>
    <row r="6197" spans="1:4" ht="12.5">
      <c r="A6197" s="186">
        <v>46332</v>
      </c>
      <c r="B6197" s="184">
        <v>7002929430</v>
      </c>
      <c r="C6197" s="184">
        <v>8</v>
      </c>
      <c r="D6197" s="184" t="s">
        <v>758</v>
      </c>
    </row>
    <row r="6198" spans="1:4" ht="12.5">
      <c r="A6198" s="186">
        <v>46332</v>
      </c>
      <c r="B6198" s="184">
        <v>7002929482</v>
      </c>
      <c r="C6198" s="184">
        <v>3</v>
      </c>
      <c r="D6198" s="184" t="s">
        <v>751</v>
      </c>
    </row>
    <row r="6199" spans="1:4" ht="12.5">
      <c r="A6199" s="186">
        <v>46332</v>
      </c>
      <c r="B6199" s="184">
        <v>7002929643</v>
      </c>
      <c r="C6199" s="184">
        <v>28</v>
      </c>
      <c r="D6199" s="184" t="s">
        <v>752</v>
      </c>
    </row>
    <row r="6200" spans="1:4" ht="12.5">
      <c r="A6200" s="186">
        <v>46332</v>
      </c>
      <c r="B6200" s="184">
        <v>7002930317</v>
      </c>
      <c r="C6200" s="184">
        <v>2</v>
      </c>
      <c r="D6200" s="184" t="s">
        <v>751</v>
      </c>
    </row>
    <row r="6201" spans="1:4" ht="12.5">
      <c r="A6201" s="186">
        <v>46332</v>
      </c>
      <c r="B6201" s="184">
        <v>7002930744</v>
      </c>
      <c r="C6201" s="184">
        <v>1</v>
      </c>
      <c r="D6201" s="184" t="s">
        <v>750</v>
      </c>
    </row>
    <row r="6202" spans="1:4" ht="12.5">
      <c r="A6202" s="186">
        <v>46332</v>
      </c>
      <c r="B6202" s="184">
        <v>7002931122</v>
      </c>
      <c r="C6202" s="184">
        <v>1</v>
      </c>
      <c r="D6202" s="184" t="s">
        <v>750</v>
      </c>
    </row>
    <row r="6203" spans="1:4" ht="12.5">
      <c r="A6203" s="186">
        <v>46332</v>
      </c>
      <c r="B6203" s="184">
        <v>7002931497</v>
      </c>
      <c r="C6203" s="184">
        <v>2</v>
      </c>
      <c r="D6203" s="184" t="s">
        <v>751</v>
      </c>
    </row>
    <row r="6204" spans="1:4" ht="12.5">
      <c r="A6204" s="186">
        <v>46332</v>
      </c>
      <c r="B6204" s="184">
        <v>7002933250</v>
      </c>
      <c r="C6204" s="184">
        <v>41</v>
      </c>
      <c r="D6204" s="184" t="s">
        <v>752</v>
      </c>
    </row>
    <row r="6205" spans="1:4" ht="12.5">
      <c r="A6205" s="186">
        <v>46332</v>
      </c>
      <c r="B6205" s="184">
        <v>7002933585</v>
      </c>
      <c r="C6205" s="184">
        <v>4</v>
      </c>
      <c r="D6205" s="184" t="s">
        <v>751</v>
      </c>
    </row>
    <row r="6206" spans="1:4" ht="12.5">
      <c r="A6206" s="186">
        <v>46332</v>
      </c>
      <c r="B6206" s="184">
        <v>7002933662</v>
      </c>
      <c r="C6206" s="184">
        <v>1</v>
      </c>
      <c r="D6206" s="184" t="s">
        <v>750</v>
      </c>
    </row>
    <row r="6207" spans="1:4" ht="12.5">
      <c r="A6207" s="186">
        <v>46332</v>
      </c>
      <c r="B6207" s="184">
        <v>7002934037</v>
      </c>
      <c r="C6207" s="184">
        <v>1</v>
      </c>
      <c r="D6207" s="184" t="s">
        <v>750</v>
      </c>
    </row>
    <row r="6208" spans="1:4" ht="12.5">
      <c r="A6208" s="186">
        <v>46332</v>
      </c>
      <c r="B6208" s="184">
        <v>7002934562</v>
      </c>
      <c r="C6208" s="184">
        <v>14</v>
      </c>
      <c r="D6208" s="184" t="s">
        <v>752</v>
      </c>
    </row>
    <row r="6209" spans="1:4" ht="12.5">
      <c r="A6209" s="186">
        <v>46332</v>
      </c>
      <c r="B6209" s="184">
        <v>7002935444</v>
      </c>
      <c r="C6209" s="184">
        <v>2</v>
      </c>
      <c r="D6209" s="184" t="s">
        <v>751</v>
      </c>
    </row>
    <row r="6210" spans="1:4" ht="12.5">
      <c r="A6210" s="186">
        <v>46332</v>
      </c>
      <c r="B6210" s="184">
        <v>7002936596</v>
      </c>
      <c r="C6210" s="184">
        <v>1</v>
      </c>
      <c r="D6210" s="184" t="s">
        <v>750</v>
      </c>
    </row>
    <row r="6211" spans="1:4" ht="12.5">
      <c r="A6211" s="186">
        <v>46332</v>
      </c>
      <c r="B6211" s="184">
        <v>7002937545</v>
      </c>
      <c r="C6211" s="184">
        <v>4</v>
      </c>
      <c r="D6211" s="184" t="s">
        <v>751</v>
      </c>
    </row>
    <row r="6212" spans="1:4" ht="12.5">
      <c r="A6212" s="186">
        <v>46332</v>
      </c>
      <c r="B6212" s="184">
        <v>7002937584</v>
      </c>
      <c r="C6212" s="184">
        <v>4</v>
      </c>
      <c r="D6212" s="184" t="s">
        <v>751</v>
      </c>
    </row>
    <row r="6213" spans="1:4" ht="12.5">
      <c r="A6213" s="186">
        <v>46332</v>
      </c>
      <c r="B6213" s="184">
        <v>7002937827</v>
      </c>
      <c r="C6213" s="184">
        <v>1</v>
      </c>
      <c r="D6213" s="184" t="s">
        <v>750</v>
      </c>
    </row>
    <row r="6214" spans="1:4" ht="12.5">
      <c r="A6214" s="186">
        <v>46332</v>
      </c>
      <c r="B6214" s="184">
        <v>7002939067</v>
      </c>
      <c r="C6214" s="184">
        <v>1</v>
      </c>
      <c r="D6214" s="184" t="s">
        <v>750</v>
      </c>
    </row>
    <row r="6215" spans="1:4" ht="12.5">
      <c r="A6215" s="186">
        <v>46332</v>
      </c>
      <c r="B6215" s="184">
        <v>7002939354</v>
      </c>
      <c r="C6215" s="184">
        <v>9</v>
      </c>
      <c r="D6215" s="184" t="s">
        <v>758</v>
      </c>
    </row>
    <row r="6216" spans="1:4" ht="12.5">
      <c r="A6216" s="186">
        <v>46332</v>
      </c>
      <c r="B6216" s="184">
        <v>7002939864</v>
      </c>
      <c r="C6216" s="184">
        <v>15</v>
      </c>
      <c r="D6216" s="184" t="s">
        <v>752</v>
      </c>
    </row>
    <row r="6217" spans="1:4" ht="12.5">
      <c r="A6217" s="186">
        <v>46332</v>
      </c>
      <c r="B6217" s="184">
        <v>7002940342</v>
      </c>
      <c r="C6217" s="184">
        <v>145</v>
      </c>
      <c r="D6217" s="184" t="s">
        <v>752</v>
      </c>
    </row>
    <row r="6218" spans="1:4" ht="12.5">
      <c r="A6218" s="186">
        <v>46332</v>
      </c>
      <c r="B6218" s="184">
        <v>7002940407</v>
      </c>
      <c r="C6218" s="184">
        <v>22</v>
      </c>
      <c r="D6218" s="184" t="s">
        <v>752</v>
      </c>
    </row>
    <row r="6219" spans="1:4" ht="12.5">
      <c r="A6219" s="186">
        <v>46332</v>
      </c>
      <c r="B6219" s="184">
        <v>7002940469</v>
      </c>
      <c r="C6219" s="184">
        <v>16</v>
      </c>
      <c r="D6219" s="184" t="s">
        <v>752</v>
      </c>
    </row>
    <row r="6220" spans="1:4" ht="12.5">
      <c r="A6220" s="186">
        <v>46332</v>
      </c>
      <c r="B6220" s="184">
        <v>7002940544</v>
      </c>
      <c r="C6220" s="184">
        <v>2</v>
      </c>
      <c r="D6220" s="184" t="s">
        <v>751</v>
      </c>
    </row>
    <row r="6221" spans="1:4" ht="12.5">
      <c r="A6221" s="186">
        <v>46332</v>
      </c>
      <c r="B6221" s="184">
        <v>7002941318</v>
      </c>
      <c r="C6221" s="184">
        <v>3</v>
      </c>
      <c r="D6221" s="184" t="s">
        <v>751</v>
      </c>
    </row>
    <row r="6222" spans="1:4" ht="12.5">
      <c r="A6222" s="186">
        <v>46332</v>
      </c>
      <c r="B6222" s="184">
        <v>7002941341</v>
      </c>
      <c r="C6222" s="184">
        <v>14</v>
      </c>
      <c r="D6222" s="184" t="s">
        <v>752</v>
      </c>
    </row>
    <row r="6223" spans="1:4" ht="12.5">
      <c r="A6223" s="186">
        <v>46332</v>
      </c>
      <c r="B6223" s="184">
        <v>7002941360</v>
      </c>
      <c r="C6223" s="184">
        <v>63</v>
      </c>
      <c r="D6223" s="184" t="s">
        <v>752</v>
      </c>
    </row>
    <row r="6224" spans="1:4" ht="12.5">
      <c r="A6224" s="186">
        <v>46332</v>
      </c>
      <c r="B6224" s="184">
        <v>7002941468</v>
      </c>
      <c r="C6224" s="184">
        <v>1</v>
      </c>
      <c r="D6224" s="184" t="s">
        <v>750</v>
      </c>
    </row>
    <row r="6225" spans="1:4" ht="12.5">
      <c r="A6225" s="186">
        <v>46332</v>
      </c>
      <c r="B6225" s="184">
        <v>7002941499</v>
      </c>
      <c r="C6225" s="184">
        <v>1</v>
      </c>
      <c r="D6225" s="184" t="s">
        <v>750</v>
      </c>
    </row>
    <row r="6226" spans="1:4" ht="12.5">
      <c r="A6226" s="186">
        <v>46332</v>
      </c>
      <c r="B6226" s="184">
        <v>7002941813</v>
      </c>
      <c r="C6226" s="184">
        <v>2</v>
      </c>
      <c r="D6226" s="184" t="s">
        <v>751</v>
      </c>
    </row>
    <row r="6227" spans="1:4" ht="12.5">
      <c r="A6227" s="186">
        <v>46332</v>
      </c>
      <c r="B6227" s="184">
        <v>7002942372</v>
      </c>
      <c r="C6227" s="184">
        <v>3</v>
      </c>
      <c r="D6227" s="184" t="s">
        <v>751</v>
      </c>
    </row>
    <row r="6228" spans="1:4" ht="12.5">
      <c r="A6228" s="186">
        <v>46332</v>
      </c>
      <c r="B6228" s="184">
        <v>7002942519</v>
      </c>
      <c r="C6228" s="184">
        <v>2</v>
      </c>
      <c r="D6228" s="184" t="s">
        <v>751</v>
      </c>
    </row>
    <row r="6229" spans="1:4" ht="12.5">
      <c r="A6229" s="186">
        <v>46332</v>
      </c>
      <c r="B6229" s="184">
        <v>7002942812</v>
      </c>
      <c r="C6229" s="184">
        <v>4</v>
      </c>
      <c r="D6229" s="184" t="s">
        <v>751</v>
      </c>
    </row>
    <row r="6230" spans="1:4" ht="12.5">
      <c r="A6230" s="186">
        <v>46332</v>
      </c>
      <c r="B6230" s="184">
        <v>7002943300</v>
      </c>
      <c r="C6230" s="184">
        <v>56</v>
      </c>
      <c r="D6230" s="184" t="s">
        <v>752</v>
      </c>
    </row>
    <row r="6231" spans="1:4" ht="12.5">
      <c r="A6231" s="186">
        <v>46332</v>
      </c>
      <c r="B6231" s="184">
        <v>7002943316</v>
      </c>
      <c r="C6231" s="184">
        <v>11</v>
      </c>
      <c r="D6231" s="184" t="s">
        <v>752</v>
      </c>
    </row>
    <row r="6232" spans="1:4" ht="12.5">
      <c r="A6232" s="186">
        <v>46332</v>
      </c>
      <c r="B6232" s="184">
        <v>7002943337</v>
      </c>
      <c r="C6232" s="184">
        <v>10</v>
      </c>
      <c r="D6232" s="184" t="s">
        <v>758</v>
      </c>
    </row>
    <row r="6233" spans="1:4" ht="12.5">
      <c r="A6233" s="186">
        <v>46332</v>
      </c>
      <c r="B6233" s="184">
        <v>7002943413</v>
      </c>
      <c r="C6233" s="184">
        <v>44</v>
      </c>
      <c r="D6233" s="184" t="s">
        <v>752</v>
      </c>
    </row>
    <row r="6234" spans="1:4" ht="12.5">
      <c r="A6234" s="186">
        <v>46332</v>
      </c>
      <c r="B6234" s="184">
        <v>7002943715</v>
      </c>
      <c r="C6234" s="184">
        <v>2</v>
      </c>
      <c r="D6234" s="184" t="s">
        <v>751</v>
      </c>
    </row>
    <row r="6235" spans="1:4" ht="12.5">
      <c r="A6235" s="186">
        <v>46332</v>
      </c>
      <c r="B6235" s="184">
        <v>7002943811</v>
      </c>
      <c r="C6235" s="184">
        <v>1</v>
      </c>
      <c r="D6235" s="184" t="s">
        <v>750</v>
      </c>
    </row>
    <row r="6236" spans="1:4" ht="12.5">
      <c r="A6236" s="186">
        <v>46332</v>
      </c>
      <c r="B6236" s="184">
        <v>7002943949</v>
      </c>
      <c r="C6236" s="184">
        <v>2</v>
      </c>
      <c r="D6236" s="184" t="s">
        <v>751</v>
      </c>
    </row>
    <row r="6237" spans="1:4" ht="12.5">
      <c r="A6237" s="186">
        <v>46332</v>
      </c>
      <c r="B6237" s="184">
        <v>7002944279</v>
      </c>
      <c r="C6237" s="184">
        <v>8</v>
      </c>
      <c r="D6237" s="184" t="s">
        <v>758</v>
      </c>
    </row>
    <row r="6238" spans="1:4" ht="12.5">
      <c r="A6238" s="186">
        <v>46332</v>
      </c>
      <c r="B6238" s="184">
        <v>7002944391</v>
      </c>
      <c r="C6238" s="184">
        <v>2</v>
      </c>
      <c r="D6238" s="184" t="s">
        <v>751</v>
      </c>
    </row>
    <row r="6239" spans="1:4" ht="12.5">
      <c r="A6239" s="186">
        <v>46332</v>
      </c>
      <c r="B6239" s="184">
        <v>7002944412</v>
      </c>
      <c r="C6239" s="184">
        <v>2</v>
      </c>
      <c r="D6239" s="184" t="s">
        <v>751</v>
      </c>
    </row>
    <row r="6240" spans="1:4" ht="12.5">
      <c r="A6240" s="186">
        <v>46332</v>
      </c>
      <c r="B6240" s="184">
        <v>7002945426</v>
      </c>
      <c r="C6240" s="184">
        <v>1</v>
      </c>
      <c r="D6240" s="184" t="s">
        <v>750</v>
      </c>
    </row>
    <row r="6241" spans="1:4" ht="12.5">
      <c r="A6241" s="186">
        <v>46332</v>
      </c>
      <c r="B6241" s="184">
        <v>7002945488</v>
      </c>
      <c r="C6241" s="184">
        <v>5</v>
      </c>
      <c r="D6241" s="184" t="s">
        <v>751</v>
      </c>
    </row>
    <row r="6242" spans="1:4" ht="12.5">
      <c r="A6242" s="186">
        <v>46332</v>
      </c>
      <c r="B6242" s="184">
        <v>7002946273</v>
      </c>
      <c r="C6242" s="184">
        <v>3</v>
      </c>
      <c r="D6242" s="184" t="s">
        <v>751</v>
      </c>
    </row>
    <row r="6243" spans="1:4" ht="12.5">
      <c r="A6243" s="186">
        <v>46332</v>
      </c>
      <c r="B6243" s="184">
        <v>7002946308</v>
      </c>
      <c r="C6243" s="184">
        <v>10</v>
      </c>
      <c r="D6243" s="184" t="s">
        <v>758</v>
      </c>
    </row>
    <row r="6244" spans="1:4" ht="12.5">
      <c r="A6244" s="186">
        <v>46332</v>
      </c>
      <c r="B6244" s="184">
        <v>7002946320</v>
      </c>
      <c r="C6244" s="184">
        <v>18</v>
      </c>
      <c r="D6244" s="184" t="s">
        <v>752</v>
      </c>
    </row>
    <row r="6245" spans="1:4" ht="12.5">
      <c r="A6245" s="186">
        <v>46332</v>
      </c>
      <c r="B6245" s="184">
        <v>7002946396</v>
      </c>
      <c r="C6245" s="184">
        <v>4</v>
      </c>
      <c r="D6245" s="184" t="s">
        <v>751</v>
      </c>
    </row>
    <row r="6246" spans="1:4" ht="12.5">
      <c r="A6246" s="186">
        <v>46332</v>
      </c>
      <c r="B6246" s="184">
        <v>7002946523</v>
      </c>
      <c r="C6246" s="184">
        <v>12</v>
      </c>
      <c r="D6246" s="184" t="s">
        <v>752</v>
      </c>
    </row>
    <row r="6247" spans="1:4" ht="12.5">
      <c r="A6247" s="186">
        <v>46332</v>
      </c>
      <c r="B6247" s="184">
        <v>7002946534</v>
      </c>
      <c r="C6247" s="184">
        <v>11</v>
      </c>
      <c r="D6247" s="184" t="s">
        <v>752</v>
      </c>
    </row>
    <row r="6248" spans="1:4" ht="12.5">
      <c r="A6248" s="186">
        <v>46332</v>
      </c>
      <c r="B6248" s="184">
        <v>7002946581</v>
      </c>
      <c r="C6248" s="184">
        <v>9</v>
      </c>
      <c r="D6248" s="184" t="s">
        <v>758</v>
      </c>
    </row>
    <row r="6249" spans="1:4" ht="12.5">
      <c r="A6249" s="186">
        <v>46332</v>
      </c>
      <c r="B6249" s="184">
        <v>7002946840</v>
      </c>
      <c r="C6249" s="184">
        <v>1</v>
      </c>
      <c r="D6249" s="184" t="s">
        <v>750</v>
      </c>
    </row>
    <row r="6250" spans="1:4" ht="12.5">
      <c r="A6250" s="186">
        <v>46332</v>
      </c>
      <c r="B6250" s="184">
        <v>7002946886</v>
      </c>
      <c r="C6250" s="184">
        <v>3</v>
      </c>
      <c r="D6250" s="184" t="s">
        <v>751</v>
      </c>
    </row>
    <row r="6251" spans="1:4" ht="12.5">
      <c r="A6251" s="186">
        <v>46332</v>
      </c>
      <c r="B6251" s="184">
        <v>7002947459</v>
      </c>
      <c r="C6251" s="184">
        <v>12</v>
      </c>
      <c r="D6251" s="184" t="s">
        <v>752</v>
      </c>
    </row>
    <row r="6252" spans="1:4" ht="12.5">
      <c r="A6252" s="186">
        <v>46332</v>
      </c>
      <c r="B6252" s="184">
        <v>7002947524</v>
      </c>
      <c r="C6252" s="184">
        <v>1</v>
      </c>
      <c r="D6252" s="184" t="s">
        <v>750</v>
      </c>
    </row>
    <row r="6253" spans="1:4" ht="12.5">
      <c r="A6253" s="186">
        <v>46332</v>
      </c>
      <c r="B6253" s="184">
        <v>7002947696</v>
      </c>
      <c r="C6253" s="184">
        <v>18</v>
      </c>
      <c r="D6253" s="184" t="s">
        <v>752</v>
      </c>
    </row>
    <row r="6254" spans="1:4" ht="12.5">
      <c r="A6254" s="186">
        <v>46332</v>
      </c>
      <c r="B6254" s="184">
        <v>7002948243</v>
      </c>
      <c r="C6254" s="184">
        <v>4</v>
      </c>
      <c r="D6254" s="184" t="s">
        <v>751</v>
      </c>
    </row>
    <row r="6255" spans="1:4" ht="12.5">
      <c r="A6255" s="186">
        <v>46332</v>
      </c>
      <c r="B6255" s="184">
        <v>7002948270</v>
      </c>
      <c r="C6255" s="184">
        <v>2</v>
      </c>
      <c r="D6255" s="184" t="s">
        <v>751</v>
      </c>
    </row>
    <row r="6256" spans="1:4" ht="12.5">
      <c r="A6256" s="186">
        <v>46332</v>
      </c>
      <c r="B6256" s="184">
        <v>7002948346</v>
      </c>
      <c r="C6256" s="184">
        <v>4</v>
      </c>
      <c r="D6256" s="184" t="s">
        <v>751</v>
      </c>
    </row>
    <row r="6257" spans="1:4" ht="12.5">
      <c r="A6257" s="186">
        <v>46332</v>
      </c>
      <c r="B6257" s="184">
        <v>7002948508</v>
      </c>
      <c r="C6257" s="184">
        <v>107</v>
      </c>
      <c r="D6257" s="184" t="s">
        <v>752</v>
      </c>
    </row>
    <row r="6258" spans="1:4" ht="12.5">
      <c r="A6258" s="186">
        <v>46332</v>
      </c>
      <c r="B6258" s="184">
        <v>7002948678</v>
      </c>
      <c r="C6258" s="184">
        <v>1</v>
      </c>
      <c r="D6258" s="184" t="s">
        <v>750</v>
      </c>
    </row>
    <row r="6259" spans="1:4" ht="12.5">
      <c r="A6259" s="186">
        <v>46332</v>
      </c>
      <c r="B6259" s="184">
        <v>7002949259</v>
      </c>
      <c r="C6259" s="184">
        <v>6</v>
      </c>
      <c r="D6259" s="184" t="s">
        <v>758</v>
      </c>
    </row>
    <row r="6260" spans="1:4" ht="12.5">
      <c r="A6260" s="186">
        <v>46332</v>
      </c>
      <c r="B6260" s="184">
        <v>7002949306</v>
      </c>
      <c r="C6260" s="184">
        <v>80</v>
      </c>
      <c r="D6260" s="184" t="s">
        <v>752</v>
      </c>
    </row>
    <row r="6261" spans="1:4" ht="12.5">
      <c r="A6261" s="186">
        <v>46332</v>
      </c>
      <c r="B6261" s="184">
        <v>7002949439</v>
      </c>
      <c r="C6261" s="184">
        <v>4</v>
      </c>
      <c r="D6261" s="184" t="s">
        <v>751</v>
      </c>
    </row>
    <row r="6262" spans="1:4" ht="12.5">
      <c r="A6262" s="186">
        <v>46332</v>
      </c>
      <c r="B6262" s="184">
        <v>7002949513</v>
      </c>
      <c r="C6262" s="184">
        <v>2</v>
      </c>
      <c r="D6262" s="184" t="s">
        <v>751</v>
      </c>
    </row>
    <row r="6263" spans="1:4" ht="12.5">
      <c r="A6263" s="186">
        <v>46332</v>
      </c>
      <c r="B6263" s="184">
        <v>7002949521</v>
      </c>
      <c r="C6263" s="184">
        <v>5</v>
      </c>
      <c r="D6263" s="184" t="s">
        <v>751</v>
      </c>
    </row>
    <row r="6264" spans="1:4" ht="12.5">
      <c r="A6264" s="186">
        <v>46332</v>
      </c>
      <c r="B6264" s="184">
        <v>7002949957</v>
      </c>
      <c r="C6264" s="184">
        <v>3</v>
      </c>
      <c r="D6264" s="184" t="s">
        <v>751</v>
      </c>
    </row>
    <row r="6265" spans="1:4" ht="12.5">
      <c r="A6265" s="186">
        <v>46332</v>
      </c>
      <c r="B6265" s="184">
        <v>7002950613</v>
      </c>
      <c r="C6265" s="184">
        <v>6</v>
      </c>
      <c r="D6265" s="184" t="s">
        <v>758</v>
      </c>
    </row>
    <row r="6266" spans="1:4" ht="12.5">
      <c r="A6266" s="186">
        <v>46332</v>
      </c>
      <c r="B6266" s="184">
        <v>7002950925</v>
      </c>
      <c r="C6266" s="184">
        <v>10</v>
      </c>
      <c r="D6266" s="184" t="s">
        <v>758</v>
      </c>
    </row>
    <row r="6267" spans="1:4" ht="12.5">
      <c r="A6267" s="186">
        <v>46332</v>
      </c>
      <c r="B6267" s="184">
        <v>7002950987</v>
      </c>
      <c r="C6267" s="184">
        <v>5</v>
      </c>
      <c r="D6267" s="184" t="s">
        <v>751</v>
      </c>
    </row>
    <row r="6268" spans="1:4" ht="12.5">
      <c r="A6268" s="186">
        <v>46332</v>
      </c>
      <c r="B6268" s="184">
        <v>7002952320</v>
      </c>
      <c r="C6268" s="184">
        <v>1</v>
      </c>
      <c r="D6268" s="184" t="s">
        <v>750</v>
      </c>
    </row>
    <row r="6269" spans="1:4" ht="12.5">
      <c r="A6269" s="186">
        <v>46332</v>
      </c>
      <c r="B6269" s="184">
        <v>7002952436</v>
      </c>
      <c r="C6269" s="184">
        <v>1</v>
      </c>
      <c r="D6269" s="184" t="s">
        <v>750</v>
      </c>
    </row>
    <row r="6270" spans="1:4" ht="12.5">
      <c r="A6270" s="186">
        <v>46332</v>
      </c>
      <c r="B6270" s="184">
        <v>7002953623</v>
      </c>
      <c r="C6270" s="184">
        <v>5</v>
      </c>
      <c r="D6270" s="184" t="s">
        <v>751</v>
      </c>
    </row>
    <row r="6271" spans="1:4" ht="12.5">
      <c r="A6271" s="186">
        <v>46332</v>
      </c>
      <c r="B6271" s="184">
        <v>7002953943</v>
      </c>
      <c r="C6271" s="184">
        <v>10</v>
      </c>
      <c r="D6271" s="184" t="s">
        <v>758</v>
      </c>
    </row>
    <row r="6272" spans="1:4" ht="12.5">
      <c r="A6272" s="186">
        <v>46332</v>
      </c>
      <c r="B6272" s="184">
        <v>7002953991</v>
      </c>
      <c r="C6272" s="184">
        <v>1</v>
      </c>
      <c r="D6272" s="184" t="s">
        <v>750</v>
      </c>
    </row>
    <row r="6273" spans="1:4" ht="12.5">
      <c r="A6273" s="186">
        <v>46332</v>
      </c>
      <c r="B6273" s="184">
        <v>7002954974</v>
      </c>
      <c r="C6273" s="184">
        <v>1</v>
      </c>
      <c r="D6273" s="184" t="s">
        <v>750</v>
      </c>
    </row>
    <row r="6274" spans="1:4" ht="12.5">
      <c r="A6274" s="186">
        <v>46332</v>
      </c>
      <c r="B6274" s="184">
        <v>7002955525</v>
      </c>
      <c r="C6274" s="184">
        <v>1</v>
      </c>
      <c r="D6274" s="184" t="s">
        <v>750</v>
      </c>
    </row>
    <row r="6275" spans="1:4" ht="12.5">
      <c r="A6275" s="186">
        <v>46332</v>
      </c>
      <c r="B6275" s="184">
        <v>7002958923</v>
      </c>
      <c r="C6275" s="184">
        <v>4</v>
      </c>
      <c r="D6275" s="184" t="s">
        <v>751</v>
      </c>
    </row>
    <row r="6276" spans="1:4" ht="12.5">
      <c r="A6276" s="186">
        <v>46332</v>
      </c>
      <c r="B6276" s="184">
        <v>7002961001</v>
      </c>
      <c r="C6276" s="184">
        <v>20</v>
      </c>
      <c r="D6276" s="184" t="s">
        <v>752</v>
      </c>
    </row>
    <row r="6277" spans="1:4" ht="12.5">
      <c r="A6277" s="191"/>
      <c r="B6277" s="192"/>
      <c r="C6277" s="192"/>
      <c r="D6277" s="192"/>
    </row>
    <row r="6278" spans="1:4" ht="12.5">
      <c r="A6278" s="186">
        <v>46362</v>
      </c>
      <c r="B6278" s="184">
        <v>7001727096</v>
      </c>
      <c r="C6278" s="184">
        <v>2</v>
      </c>
      <c r="D6278" s="184" t="s">
        <v>751</v>
      </c>
    </row>
    <row r="6279" spans="1:4" ht="12.5">
      <c r="A6279" s="186">
        <v>46362</v>
      </c>
      <c r="B6279" s="184">
        <v>7002636782</v>
      </c>
      <c r="C6279" s="184">
        <v>5</v>
      </c>
      <c r="D6279" s="184" t="s">
        <v>751</v>
      </c>
    </row>
    <row r="6280" spans="1:4" ht="12.5">
      <c r="A6280" s="186">
        <v>46362</v>
      </c>
      <c r="B6280" s="184">
        <v>7002670009</v>
      </c>
      <c r="C6280" s="184">
        <v>26</v>
      </c>
      <c r="D6280" s="184" t="s">
        <v>752</v>
      </c>
    </row>
    <row r="6281" spans="1:4" ht="12.5">
      <c r="A6281" s="186">
        <v>46362</v>
      </c>
      <c r="B6281" s="184">
        <v>7002674489</v>
      </c>
      <c r="C6281" s="184">
        <v>1</v>
      </c>
      <c r="D6281" s="184" t="s">
        <v>750</v>
      </c>
    </row>
    <row r="6282" spans="1:4" ht="12.5">
      <c r="A6282" s="186">
        <v>46362</v>
      </c>
      <c r="B6282" s="184">
        <v>7002724648</v>
      </c>
      <c r="C6282" s="184">
        <v>2</v>
      </c>
      <c r="D6282" s="184" t="s">
        <v>751</v>
      </c>
    </row>
    <row r="6283" spans="1:4" ht="12.5">
      <c r="A6283" s="186">
        <v>46362</v>
      </c>
      <c r="B6283" s="184">
        <v>7002728152</v>
      </c>
      <c r="C6283" s="184">
        <v>98</v>
      </c>
      <c r="D6283" s="184" t="s">
        <v>752</v>
      </c>
    </row>
    <row r="6284" spans="1:4" ht="12.5">
      <c r="A6284" s="186">
        <v>46362</v>
      </c>
      <c r="B6284" s="184">
        <v>7002731618</v>
      </c>
      <c r="C6284" s="184">
        <v>43</v>
      </c>
      <c r="D6284" s="184" t="s">
        <v>752</v>
      </c>
    </row>
    <row r="6285" spans="1:4" ht="12.5">
      <c r="A6285" s="186">
        <v>46362</v>
      </c>
      <c r="B6285" s="184">
        <v>7002733304</v>
      </c>
      <c r="C6285" s="184">
        <v>46</v>
      </c>
      <c r="D6285" s="184" t="s">
        <v>752</v>
      </c>
    </row>
    <row r="6286" spans="1:4" ht="12.5">
      <c r="A6286" s="186">
        <v>46362</v>
      </c>
      <c r="B6286" s="184">
        <v>7002780898</v>
      </c>
      <c r="C6286" s="184">
        <v>2</v>
      </c>
      <c r="D6286" s="184" t="s">
        <v>751</v>
      </c>
    </row>
    <row r="6287" spans="1:4" ht="12.5">
      <c r="A6287" s="186">
        <v>46362</v>
      </c>
      <c r="B6287" s="184">
        <v>7002815995</v>
      </c>
      <c r="C6287" s="184">
        <v>50</v>
      </c>
      <c r="D6287" s="184" t="s">
        <v>752</v>
      </c>
    </row>
    <row r="6288" spans="1:4" ht="12.5">
      <c r="A6288" s="186">
        <v>46362</v>
      </c>
      <c r="B6288" s="184">
        <v>7002823016</v>
      </c>
      <c r="C6288" s="184">
        <v>2</v>
      </c>
      <c r="D6288" s="184" t="s">
        <v>751</v>
      </c>
    </row>
    <row r="6289" spans="1:4" ht="12.5">
      <c r="A6289" s="186">
        <v>46362</v>
      </c>
      <c r="B6289" s="184">
        <v>7002839868</v>
      </c>
      <c r="C6289" s="184">
        <v>3</v>
      </c>
      <c r="D6289" s="184" t="s">
        <v>751</v>
      </c>
    </row>
    <row r="6290" spans="1:4" ht="12.5">
      <c r="A6290" s="186">
        <v>46362</v>
      </c>
      <c r="B6290" s="184">
        <v>7002841324</v>
      </c>
      <c r="C6290" s="184">
        <v>1</v>
      </c>
      <c r="D6290" s="184" t="s">
        <v>750</v>
      </c>
    </row>
    <row r="6291" spans="1:4" ht="12.5">
      <c r="A6291" s="186">
        <v>46362</v>
      </c>
      <c r="B6291" s="184">
        <v>7002845373</v>
      </c>
      <c r="C6291" s="184">
        <v>93</v>
      </c>
      <c r="D6291" s="184" t="s">
        <v>752</v>
      </c>
    </row>
    <row r="6292" spans="1:4" ht="12.5">
      <c r="A6292" s="186">
        <v>46362</v>
      </c>
      <c r="B6292" s="184">
        <v>7002846303</v>
      </c>
      <c r="C6292" s="184">
        <v>1</v>
      </c>
      <c r="D6292" s="184" t="s">
        <v>750</v>
      </c>
    </row>
    <row r="6293" spans="1:4" ht="12.5">
      <c r="A6293" s="186">
        <v>46362</v>
      </c>
      <c r="B6293" s="184">
        <v>7002873912</v>
      </c>
      <c r="C6293" s="184">
        <v>4</v>
      </c>
      <c r="D6293" s="184" t="s">
        <v>751</v>
      </c>
    </row>
    <row r="6294" spans="1:4" ht="12.5">
      <c r="A6294" s="186">
        <v>46362</v>
      </c>
      <c r="B6294" s="184">
        <v>7002877052</v>
      </c>
      <c r="C6294" s="184">
        <v>42</v>
      </c>
      <c r="D6294" s="184" t="s">
        <v>752</v>
      </c>
    </row>
    <row r="6295" spans="1:4" ht="12.5">
      <c r="A6295" s="186">
        <v>46362</v>
      </c>
      <c r="B6295" s="184">
        <v>7002877309</v>
      </c>
      <c r="C6295" s="184">
        <v>16</v>
      </c>
      <c r="D6295" s="184" t="s">
        <v>752</v>
      </c>
    </row>
    <row r="6296" spans="1:4" ht="12.5">
      <c r="A6296" s="186">
        <v>46362</v>
      </c>
      <c r="B6296" s="184">
        <v>7002877751</v>
      </c>
      <c r="C6296" s="184">
        <v>2</v>
      </c>
      <c r="D6296" s="184" t="s">
        <v>751</v>
      </c>
    </row>
    <row r="6297" spans="1:4" ht="12.5">
      <c r="A6297" s="186">
        <v>46362</v>
      </c>
      <c r="B6297" s="184">
        <v>7002881669</v>
      </c>
      <c r="C6297" s="184">
        <v>5</v>
      </c>
      <c r="D6297" s="184" t="s">
        <v>751</v>
      </c>
    </row>
    <row r="6298" spans="1:4" ht="12.5">
      <c r="A6298" s="186">
        <v>46362</v>
      </c>
      <c r="B6298" s="184">
        <v>7002885535</v>
      </c>
      <c r="C6298" s="184">
        <v>1</v>
      </c>
      <c r="D6298" s="184" t="s">
        <v>750</v>
      </c>
    </row>
    <row r="6299" spans="1:4" ht="12.5">
      <c r="A6299" s="186">
        <v>46362</v>
      </c>
      <c r="B6299" s="184">
        <v>7002886589</v>
      </c>
      <c r="C6299" s="184">
        <v>1</v>
      </c>
      <c r="D6299" s="184" t="s">
        <v>750</v>
      </c>
    </row>
    <row r="6300" spans="1:4" ht="12.5">
      <c r="A6300" s="186">
        <v>46362</v>
      </c>
      <c r="B6300" s="184">
        <v>7002895903</v>
      </c>
      <c r="C6300" s="184">
        <v>19</v>
      </c>
      <c r="D6300" s="184" t="s">
        <v>752</v>
      </c>
    </row>
    <row r="6301" spans="1:4" ht="12.5">
      <c r="A6301" s="186">
        <v>46362</v>
      </c>
      <c r="B6301" s="184">
        <v>7002902009</v>
      </c>
      <c r="C6301" s="184">
        <v>6</v>
      </c>
      <c r="D6301" s="184" t="s">
        <v>758</v>
      </c>
    </row>
    <row r="6302" spans="1:4" ht="12.5">
      <c r="A6302" s="186">
        <v>46362</v>
      </c>
      <c r="B6302" s="184">
        <v>7002902904</v>
      </c>
      <c r="C6302" s="184">
        <v>1</v>
      </c>
      <c r="D6302" s="184" t="s">
        <v>750</v>
      </c>
    </row>
    <row r="6303" spans="1:4" ht="12.5">
      <c r="A6303" s="186">
        <v>46362</v>
      </c>
      <c r="B6303" s="184">
        <v>7002904204</v>
      </c>
      <c r="C6303" s="184">
        <v>46</v>
      </c>
      <c r="D6303" s="184" t="s">
        <v>752</v>
      </c>
    </row>
    <row r="6304" spans="1:4" ht="12.5">
      <c r="A6304" s="186">
        <v>46362</v>
      </c>
      <c r="B6304" s="184">
        <v>7002904243</v>
      </c>
      <c r="C6304" s="184">
        <v>58</v>
      </c>
      <c r="D6304" s="184" t="s">
        <v>752</v>
      </c>
    </row>
    <row r="6305" spans="1:4" ht="12.5">
      <c r="A6305" s="186">
        <v>46362</v>
      </c>
      <c r="B6305" s="184">
        <v>7002904888</v>
      </c>
      <c r="C6305" s="184">
        <v>6</v>
      </c>
      <c r="D6305" s="184" t="s">
        <v>758</v>
      </c>
    </row>
    <row r="6306" spans="1:4" ht="12.5">
      <c r="A6306" s="186">
        <v>46362</v>
      </c>
      <c r="B6306" s="184">
        <v>7002906878</v>
      </c>
      <c r="C6306" s="184">
        <v>3</v>
      </c>
      <c r="D6306" s="184" t="s">
        <v>751</v>
      </c>
    </row>
    <row r="6307" spans="1:4" ht="12.5">
      <c r="A6307" s="186">
        <v>46362</v>
      </c>
      <c r="B6307" s="184">
        <v>7002909003</v>
      </c>
      <c r="C6307" s="184">
        <v>1</v>
      </c>
      <c r="D6307" s="184" t="s">
        <v>750</v>
      </c>
    </row>
    <row r="6308" spans="1:4" ht="12.5">
      <c r="A6308" s="186">
        <v>46362</v>
      </c>
      <c r="B6308" s="184">
        <v>7002911449</v>
      </c>
      <c r="C6308" s="184">
        <v>1</v>
      </c>
      <c r="D6308" s="184" t="s">
        <v>750</v>
      </c>
    </row>
    <row r="6309" spans="1:4" ht="12.5">
      <c r="A6309" s="186">
        <v>46362</v>
      </c>
      <c r="B6309" s="184">
        <v>7002911501</v>
      </c>
      <c r="C6309" s="184">
        <v>2</v>
      </c>
      <c r="D6309" s="184" t="s">
        <v>751</v>
      </c>
    </row>
    <row r="6310" spans="1:4" ht="12.5">
      <c r="A6310" s="186">
        <v>46362</v>
      </c>
      <c r="B6310" s="184">
        <v>7002912165</v>
      </c>
      <c r="C6310" s="184">
        <v>4</v>
      </c>
      <c r="D6310" s="184" t="s">
        <v>751</v>
      </c>
    </row>
    <row r="6311" spans="1:4" ht="12.5">
      <c r="A6311" s="186">
        <v>46362</v>
      </c>
      <c r="B6311" s="184">
        <v>7002912390</v>
      </c>
      <c r="C6311" s="184">
        <v>20</v>
      </c>
      <c r="D6311" s="184" t="s">
        <v>752</v>
      </c>
    </row>
    <row r="6312" spans="1:4" ht="12.5">
      <c r="A6312" s="186">
        <v>46362</v>
      </c>
      <c r="B6312" s="184">
        <v>7002915645</v>
      </c>
      <c r="C6312" s="184">
        <v>4</v>
      </c>
      <c r="D6312" s="184" t="s">
        <v>751</v>
      </c>
    </row>
    <row r="6313" spans="1:4" ht="12.5">
      <c r="A6313" s="186">
        <v>46362</v>
      </c>
      <c r="B6313" s="184">
        <v>7002915819</v>
      </c>
      <c r="C6313" s="184">
        <v>4</v>
      </c>
      <c r="D6313" s="184" t="s">
        <v>751</v>
      </c>
    </row>
    <row r="6314" spans="1:4" ht="12.5">
      <c r="A6314" s="186">
        <v>46362</v>
      </c>
      <c r="B6314" s="184">
        <v>7002917238</v>
      </c>
      <c r="C6314" s="184">
        <v>9</v>
      </c>
      <c r="D6314" s="184" t="s">
        <v>758</v>
      </c>
    </row>
    <row r="6315" spans="1:4" ht="12.5">
      <c r="A6315" s="186">
        <v>46362</v>
      </c>
      <c r="B6315" s="184">
        <v>7002917892</v>
      </c>
      <c r="C6315" s="184">
        <v>4</v>
      </c>
      <c r="D6315" s="184" t="s">
        <v>751</v>
      </c>
    </row>
    <row r="6316" spans="1:4" ht="12.5">
      <c r="A6316" s="186">
        <v>46362</v>
      </c>
      <c r="B6316" s="184">
        <v>7002918079</v>
      </c>
      <c r="C6316" s="184">
        <v>26</v>
      </c>
      <c r="D6316" s="184" t="s">
        <v>752</v>
      </c>
    </row>
    <row r="6317" spans="1:4" ht="12.5">
      <c r="A6317" s="186">
        <v>46362</v>
      </c>
      <c r="B6317" s="184">
        <v>7002918365</v>
      </c>
      <c r="C6317" s="184">
        <v>67</v>
      </c>
      <c r="D6317" s="184" t="s">
        <v>752</v>
      </c>
    </row>
    <row r="6318" spans="1:4" ht="12.5">
      <c r="A6318" s="186">
        <v>46362</v>
      </c>
      <c r="B6318" s="184">
        <v>7002918462</v>
      </c>
      <c r="C6318" s="184">
        <v>1</v>
      </c>
      <c r="D6318" s="184" t="s">
        <v>750</v>
      </c>
    </row>
    <row r="6319" spans="1:4" ht="12.5">
      <c r="A6319" s="186">
        <v>46362</v>
      </c>
      <c r="B6319" s="184">
        <v>7002920605</v>
      </c>
      <c r="C6319" s="184">
        <v>6</v>
      </c>
      <c r="D6319" s="184" t="s">
        <v>758</v>
      </c>
    </row>
    <row r="6320" spans="1:4" ht="12.5">
      <c r="A6320" s="186">
        <v>46362</v>
      </c>
      <c r="B6320" s="184">
        <v>7002920827</v>
      </c>
      <c r="C6320" s="184">
        <v>10</v>
      </c>
      <c r="D6320" s="184" t="s">
        <v>758</v>
      </c>
    </row>
    <row r="6321" spans="1:4" ht="12.5">
      <c r="A6321" s="186">
        <v>46362</v>
      </c>
      <c r="B6321" s="184">
        <v>7002921053</v>
      </c>
      <c r="C6321" s="184">
        <v>3</v>
      </c>
      <c r="D6321" s="184" t="s">
        <v>751</v>
      </c>
    </row>
    <row r="6322" spans="1:4" ht="12.5">
      <c r="A6322" s="186">
        <v>46362</v>
      </c>
      <c r="B6322" s="184">
        <v>7002921258</v>
      </c>
      <c r="C6322" s="184">
        <v>11</v>
      </c>
      <c r="D6322" s="184" t="s">
        <v>752</v>
      </c>
    </row>
    <row r="6323" spans="1:4" ht="12.5">
      <c r="A6323" s="186">
        <v>46362</v>
      </c>
      <c r="B6323" s="184">
        <v>7002921621</v>
      </c>
      <c r="C6323" s="184">
        <v>1</v>
      </c>
      <c r="D6323" s="184" t="s">
        <v>750</v>
      </c>
    </row>
    <row r="6324" spans="1:4" ht="12.5">
      <c r="A6324" s="186">
        <v>46362</v>
      </c>
      <c r="B6324" s="184">
        <v>7002921861</v>
      </c>
      <c r="C6324" s="184">
        <v>2</v>
      </c>
      <c r="D6324" s="184" t="s">
        <v>751</v>
      </c>
    </row>
    <row r="6325" spans="1:4" ht="12.5">
      <c r="A6325" s="186">
        <v>46362</v>
      </c>
      <c r="B6325" s="184">
        <v>7002922582</v>
      </c>
      <c r="C6325" s="184">
        <v>11</v>
      </c>
      <c r="D6325" s="184" t="s">
        <v>752</v>
      </c>
    </row>
    <row r="6326" spans="1:4" ht="12.5">
      <c r="A6326" s="186">
        <v>46362</v>
      </c>
      <c r="B6326" s="184">
        <v>7002922620</v>
      </c>
      <c r="C6326" s="184">
        <v>1</v>
      </c>
      <c r="D6326" s="184" t="s">
        <v>750</v>
      </c>
    </row>
    <row r="6327" spans="1:4" ht="12.5">
      <c r="A6327" s="186">
        <v>46362</v>
      </c>
      <c r="B6327" s="184">
        <v>7002923396</v>
      </c>
      <c r="C6327" s="184">
        <v>3</v>
      </c>
      <c r="D6327" s="184" t="s">
        <v>751</v>
      </c>
    </row>
    <row r="6328" spans="1:4" ht="12.5">
      <c r="A6328" s="186">
        <v>46362</v>
      </c>
      <c r="B6328" s="184">
        <v>7002923462</v>
      </c>
      <c r="C6328" s="184">
        <v>1</v>
      </c>
      <c r="D6328" s="184" t="s">
        <v>750</v>
      </c>
    </row>
    <row r="6329" spans="1:4" ht="12.5">
      <c r="A6329" s="186">
        <v>46362</v>
      </c>
      <c r="B6329" s="184">
        <v>7002923676</v>
      </c>
      <c r="C6329" s="184">
        <v>17</v>
      </c>
      <c r="D6329" s="184" t="s">
        <v>752</v>
      </c>
    </row>
    <row r="6330" spans="1:4" ht="12.5">
      <c r="A6330" s="186">
        <v>46362</v>
      </c>
      <c r="B6330" s="184">
        <v>7002923900</v>
      </c>
      <c r="C6330" s="184">
        <v>2</v>
      </c>
      <c r="D6330" s="184" t="s">
        <v>751</v>
      </c>
    </row>
    <row r="6331" spans="1:4" ht="12.5">
      <c r="A6331" s="186">
        <v>46362</v>
      </c>
      <c r="B6331" s="184">
        <v>7002923985</v>
      </c>
      <c r="C6331" s="184">
        <v>12</v>
      </c>
      <c r="D6331" s="184" t="s">
        <v>752</v>
      </c>
    </row>
    <row r="6332" spans="1:4" ht="12.5">
      <c r="A6332" s="186">
        <v>46362</v>
      </c>
      <c r="B6332" s="184">
        <v>7002924078</v>
      </c>
      <c r="C6332" s="184">
        <v>4</v>
      </c>
      <c r="D6332" s="184" t="s">
        <v>751</v>
      </c>
    </row>
    <row r="6333" spans="1:4" ht="12.5">
      <c r="A6333" s="186">
        <v>46362</v>
      </c>
      <c r="B6333" s="184">
        <v>7002924598</v>
      </c>
      <c r="C6333" s="184">
        <v>1</v>
      </c>
      <c r="D6333" s="184" t="s">
        <v>750</v>
      </c>
    </row>
    <row r="6334" spans="1:4" ht="12.5">
      <c r="A6334" s="186">
        <v>46362</v>
      </c>
      <c r="B6334" s="184">
        <v>7002924796</v>
      </c>
      <c r="C6334" s="184">
        <v>2</v>
      </c>
      <c r="D6334" s="184" t="s">
        <v>751</v>
      </c>
    </row>
    <row r="6335" spans="1:4" ht="12.5">
      <c r="A6335" s="186">
        <v>46362</v>
      </c>
      <c r="B6335" s="184">
        <v>7002925449</v>
      </c>
      <c r="C6335" s="184">
        <v>10</v>
      </c>
      <c r="D6335" s="184" t="s">
        <v>758</v>
      </c>
    </row>
    <row r="6336" spans="1:4" ht="12.5">
      <c r="A6336" s="186">
        <v>46362</v>
      </c>
      <c r="B6336" s="184">
        <v>7002925454</v>
      </c>
      <c r="C6336" s="184">
        <v>2</v>
      </c>
      <c r="D6336" s="184" t="s">
        <v>751</v>
      </c>
    </row>
    <row r="6337" spans="1:4" ht="12.5">
      <c r="A6337" s="186">
        <v>46362</v>
      </c>
      <c r="B6337" s="184">
        <v>7002925911</v>
      </c>
      <c r="C6337" s="184">
        <v>2</v>
      </c>
      <c r="D6337" s="184" t="s">
        <v>751</v>
      </c>
    </row>
    <row r="6338" spans="1:4" ht="12.5">
      <c r="A6338" s="186">
        <v>46362</v>
      </c>
      <c r="B6338" s="184">
        <v>7002925953</v>
      </c>
      <c r="C6338" s="184">
        <v>15</v>
      </c>
      <c r="D6338" s="184" t="s">
        <v>752</v>
      </c>
    </row>
    <row r="6339" spans="1:4" ht="12.5">
      <c r="A6339" s="186">
        <v>46362</v>
      </c>
      <c r="B6339" s="184">
        <v>7002926371</v>
      </c>
      <c r="C6339" s="184">
        <v>9</v>
      </c>
      <c r="D6339" s="184" t="s">
        <v>758</v>
      </c>
    </row>
    <row r="6340" spans="1:4" ht="12.5">
      <c r="A6340" s="186">
        <v>46362</v>
      </c>
      <c r="B6340" s="184">
        <v>7002926445</v>
      </c>
      <c r="C6340" s="184">
        <v>2</v>
      </c>
      <c r="D6340" s="184" t="s">
        <v>751</v>
      </c>
    </row>
    <row r="6341" spans="1:4" ht="12.5">
      <c r="A6341" s="186">
        <v>46362</v>
      </c>
      <c r="B6341" s="184">
        <v>7002926587</v>
      </c>
      <c r="C6341" s="184">
        <v>1</v>
      </c>
      <c r="D6341" s="184" t="s">
        <v>750</v>
      </c>
    </row>
    <row r="6342" spans="1:4" ht="12.5">
      <c r="A6342" s="186">
        <v>46362</v>
      </c>
      <c r="B6342" s="184">
        <v>7002926736</v>
      </c>
      <c r="C6342" s="184">
        <v>4</v>
      </c>
      <c r="D6342" s="184" t="s">
        <v>751</v>
      </c>
    </row>
    <row r="6343" spans="1:4" ht="12.5">
      <c r="A6343" s="186">
        <v>46362</v>
      </c>
      <c r="B6343" s="184">
        <v>7002927338</v>
      </c>
      <c r="C6343" s="184">
        <v>3</v>
      </c>
      <c r="D6343" s="184" t="s">
        <v>751</v>
      </c>
    </row>
    <row r="6344" spans="1:4" ht="12.5">
      <c r="A6344" s="186">
        <v>46362</v>
      </c>
      <c r="B6344" s="184">
        <v>7002927737</v>
      </c>
      <c r="C6344" s="184">
        <v>5</v>
      </c>
      <c r="D6344" s="184" t="s">
        <v>751</v>
      </c>
    </row>
    <row r="6345" spans="1:4" ht="12.5">
      <c r="A6345" s="186">
        <v>46362</v>
      </c>
      <c r="B6345" s="184">
        <v>7002927896</v>
      </c>
      <c r="C6345" s="184">
        <v>1</v>
      </c>
      <c r="D6345" s="184" t="s">
        <v>750</v>
      </c>
    </row>
    <row r="6346" spans="1:4" ht="12.5">
      <c r="A6346" s="186">
        <v>46362</v>
      </c>
      <c r="B6346" s="184">
        <v>7002927921</v>
      </c>
      <c r="C6346" s="184">
        <v>2</v>
      </c>
      <c r="D6346" s="184" t="s">
        <v>751</v>
      </c>
    </row>
    <row r="6347" spans="1:4" ht="12.5">
      <c r="A6347" s="186">
        <v>46362</v>
      </c>
      <c r="B6347" s="184">
        <v>7002928208</v>
      </c>
      <c r="C6347" s="184">
        <v>1</v>
      </c>
      <c r="D6347" s="184" t="s">
        <v>750</v>
      </c>
    </row>
    <row r="6348" spans="1:4" ht="12.5">
      <c r="A6348" s="186">
        <v>46362</v>
      </c>
      <c r="B6348" s="184">
        <v>7002928249</v>
      </c>
      <c r="C6348" s="184">
        <v>3</v>
      </c>
      <c r="D6348" s="184" t="s">
        <v>751</v>
      </c>
    </row>
    <row r="6349" spans="1:4" ht="12.5">
      <c r="A6349" s="186">
        <v>46362</v>
      </c>
      <c r="B6349" s="184">
        <v>7002928318</v>
      </c>
      <c r="C6349" s="184">
        <v>36</v>
      </c>
      <c r="D6349" s="184" t="s">
        <v>752</v>
      </c>
    </row>
    <row r="6350" spans="1:4" ht="12.5">
      <c r="A6350" s="186">
        <v>46362</v>
      </c>
      <c r="B6350" s="184">
        <v>7002928410</v>
      </c>
      <c r="C6350" s="184">
        <v>2</v>
      </c>
      <c r="D6350" s="184" t="s">
        <v>751</v>
      </c>
    </row>
    <row r="6351" spans="1:4" ht="12.5">
      <c r="A6351" s="186">
        <v>46362</v>
      </c>
      <c r="B6351" s="184">
        <v>7002928434</v>
      </c>
      <c r="C6351" s="184">
        <v>4</v>
      </c>
      <c r="D6351" s="184" t="s">
        <v>751</v>
      </c>
    </row>
    <row r="6352" spans="1:4" ht="12.5">
      <c r="A6352" s="186">
        <v>46362</v>
      </c>
      <c r="B6352" s="184">
        <v>7002928832</v>
      </c>
      <c r="C6352" s="184">
        <v>2</v>
      </c>
      <c r="D6352" s="184" t="s">
        <v>751</v>
      </c>
    </row>
    <row r="6353" spans="1:4" ht="12.5">
      <c r="A6353" s="186">
        <v>46362</v>
      </c>
      <c r="B6353" s="184">
        <v>7002929284</v>
      </c>
      <c r="C6353" s="184">
        <v>220</v>
      </c>
      <c r="D6353" s="184" t="s">
        <v>752</v>
      </c>
    </row>
    <row r="6354" spans="1:4" ht="12.5">
      <c r="A6354" s="186">
        <v>46362</v>
      </c>
      <c r="B6354" s="184">
        <v>7002929482</v>
      </c>
      <c r="C6354" s="184">
        <v>3</v>
      </c>
      <c r="D6354" s="184" t="s">
        <v>751</v>
      </c>
    </row>
    <row r="6355" spans="1:4" ht="12.5">
      <c r="A6355" s="186">
        <v>46362</v>
      </c>
      <c r="B6355" s="184">
        <v>7002931300</v>
      </c>
      <c r="C6355" s="184">
        <v>1</v>
      </c>
      <c r="D6355" s="184" t="s">
        <v>750</v>
      </c>
    </row>
    <row r="6356" spans="1:4" ht="12.5">
      <c r="A6356" s="186">
        <v>46362</v>
      </c>
      <c r="B6356" s="184">
        <v>7002936440</v>
      </c>
      <c r="C6356" s="184">
        <v>1</v>
      </c>
      <c r="D6356" s="184" t="s">
        <v>750</v>
      </c>
    </row>
    <row r="6357" spans="1:4" ht="12.5">
      <c r="A6357" s="186">
        <v>46362</v>
      </c>
      <c r="B6357" s="184">
        <v>7002938240</v>
      </c>
      <c r="C6357" s="184">
        <v>2</v>
      </c>
      <c r="D6357" s="184" t="s">
        <v>751</v>
      </c>
    </row>
    <row r="6358" spans="1:4" ht="12.5">
      <c r="A6358" s="186">
        <v>46362</v>
      </c>
      <c r="B6358" s="184">
        <v>7002938324</v>
      </c>
      <c r="C6358" s="184">
        <v>1</v>
      </c>
      <c r="D6358" s="184" t="s">
        <v>750</v>
      </c>
    </row>
    <row r="6359" spans="1:4" ht="12.5">
      <c r="A6359" s="186">
        <v>46362</v>
      </c>
      <c r="B6359" s="184">
        <v>7002939864</v>
      </c>
      <c r="C6359" s="184">
        <v>15</v>
      </c>
      <c r="D6359" s="184" t="s">
        <v>752</v>
      </c>
    </row>
    <row r="6360" spans="1:4" ht="12.5">
      <c r="A6360" s="186">
        <v>46362</v>
      </c>
      <c r="B6360" s="184">
        <v>7002940469</v>
      </c>
      <c r="C6360" s="184">
        <v>16</v>
      </c>
      <c r="D6360" s="184" t="s">
        <v>752</v>
      </c>
    </row>
    <row r="6361" spans="1:4" ht="12.5">
      <c r="A6361" s="186">
        <v>46362</v>
      </c>
      <c r="B6361" s="184">
        <v>7002940544</v>
      </c>
      <c r="C6361" s="184">
        <v>2</v>
      </c>
      <c r="D6361" s="184" t="s">
        <v>751</v>
      </c>
    </row>
    <row r="6362" spans="1:4" ht="12.5">
      <c r="A6362" s="186">
        <v>46362</v>
      </c>
      <c r="B6362" s="184">
        <v>7002941360</v>
      </c>
      <c r="C6362" s="184">
        <v>63</v>
      </c>
      <c r="D6362" s="184" t="s">
        <v>752</v>
      </c>
    </row>
    <row r="6363" spans="1:4" ht="12.5">
      <c r="A6363" s="186">
        <v>46362</v>
      </c>
      <c r="B6363" s="184">
        <v>7002941468</v>
      </c>
      <c r="C6363" s="184">
        <v>1</v>
      </c>
      <c r="D6363" s="184" t="s">
        <v>750</v>
      </c>
    </row>
    <row r="6364" spans="1:4" ht="12.5">
      <c r="A6364" s="186">
        <v>46362</v>
      </c>
      <c r="B6364" s="184">
        <v>7002941813</v>
      </c>
      <c r="C6364" s="184">
        <v>2</v>
      </c>
      <c r="D6364" s="184" t="s">
        <v>751</v>
      </c>
    </row>
    <row r="6365" spans="1:4" ht="12.5">
      <c r="A6365" s="186">
        <v>46362</v>
      </c>
      <c r="B6365" s="184">
        <v>7002941845</v>
      </c>
      <c r="C6365" s="184">
        <v>1</v>
      </c>
      <c r="D6365" s="184" t="s">
        <v>750</v>
      </c>
    </row>
    <row r="6366" spans="1:4" ht="12.5">
      <c r="A6366" s="186">
        <v>46362</v>
      </c>
      <c r="B6366" s="184">
        <v>7002942519</v>
      </c>
      <c r="C6366" s="184">
        <v>2</v>
      </c>
      <c r="D6366" s="184" t="s">
        <v>751</v>
      </c>
    </row>
    <row r="6367" spans="1:4" ht="12.5">
      <c r="A6367" s="186">
        <v>46362</v>
      </c>
      <c r="B6367" s="184">
        <v>7002942535</v>
      </c>
      <c r="C6367" s="184">
        <v>3</v>
      </c>
      <c r="D6367" s="184" t="s">
        <v>751</v>
      </c>
    </row>
    <row r="6368" spans="1:4" ht="12.5">
      <c r="A6368" s="186">
        <v>46362</v>
      </c>
      <c r="B6368" s="184">
        <v>7002942542</v>
      </c>
      <c r="C6368" s="184">
        <v>2</v>
      </c>
      <c r="D6368" s="184" t="s">
        <v>751</v>
      </c>
    </row>
    <row r="6369" spans="1:4" ht="12.5">
      <c r="A6369" s="186">
        <v>46362</v>
      </c>
      <c r="B6369" s="184">
        <v>7002942812</v>
      </c>
      <c r="C6369" s="184">
        <v>4</v>
      </c>
      <c r="D6369" s="184" t="s">
        <v>751</v>
      </c>
    </row>
    <row r="6370" spans="1:4" ht="12.5">
      <c r="A6370" s="186">
        <v>46362</v>
      </c>
      <c r="B6370" s="184">
        <v>7002943300</v>
      </c>
      <c r="C6370" s="184">
        <v>17</v>
      </c>
      <c r="D6370" s="184" t="s">
        <v>752</v>
      </c>
    </row>
    <row r="6371" spans="1:4" ht="12.5">
      <c r="A6371" s="186">
        <v>46362</v>
      </c>
      <c r="B6371" s="184">
        <v>7002943316</v>
      </c>
      <c r="C6371" s="184">
        <v>11</v>
      </c>
      <c r="D6371" s="184" t="s">
        <v>752</v>
      </c>
    </row>
    <row r="6372" spans="1:4" ht="12.5">
      <c r="A6372" s="186">
        <v>46362</v>
      </c>
      <c r="B6372" s="184">
        <v>7002943413</v>
      </c>
      <c r="C6372" s="184">
        <v>44</v>
      </c>
      <c r="D6372" s="184" t="s">
        <v>752</v>
      </c>
    </row>
    <row r="6373" spans="1:4" ht="12.5">
      <c r="A6373" s="186">
        <v>46362</v>
      </c>
      <c r="B6373" s="184">
        <v>7002943693</v>
      </c>
      <c r="C6373" s="184">
        <v>1</v>
      </c>
      <c r="D6373" s="184" t="s">
        <v>750</v>
      </c>
    </row>
    <row r="6374" spans="1:4" ht="12.5">
      <c r="A6374" s="186">
        <v>46362</v>
      </c>
      <c r="B6374" s="184">
        <v>7002943949</v>
      </c>
      <c r="C6374" s="184">
        <v>2</v>
      </c>
      <c r="D6374" s="184" t="s">
        <v>751</v>
      </c>
    </row>
    <row r="6375" spans="1:4" ht="12.5">
      <c r="A6375" s="186">
        <v>46362</v>
      </c>
      <c r="B6375" s="184">
        <v>7002944298</v>
      </c>
      <c r="C6375" s="184">
        <v>12</v>
      </c>
      <c r="D6375" s="184" t="s">
        <v>752</v>
      </c>
    </row>
    <row r="6376" spans="1:4" ht="12.5">
      <c r="A6376" s="186">
        <v>46362</v>
      </c>
      <c r="B6376" s="184">
        <v>7002944692</v>
      </c>
      <c r="C6376" s="184">
        <v>2</v>
      </c>
      <c r="D6376" s="184" t="s">
        <v>751</v>
      </c>
    </row>
    <row r="6377" spans="1:4" ht="12.5">
      <c r="A6377" s="186">
        <v>46362</v>
      </c>
      <c r="B6377" s="184">
        <v>7002946523</v>
      </c>
      <c r="C6377" s="184">
        <v>12</v>
      </c>
      <c r="D6377" s="184" t="s">
        <v>752</v>
      </c>
    </row>
    <row r="6378" spans="1:4" ht="12.5">
      <c r="A6378" s="186">
        <v>46362</v>
      </c>
      <c r="B6378" s="184">
        <v>7002946581</v>
      </c>
      <c r="C6378" s="184">
        <v>9</v>
      </c>
      <c r="D6378" s="184" t="s">
        <v>758</v>
      </c>
    </row>
    <row r="6379" spans="1:4" ht="12.5">
      <c r="A6379" s="186">
        <v>46362</v>
      </c>
      <c r="B6379" s="184">
        <v>7002946721</v>
      </c>
      <c r="C6379" s="184">
        <v>2</v>
      </c>
      <c r="D6379" s="184" t="s">
        <v>751</v>
      </c>
    </row>
    <row r="6380" spans="1:4" ht="12.5">
      <c r="A6380" s="186">
        <v>46362</v>
      </c>
      <c r="B6380" s="184">
        <v>7002946840</v>
      </c>
      <c r="C6380" s="184">
        <v>1</v>
      </c>
      <c r="D6380" s="184" t="s">
        <v>750</v>
      </c>
    </row>
    <row r="6381" spans="1:4" ht="12.5">
      <c r="A6381" s="186">
        <v>46362</v>
      </c>
      <c r="B6381" s="184">
        <v>7002947226</v>
      </c>
      <c r="C6381" s="184">
        <v>38</v>
      </c>
      <c r="D6381" s="184" t="s">
        <v>752</v>
      </c>
    </row>
    <row r="6382" spans="1:4" ht="12.5">
      <c r="A6382" s="186">
        <v>46362</v>
      </c>
      <c r="B6382" s="184">
        <v>7002947485</v>
      </c>
      <c r="C6382" s="184">
        <v>1</v>
      </c>
      <c r="D6382" s="184" t="s">
        <v>750</v>
      </c>
    </row>
    <row r="6383" spans="1:4" ht="12.5">
      <c r="A6383" s="186">
        <v>46362</v>
      </c>
      <c r="B6383" s="184">
        <v>7002947524</v>
      </c>
      <c r="C6383" s="184">
        <v>1</v>
      </c>
      <c r="D6383" s="184" t="s">
        <v>750</v>
      </c>
    </row>
    <row r="6384" spans="1:4" ht="12.5">
      <c r="A6384" s="186">
        <v>46362</v>
      </c>
      <c r="B6384" s="184">
        <v>7002947665</v>
      </c>
      <c r="C6384" s="184">
        <v>3</v>
      </c>
      <c r="D6384" s="184" t="s">
        <v>751</v>
      </c>
    </row>
    <row r="6385" spans="1:4" ht="12.5">
      <c r="A6385" s="186">
        <v>46362</v>
      </c>
      <c r="B6385" s="184">
        <v>7002947705</v>
      </c>
      <c r="C6385" s="184">
        <v>3</v>
      </c>
      <c r="D6385" s="184" t="s">
        <v>751</v>
      </c>
    </row>
    <row r="6386" spans="1:4" ht="12.5">
      <c r="A6386" s="186">
        <v>46362</v>
      </c>
      <c r="B6386" s="184">
        <v>7002948243</v>
      </c>
      <c r="C6386" s="184">
        <v>4</v>
      </c>
      <c r="D6386" s="184" t="s">
        <v>751</v>
      </c>
    </row>
    <row r="6387" spans="1:4" ht="12.5">
      <c r="A6387" s="186">
        <v>46362</v>
      </c>
      <c r="B6387" s="184">
        <v>7002948380</v>
      </c>
      <c r="C6387" s="184">
        <v>1</v>
      </c>
      <c r="D6387" s="184" t="s">
        <v>750</v>
      </c>
    </row>
    <row r="6388" spans="1:4" ht="12.5">
      <c r="A6388" s="186">
        <v>46362</v>
      </c>
      <c r="B6388" s="184">
        <v>7002948706</v>
      </c>
      <c r="C6388" s="184">
        <v>2</v>
      </c>
      <c r="D6388" s="184" t="s">
        <v>751</v>
      </c>
    </row>
    <row r="6389" spans="1:4" ht="12.5">
      <c r="A6389" s="186">
        <v>46362</v>
      </c>
      <c r="B6389" s="184">
        <v>7002948723</v>
      </c>
      <c r="C6389" s="184">
        <v>3</v>
      </c>
      <c r="D6389" s="184" t="s">
        <v>751</v>
      </c>
    </row>
    <row r="6390" spans="1:4" ht="12.5">
      <c r="A6390" s="186">
        <v>46362</v>
      </c>
      <c r="B6390" s="184">
        <v>7002949439</v>
      </c>
      <c r="C6390" s="184">
        <v>4</v>
      </c>
      <c r="D6390" s="184" t="s">
        <v>751</v>
      </c>
    </row>
    <row r="6391" spans="1:4" ht="12.5">
      <c r="A6391" s="186">
        <v>46362</v>
      </c>
      <c r="B6391" s="184">
        <v>7002949513</v>
      </c>
      <c r="C6391" s="184">
        <v>2</v>
      </c>
      <c r="D6391" s="184" t="s">
        <v>751</v>
      </c>
    </row>
    <row r="6392" spans="1:4" ht="12.5">
      <c r="A6392" s="186">
        <v>46362</v>
      </c>
      <c r="B6392" s="184">
        <v>7002949815</v>
      </c>
      <c r="C6392" s="184">
        <v>4</v>
      </c>
      <c r="D6392" s="184" t="s">
        <v>751</v>
      </c>
    </row>
    <row r="6393" spans="1:4" ht="12.5">
      <c r="A6393" s="186">
        <v>46362</v>
      </c>
      <c r="B6393" s="184">
        <v>7002949957</v>
      </c>
      <c r="C6393" s="184">
        <v>3</v>
      </c>
      <c r="D6393" s="184" t="s">
        <v>751</v>
      </c>
    </row>
    <row r="6394" spans="1:4" ht="12.5">
      <c r="A6394" s="186">
        <v>46362</v>
      </c>
      <c r="B6394" s="184">
        <v>7002950613</v>
      </c>
      <c r="C6394" s="184">
        <v>6</v>
      </c>
      <c r="D6394" s="184" t="s">
        <v>758</v>
      </c>
    </row>
    <row r="6395" spans="1:4" ht="12.5">
      <c r="A6395" s="186">
        <v>46362</v>
      </c>
      <c r="B6395" s="184">
        <v>7002950925</v>
      </c>
      <c r="C6395" s="184">
        <v>10</v>
      </c>
      <c r="D6395" s="184" t="s">
        <v>758</v>
      </c>
    </row>
    <row r="6396" spans="1:4" ht="12.5">
      <c r="A6396" s="186">
        <v>46362</v>
      </c>
      <c r="B6396" s="184">
        <v>7002950987</v>
      </c>
      <c r="C6396" s="184">
        <v>5</v>
      </c>
      <c r="D6396" s="184" t="s">
        <v>751</v>
      </c>
    </row>
    <row r="6397" spans="1:4" ht="12.5">
      <c r="A6397" s="186">
        <v>46362</v>
      </c>
      <c r="B6397" s="184">
        <v>7002952320</v>
      </c>
      <c r="C6397" s="184">
        <v>1</v>
      </c>
      <c r="D6397" s="184" t="s">
        <v>750</v>
      </c>
    </row>
    <row r="6398" spans="1:4" ht="12.5">
      <c r="A6398" s="186">
        <v>46362</v>
      </c>
      <c r="B6398" s="184">
        <v>7002952436</v>
      </c>
      <c r="C6398" s="184">
        <v>1</v>
      </c>
      <c r="D6398" s="184" t="s">
        <v>750</v>
      </c>
    </row>
    <row r="6399" spans="1:4" ht="12.5">
      <c r="A6399" s="186">
        <v>46362</v>
      </c>
      <c r="B6399" s="184">
        <v>7002953623</v>
      </c>
      <c r="C6399" s="184">
        <v>5</v>
      </c>
      <c r="D6399" s="184" t="s">
        <v>751</v>
      </c>
    </row>
    <row r="6400" spans="1:4" ht="12.5">
      <c r="A6400" s="186">
        <v>46362</v>
      </c>
      <c r="B6400" s="184">
        <v>7002953943</v>
      </c>
      <c r="C6400" s="184">
        <v>10</v>
      </c>
      <c r="D6400" s="184" t="s">
        <v>758</v>
      </c>
    </row>
    <row r="6401" spans="1:4" ht="12.5">
      <c r="A6401" s="186">
        <v>46362</v>
      </c>
      <c r="B6401" s="184">
        <v>7002953991</v>
      </c>
      <c r="C6401" s="184">
        <v>1</v>
      </c>
      <c r="D6401" s="184" t="s">
        <v>750</v>
      </c>
    </row>
    <row r="6402" spans="1:4" ht="12.5">
      <c r="A6402" s="186">
        <v>46362</v>
      </c>
      <c r="B6402" s="184">
        <v>7002954974</v>
      </c>
      <c r="C6402" s="184">
        <v>1</v>
      </c>
      <c r="D6402" s="184" t="s">
        <v>750</v>
      </c>
    </row>
    <row r="6403" spans="1:4" ht="12.5">
      <c r="A6403" s="186">
        <v>46362</v>
      </c>
      <c r="B6403" s="184">
        <v>7002955525</v>
      </c>
      <c r="C6403" s="184">
        <v>1</v>
      </c>
      <c r="D6403" s="184" t="s">
        <v>750</v>
      </c>
    </row>
    <row r="6404" spans="1:4" ht="12.5">
      <c r="A6404" s="186">
        <v>46362</v>
      </c>
      <c r="B6404" s="184">
        <v>7002955556</v>
      </c>
      <c r="C6404" s="184">
        <v>1</v>
      </c>
      <c r="D6404" s="184" t="s">
        <v>750</v>
      </c>
    </row>
    <row r="6405" spans="1:4" ht="12.5">
      <c r="A6405" s="186">
        <v>46362</v>
      </c>
      <c r="B6405" s="184">
        <v>7002956763</v>
      </c>
      <c r="C6405" s="184">
        <v>7</v>
      </c>
      <c r="D6405" s="184" t="s">
        <v>758</v>
      </c>
    </row>
    <row r="6406" spans="1:4" ht="12.5">
      <c r="A6406" s="186">
        <v>46362</v>
      </c>
      <c r="B6406" s="184">
        <v>7002960018</v>
      </c>
      <c r="C6406" s="184">
        <v>2</v>
      </c>
      <c r="D6406" s="184" t="s">
        <v>751</v>
      </c>
    </row>
    <row r="6407" spans="1:4" ht="12.5">
      <c r="A6407" s="186">
        <v>46362</v>
      </c>
      <c r="B6407" s="184">
        <v>7002961001</v>
      </c>
      <c r="C6407" s="184">
        <v>20</v>
      </c>
      <c r="D6407" s="184" t="s">
        <v>752</v>
      </c>
    </row>
    <row r="6408" spans="1:4" ht="12.5">
      <c r="A6408" s="186">
        <v>46362</v>
      </c>
      <c r="B6408" s="184">
        <v>7002962452</v>
      </c>
      <c r="C6408" s="184">
        <v>3</v>
      </c>
      <c r="D6408" s="184" t="s">
        <v>751</v>
      </c>
    </row>
    <row r="6409" spans="1:4" ht="12.5">
      <c r="A6409" s="186">
        <v>46362</v>
      </c>
      <c r="B6409" s="184">
        <v>7002963771</v>
      </c>
      <c r="C6409" s="184">
        <v>1</v>
      </c>
      <c r="D6409" s="184" t="s">
        <v>750</v>
      </c>
    </row>
    <row r="6410" spans="1:4" ht="12.5">
      <c r="A6410" s="186">
        <v>46362</v>
      </c>
      <c r="B6410" s="184">
        <v>7002964743</v>
      </c>
      <c r="C6410" s="184">
        <v>1</v>
      </c>
      <c r="D6410" s="184" t="s">
        <v>750</v>
      </c>
    </row>
    <row r="6411" spans="1:4" ht="12.5">
      <c r="A6411" s="186">
        <v>46362</v>
      </c>
      <c r="B6411" s="184">
        <v>7002965753</v>
      </c>
      <c r="C6411" s="184">
        <v>1</v>
      </c>
      <c r="D6411" s="184" t="s">
        <v>750</v>
      </c>
    </row>
    <row r="6412" spans="1:4" ht="12.5">
      <c r="A6412" s="186">
        <v>46362</v>
      </c>
      <c r="B6412" s="184">
        <v>7002966777</v>
      </c>
      <c r="C6412" s="184">
        <v>1</v>
      </c>
      <c r="D6412" s="184" t="s">
        <v>750</v>
      </c>
    </row>
    <row r="6413" spans="1:4" ht="12.5">
      <c r="A6413" s="186">
        <v>46362</v>
      </c>
      <c r="B6413" s="184">
        <v>7002967119</v>
      </c>
      <c r="C6413" s="184">
        <v>1</v>
      </c>
      <c r="D6413" s="184" t="s">
        <v>750</v>
      </c>
    </row>
    <row r="6414" spans="1:4" ht="12.5">
      <c r="A6414" s="186">
        <v>46362</v>
      </c>
      <c r="B6414" s="184">
        <v>7002967750</v>
      </c>
      <c r="C6414" s="184">
        <v>1</v>
      </c>
      <c r="D6414" s="184" t="s">
        <v>750</v>
      </c>
    </row>
    <row r="6415" spans="1:4" ht="12.5">
      <c r="A6415" s="186">
        <v>46362</v>
      </c>
      <c r="B6415" s="184">
        <v>7002969768</v>
      </c>
      <c r="C6415" s="184">
        <v>1</v>
      </c>
      <c r="D6415" s="184" t="s">
        <v>750</v>
      </c>
    </row>
    <row r="6416" spans="1:4" ht="12.5">
      <c r="A6416" s="186">
        <v>46362</v>
      </c>
      <c r="B6416" s="184">
        <v>7002976879</v>
      </c>
      <c r="C6416" s="184">
        <v>2</v>
      </c>
      <c r="D6416" s="184" t="s">
        <v>751</v>
      </c>
    </row>
    <row r="6417" spans="1:4" ht="12.5">
      <c r="A6417" s="186">
        <v>46362</v>
      </c>
      <c r="B6417" s="184">
        <v>7002977477</v>
      </c>
      <c r="C6417" s="184">
        <v>1</v>
      </c>
      <c r="D6417" s="184" t="s">
        <v>750</v>
      </c>
    </row>
    <row r="6418" spans="1:4" ht="12.5">
      <c r="A6418" s="191"/>
      <c r="B6418" s="192"/>
      <c r="C6418" s="192"/>
      <c r="D6418" s="192"/>
    </row>
    <row r="6419" spans="1:4" ht="12.5">
      <c r="A6419" s="15" t="s">
        <v>764</v>
      </c>
      <c r="B6419" s="14">
        <v>7002632975</v>
      </c>
      <c r="C6419" s="14">
        <v>1</v>
      </c>
      <c r="D6419" s="184" t="s">
        <v>750</v>
      </c>
    </row>
    <row r="6420" spans="1:4" ht="12.5">
      <c r="A6420" s="15" t="s">
        <v>764</v>
      </c>
      <c r="B6420" s="14">
        <v>7002675326</v>
      </c>
      <c r="C6420" s="14">
        <v>1</v>
      </c>
      <c r="D6420" s="184" t="s">
        <v>750</v>
      </c>
    </row>
    <row r="6421" spans="1:4" ht="12.5">
      <c r="A6421" s="15" t="s">
        <v>764</v>
      </c>
      <c r="B6421" s="14">
        <v>7002676586</v>
      </c>
      <c r="C6421" s="14">
        <v>1</v>
      </c>
      <c r="D6421" s="184" t="s">
        <v>750</v>
      </c>
    </row>
    <row r="6422" spans="1:4" ht="12.5">
      <c r="A6422" s="15" t="s">
        <v>764</v>
      </c>
      <c r="B6422" s="14">
        <v>7002678269</v>
      </c>
      <c r="C6422" s="14">
        <v>1</v>
      </c>
      <c r="D6422" s="184" t="s">
        <v>750</v>
      </c>
    </row>
    <row r="6423" spans="1:4" ht="12.5">
      <c r="A6423" s="15" t="s">
        <v>764</v>
      </c>
      <c r="B6423" s="14">
        <v>7002690646</v>
      </c>
      <c r="C6423" s="14">
        <v>4</v>
      </c>
      <c r="D6423" s="184" t="s">
        <v>751</v>
      </c>
    </row>
    <row r="6424" spans="1:4" ht="12.5">
      <c r="A6424" s="15" t="s">
        <v>764</v>
      </c>
      <c r="B6424" s="14">
        <v>7002731618</v>
      </c>
      <c r="C6424" s="14">
        <v>43</v>
      </c>
      <c r="D6424" s="184" t="s">
        <v>759</v>
      </c>
    </row>
    <row r="6425" spans="1:4" ht="12.5">
      <c r="A6425" s="15" t="s">
        <v>764</v>
      </c>
      <c r="B6425" s="14">
        <v>7002733304</v>
      </c>
      <c r="C6425" s="14">
        <v>46</v>
      </c>
      <c r="D6425" s="184" t="s">
        <v>759</v>
      </c>
    </row>
    <row r="6426" spans="1:4" ht="12.5">
      <c r="A6426" s="15" t="s">
        <v>764</v>
      </c>
      <c r="B6426" s="14">
        <v>7002815995</v>
      </c>
      <c r="C6426" s="14">
        <v>50</v>
      </c>
      <c r="D6426" s="184" t="s">
        <v>759</v>
      </c>
    </row>
    <row r="6427" spans="1:4" ht="12.5">
      <c r="A6427" s="15" t="s">
        <v>764</v>
      </c>
      <c r="B6427" s="14">
        <v>7002835853</v>
      </c>
      <c r="C6427" s="14">
        <v>1</v>
      </c>
      <c r="D6427" s="184" t="s">
        <v>750</v>
      </c>
    </row>
    <row r="6428" spans="1:4" ht="12.5">
      <c r="A6428" s="15" t="s">
        <v>764</v>
      </c>
      <c r="B6428" s="14">
        <v>7002845373</v>
      </c>
      <c r="C6428" s="14">
        <v>93</v>
      </c>
      <c r="D6428" s="184" t="s">
        <v>759</v>
      </c>
    </row>
    <row r="6429" spans="1:4" ht="12.5">
      <c r="A6429" s="15" t="s">
        <v>764</v>
      </c>
      <c r="B6429" s="14">
        <v>7002855733</v>
      </c>
      <c r="C6429" s="14">
        <v>81</v>
      </c>
      <c r="D6429" s="184" t="s">
        <v>759</v>
      </c>
    </row>
    <row r="6430" spans="1:4" ht="12.5">
      <c r="A6430" s="15" t="s">
        <v>764</v>
      </c>
      <c r="B6430" s="14">
        <v>7002871591</v>
      </c>
      <c r="C6430" s="14">
        <v>2</v>
      </c>
      <c r="D6430" s="184" t="s">
        <v>751</v>
      </c>
    </row>
    <row r="6431" spans="1:4" ht="12.5">
      <c r="A6431" s="15" t="s">
        <v>764</v>
      </c>
      <c r="B6431" s="14">
        <v>7002877052</v>
      </c>
      <c r="C6431" s="14">
        <v>42</v>
      </c>
      <c r="D6431" s="184" t="s">
        <v>759</v>
      </c>
    </row>
    <row r="6432" spans="1:4" ht="12.5">
      <c r="A6432" s="15" t="s">
        <v>764</v>
      </c>
      <c r="B6432" s="14">
        <v>7002877894</v>
      </c>
      <c r="C6432" s="14">
        <v>13</v>
      </c>
      <c r="D6432" s="184" t="s">
        <v>759</v>
      </c>
    </row>
    <row r="6433" spans="1:4" ht="12.5">
      <c r="A6433" s="15" t="s">
        <v>764</v>
      </c>
      <c r="B6433" s="14">
        <v>7002878781</v>
      </c>
      <c r="C6433" s="14">
        <v>11</v>
      </c>
      <c r="D6433" s="184" t="s">
        <v>759</v>
      </c>
    </row>
    <row r="6434" spans="1:4" ht="12.5">
      <c r="A6434" s="15" t="s">
        <v>764</v>
      </c>
      <c r="B6434" s="14">
        <v>7002879961</v>
      </c>
      <c r="C6434" s="14">
        <v>1</v>
      </c>
      <c r="D6434" s="184" t="s">
        <v>750</v>
      </c>
    </row>
    <row r="6435" spans="1:4" ht="12.5">
      <c r="A6435" s="15" t="s">
        <v>764</v>
      </c>
      <c r="B6435" s="14">
        <v>7002880321</v>
      </c>
      <c r="C6435" s="14">
        <v>5</v>
      </c>
      <c r="D6435" s="184" t="s">
        <v>751</v>
      </c>
    </row>
    <row r="6436" spans="1:4" ht="12.5">
      <c r="A6436" s="15" t="s">
        <v>764</v>
      </c>
      <c r="B6436" s="14">
        <v>7002881331</v>
      </c>
      <c r="C6436" s="14">
        <v>7</v>
      </c>
      <c r="D6436" s="184" t="s">
        <v>758</v>
      </c>
    </row>
    <row r="6437" spans="1:4" ht="12.5">
      <c r="A6437" s="15" t="s">
        <v>764</v>
      </c>
      <c r="B6437" s="14">
        <v>7002882567</v>
      </c>
      <c r="C6437" s="14">
        <v>6</v>
      </c>
      <c r="D6437" s="184" t="s">
        <v>758</v>
      </c>
    </row>
    <row r="6438" spans="1:4" ht="12.5">
      <c r="A6438" s="15" t="s">
        <v>764</v>
      </c>
      <c r="B6438" s="14">
        <v>7002883244</v>
      </c>
      <c r="C6438" s="14">
        <v>1</v>
      </c>
      <c r="D6438" s="184" t="s">
        <v>750</v>
      </c>
    </row>
    <row r="6439" spans="1:4" ht="12.5">
      <c r="A6439" s="15" t="s">
        <v>764</v>
      </c>
      <c r="B6439" s="14">
        <v>7002883439</v>
      </c>
      <c r="C6439" s="14">
        <v>65</v>
      </c>
      <c r="D6439" s="184" t="s">
        <v>759</v>
      </c>
    </row>
    <row r="6440" spans="1:4" ht="12.5">
      <c r="A6440" s="15" t="s">
        <v>764</v>
      </c>
      <c r="B6440" s="14">
        <v>7002884289</v>
      </c>
      <c r="C6440" s="14">
        <v>16</v>
      </c>
      <c r="D6440" s="184" t="s">
        <v>759</v>
      </c>
    </row>
    <row r="6441" spans="1:4" ht="12.5">
      <c r="A6441" s="15" t="s">
        <v>764</v>
      </c>
      <c r="B6441" s="14">
        <v>7002884346</v>
      </c>
      <c r="C6441" s="14">
        <v>2</v>
      </c>
      <c r="D6441" s="184" t="s">
        <v>751</v>
      </c>
    </row>
    <row r="6442" spans="1:4" ht="12.5">
      <c r="A6442" s="15" t="s">
        <v>764</v>
      </c>
      <c r="B6442" s="14">
        <v>7002888018</v>
      </c>
      <c r="C6442" s="14">
        <v>2</v>
      </c>
      <c r="D6442" s="184" t="s">
        <v>751</v>
      </c>
    </row>
    <row r="6443" spans="1:4" ht="12.5">
      <c r="A6443" s="15" t="s">
        <v>764</v>
      </c>
      <c r="B6443" s="14">
        <v>7002888343</v>
      </c>
      <c r="C6443" s="14">
        <v>2</v>
      </c>
      <c r="D6443" s="184" t="s">
        <v>751</v>
      </c>
    </row>
    <row r="6444" spans="1:4" ht="12.5">
      <c r="A6444" s="15" t="s">
        <v>764</v>
      </c>
      <c r="B6444" s="14">
        <v>7002891559</v>
      </c>
      <c r="C6444" s="14">
        <v>1</v>
      </c>
      <c r="D6444" s="184" t="s">
        <v>750</v>
      </c>
    </row>
    <row r="6445" spans="1:4" ht="12.5">
      <c r="A6445" s="15" t="s">
        <v>764</v>
      </c>
      <c r="B6445" s="14">
        <v>7002893883</v>
      </c>
      <c r="C6445" s="14">
        <v>1</v>
      </c>
      <c r="D6445" s="184" t="s">
        <v>750</v>
      </c>
    </row>
    <row r="6446" spans="1:4" ht="12.5">
      <c r="A6446" s="15" t="s">
        <v>764</v>
      </c>
      <c r="B6446" s="14">
        <v>7002902009</v>
      </c>
      <c r="C6446" s="14">
        <v>6</v>
      </c>
      <c r="D6446" s="184" t="s">
        <v>758</v>
      </c>
    </row>
    <row r="6447" spans="1:4" ht="12.5">
      <c r="A6447" s="15" t="s">
        <v>764</v>
      </c>
      <c r="B6447" s="14">
        <v>7002902837</v>
      </c>
      <c r="C6447" s="14">
        <v>24</v>
      </c>
      <c r="D6447" s="184" t="s">
        <v>759</v>
      </c>
    </row>
    <row r="6448" spans="1:4" ht="12.5">
      <c r="A6448" s="15" t="s">
        <v>764</v>
      </c>
      <c r="B6448" s="14">
        <v>7002903974</v>
      </c>
      <c r="C6448" s="14">
        <v>2</v>
      </c>
      <c r="D6448" s="184" t="s">
        <v>751</v>
      </c>
    </row>
    <row r="6449" spans="1:4" ht="12.5">
      <c r="A6449" s="15" t="s">
        <v>764</v>
      </c>
      <c r="B6449" s="14">
        <v>7002903988</v>
      </c>
      <c r="C6449" s="14">
        <v>2</v>
      </c>
      <c r="D6449" s="184" t="s">
        <v>751</v>
      </c>
    </row>
    <row r="6450" spans="1:4" ht="12.5">
      <c r="A6450" s="15" t="s">
        <v>764</v>
      </c>
      <c r="B6450" s="14">
        <v>7002904204</v>
      </c>
      <c r="C6450" s="14">
        <v>46</v>
      </c>
      <c r="D6450" s="184" t="s">
        <v>759</v>
      </c>
    </row>
    <row r="6451" spans="1:4" ht="12.5">
      <c r="A6451" s="15" t="s">
        <v>764</v>
      </c>
      <c r="B6451" s="14">
        <v>7002904455</v>
      </c>
      <c r="C6451" s="14">
        <v>1</v>
      </c>
      <c r="D6451" s="184" t="s">
        <v>750</v>
      </c>
    </row>
    <row r="6452" spans="1:4" ht="12.5">
      <c r="A6452" s="15" t="s">
        <v>764</v>
      </c>
      <c r="B6452" s="14">
        <v>7002905883</v>
      </c>
      <c r="C6452" s="14">
        <v>4</v>
      </c>
      <c r="D6452" s="184" t="s">
        <v>751</v>
      </c>
    </row>
    <row r="6453" spans="1:4" ht="12.5">
      <c r="A6453" s="15" t="s">
        <v>764</v>
      </c>
      <c r="B6453" s="14">
        <v>7002906000</v>
      </c>
      <c r="C6453" s="14">
        <v>2</v>
      </c>
      <c r="D6453" s="184" t="s">
        <v>751</v>
      </c>
    </row>
    <row r="6454" spans="1:4" ht="12.5">
      <c r="A6454" s="15" t="s">
        <v>764</v>
      </c>
      <c r="B6454" s="14">
        <v>7002906813</v>
      </c>
      <c r="C6454" s="14">
        <v>22</v>
      </c>
      <c r="D6454" s="184" t="s">
        <v>759</v>
      </c>
    </row>
    <row r="6455" spans="1:4" ht="12.5">
      <c r="A6455" s="15" t="s">
        <v>764</v>
      </c>
      <c r="B6455" s="14">
        <v>7002908788</v>
      </c>
      <c r="C6455" s="14">
        <v>39</v>
      </c>
      <c r="D6455" s="184" t="s">
        <v>759</v>
      </c>
    </row>
    <row r="6456" spans="1:4" ht="12.5">
      <c r="A6456" s="15" t="s">
        <v>764</v>
      </c>
      <c r="B6456" s="14">
        <v>7002909539</v>
      </c>
      <c r="C6456" s="14">
        <v>1</v>
      </c>
      <c r="D6456" s="184" t="s">
        <v>750</v>
      </c>
    </row>
    <row r="6457" spans="1:4" ht="12.5">
      <c r="A6457" s="15" t="s">
        <v>764</v>
      </c>
      <c r="B6457" s="14">
        <v>7002909791</v>
      </c>
      <c r="C6457" s="14">
        <v>42</v>
      </c>
      <c r="D6457" s="184" t="s">
        <v>759</v>
      </c>
    </row>
    <row r="6458" spans="1:4" ht="12.5">
      <c r="A6458" s="15" t="s">
        <v>764</v>
      </c>
      <c r="B6458" s="14">
        <v>7002910912</v>
      </c>
      <c r="C6458" s="14">
        <v>1</v>
      </c>
      <c r="D6458" s="184" t="s">
        <v>750</v>
      </c>
    </row>
    <row r="6459" spans="1:4" ht="12.5">
      <c r="A6459" s="15" t="s">
        <v>764</v>
      </c>
      <c r="B6459" s="14">
        <v>7002911555</v>
      </c>
      <c r="C6459" s="14">
        <v>60</v>
      </c>
      <c r="D6459" s="184" t="s">
        <v>759</v>
      </c>
    </row>
    <row r="6460" spans="1:4" ht="12.5">
      <c r="A6460" s="15" t="s">
        <v>764</v>
      </c>
      <c r="B6460" s="14">
        <v>7002911572</v>
      </c>
      <c r="C6460" s="14">
        <v>2</v>
      </c>
      <c r="D6460" s="184" t="s">
        <v>751</v>
      </c>
    </row>
    <row r="6461" spans="1:4" ht="12.5">
      <c r="A6461" s="15" t="s">
        <v>764</v>
      </c>
      <c r="B6461" s="14">
        <v>7002918624</v>
      </c>
      <c r="C6461" s="14">
        <v>31</v>
      </c>
      <c r="D6461" s="184" t="s">
        <v>759</v>
      </c>
    </row>
    <row r="6462" spans="1:4" ht="12.5">
      <c r="A6462" s="15" t="s">
        <v>764</v>
      </c>
      <c r="B6462" s="14">
        <v>7002919841</v>
      </c>
      <c r="C6462" s="14">
        <v>4</v>
      </c>
      <c r="D6462" s="184" t="s">
        <v>751</v>
      </c>
    </row>
    <row r="6463" spans="1:4" ht="12.5">
      <c r="A6463" s="15" t="s">
        <v>764</v>
      </c>
      <c r="B6463" s="14">
        <v>7002920117</v>
      </c>
      <c r="C6463" s="14">
        <v>51</v>
      </c>
      <c r="D6463" s="184" t="s">
        <v>759</v>
      </c>
    </row>
    <row r="6464" spans="1:4" ht="12.5">
      <c r="A6464" s="15" t="s">
        <v>764</v>
      </c>
      <c r="B6464" s="14">
        <v>7002920605</v>
      </c>
      <c r="C6464" s="14">
        <v>6</v>
      </c>
      <c r="D6464" s="184" t="s">
        <v>758</v>
      </c>
    </row>
    <row r="6465" spans="1:4" ht="12.5">
      <c r="A6465" s="15" t="s">
        <v>764</v>
      </c>
      <c r="B6465" s="14">
        <v>7002922471</v>
      </c>
      <c r="C6465" s="14">
        <v>48</v>
      </c>
      <c r="D6465" s="184" t="s">
        <v>759</v>
      </c>
    </row>
    <row r="6466" spans="1:4" ht="12.5">
      <c r="A6466" s="15" t="s">
        <v>764</v>
      </c>
      <c r="B6466" s="14">
        <v>7002926617</v>
      </c>
      <c r="C6466" s="14">
        <v>1</v>
      </c>
      <c r="D6466" s="184" t="s">
        <v>750</v>
      </c>
    </row>
    <row r="6467" spans="1:4" ht="12.5">
      <c r="A6467" s="15" t="s">
        <v>764</v>
      </c>
      <c r="B6467" s="14">
        <v>7002927282</v>
      </c>
      <c r="C6467" s="14">
        <v>15</v>
      </c>
      <c r="D6467" s="184" t="s">
        <v>759</v>
      </c>
    </row>
    <row r="6468" spans="1:4" ht="12.5">
      <c r="A6468" s="15" t="s">
        <v>764</v>
      </c>
      <c r="B6468" s="14">
        <v>7002927393</v>
      </c>
      <c r="C6468" s="14">
        <v>1</v>
      </c>
      <c r="D6468" s="184" t="s">
        <v>750</v>
      </c>
    </row>
    <row r="6469" spans="1:4" ht="12.5">
      <c r="A6469" s="15" t="s">
        <v>764</v>
      </c>
      <c r="B6469" s="14">
        <v>7002927831</v>
      </c>
      <c r="C6469" s="14">
        <v>1</v>
      </c>
      <c r="D6469" s="184" t="s">
        <v>750</v>
      </c>
    </row>
    <row r="6470" spans="1:4" ht="12.5">
      <c r="A6470" s="15" t="s">
        <v>764</v>
      </c>
      <c r="B6470" s="14">
        <v>7002928130</v>
      </c>
      <c r="C6470" s="14">
        <v>200</v>
      </c>
      <c r="D6470" s="184" t="s">
        <v>759</v>
      </c>
    </row>
    <row r="6471" spans="1:4" ht="12.5">
      <c r="A6471" s="15" t="s">
        <v>764</v>
      </c>
      <c r="B6471" s="14">
        <v>7002929326</v>
      </c>
      <c r="C6471" s="14">
        <v>1</v>
      </c>
      <c r="D6471" s="184" t="s">
        <v>750</v>
      </c>
    </row>
    <row r="6472" spans="1:4" ht="12.5">
      <c r="A6472" s="15" t="s">
        <v>764</v>
      </c>
      <c r="B6472" s="14">
        <v>7002935511</v>
      </c>
      <c r="C6472" s="14">
        <v>2</v>
      </c>
      <c r="D6472" s="184" t="s">
        <v>751</v>
      </c>
    </row>
    <row r="6473" spans="1:4" ht="12.5">
      <c r="A6473" s="15" t="s">
        <v>764</v>
      </c>
      <c r="B6473" s="14">
        <v>7002936030</v>
      </c>
      <c r="C6473" s="14">
        <v>4</v>
      </c>
      <c r="D6473" s="184" t="s">
        <v>751</v>
      </c>
    </row>
    <row r="6474" spans="1:4" ht="12.5">
      <c r="A6474" s="15" t="s">
        <v>764</v>
      </c>
      <c r="B6474" s="14">
        <v>7002936826</v>
      </c>
      <c r="C6474" s="14">
        <v>1</v>
      </c>
      <c r="D6474" s="184" t="s">
        <v>750</v>
      </c>
    </row>
    <row r="6475" spans="1:4" ht="12.5">
      <c r="A6475" s="15" t="s">
        <v>764</v>
      </c>
      <c r="B6475" s="14">
        <v>7002937439</v>
      </c>
      <c r="C6475" s="14">
        <v>4</v>
      </c>
      <c r="D6475" s="184" t="s">
        <v>751</v>
      </c>
    </row>
    <row r="6476" spans="1:4" ht="12.5">
      <c r="A6476" s="15" t="s">
        <v>764</v>
      </c>
      <c r="B6476" s="14">
        <v>7002939547</v>
      </c>
      <c r="C6476" s="14">
        <v>1</v>
      </c>
      <c r="D6476" s="184" t="s">
        <v>750</v>
      </c>
    </row>
    <row r="6477" spans="1:4" ht="12.5">
      <c r="A6477" s="15" t="s">
        <v>764</v>
      </c>
      <c r="B6477" s="14">
        <v>7002940773</v>
      </c>
      <c r="C6477" s="14">
        <v>2</v>
      </c>
      <c r="D6477" s="184" t="s">
        <v>751</v>
      </c>
    </row>
    <row r="6478" spans="1:4" ht="12.5">
      <c r="A6478" s="15" t="s">
        <v>764</v>
      </c>
      <c r="B6478" s="14">
        <v>7002941423</v>
      </c>
      <c r="C6478" s="14">
        <v>126</v>
      </c>
      <c r="D6478" s="184" t="s">
        <v>759</v>
      </c>
    </row>
    <row r="6479" spans="1:4" ht="12.5">
      <c r="A6479" s="15" t="s">
        <v>764</v>
      </c>
      <c r="B6479" s="14">
        <v>7002941793</v>
      </c>
      <c r="C6479" s="14">
        <v>2</v>
      </c>
      <c r="D6479" s="184" t="s">
        <v>751</v>
      </c>
    </row>
    <row r="6480" spans="1:4" ht="12.5">
      <c r="A6480" s="15" t="s">
        <v>764</v>
      </c>
      <c r="B6480" s="14">
        <v>7002942446</v>
      </c>
      <c r="C6480" s="14">
        <v>7</v>
      </c>
      <c r="D6480" s="184" t="s">
        <v>758</v>
      </c>
    </row>
    <row r="6481" spans="1:4" ht="12.5">
      <c r="A6481" s="15" t="s">
        <v>764</v>
      </c>
      <c r="B6481" s="14">
        <v>7002943234</v>
      </c>
      <c r="C6481" s="14">
        <v>6</v>
      </c>
      <c r="D6481" s="184" t="s">
        <v>758</v>
      </c>
    </row>
    <row r="6482" spans="1:4" ht="12.5">
      <c r="A6482" s="15" t="s">
        <v>764</v>
      </c>
      <c r="B6482" s="14">
        <v>7002943281</v>
      </c>
      <c r="C6482" s="14">
        <v>40</v>
      </c>
      <c r="D6482" s="184" t="s">
        <v>759</v>
      </c>
    </row>
    <row r="6483" spans="1:4" ht="12.5">
      <c r="A6483" s="15" t="s">
        <v>764</v>
      </c>
      <c r="B6483" s="14">
        <v>7002943359</v>
      </c>
      <c r="C6483" s="14">
        <v>40</v>
      </c>
      <c r="D6483" s="184" t="s">
        <v>759</v>
      </c>
    </row>
    <row r="6484" spans="1:4" ht="12.5">
      <c r="A6484" s="15" t="s">
        <v>764</v>
      </c>
      <c r="B6484" s="14">
        <v>7002943497</v>
      </c>
      <c r="C6484" s="14">
        <v>10</v>
      </c>
      <c r="D6484" s="184" t="s">
        <v>758</v>
      </c>
    </row>
    <row r="6485" spans="1:4" ht="12.5">
      <c r="A6485" s="15" t="s">
        <v>764</v>
      </c>
      <c r="B6485" s="14">
        <v>7002943770</v>
      </c>
      <c r="C6485" s="14">
        <v>2</v>
      </c>
      <c r="D6485" s="184" t="s">
        <v>751</v>
      </c>
    </row>
    <row r="6486" spans="1:4" ht="12.5">
      <c r="A6486" s="15" t="s">
        <v>764</v>
      </c>
      <c r="B6486" s="14">
        <v>7002944564</v>
      </c>
      <c r="C6486" s="14">
        <v>14</v>
      </c>
      <c r="D6486" s="184" t="s">
        <v>759</v>
      </c>
    </row>
    <row r="6487" spans="1:4" ht="12.5">
      <c r="A6487" s="15" t="s">
        <v>764</v>
      </c>
      <c r="B6487" s="14">
        <v>7002944823</v>
      </c>
      <c r="C6487" s="14">
        <v>1</v>
      </c>
      <c r="D6487" s="184" t="s">
        <v>750</v>
      </c>
    </row>
    <row r="6488" spans="1:4" ht="12.5">
      <c r="A6488" s="15" t="s">
        <v>764</v>
      </c>
      <c r="B6488" s="14">
        <v>7002944852</v>
      </c>
      <c r="C6488" s="14">
        <v>2</v>
      </c>
      <c r="D6488" s="184" t="s">
        <v>751</v>
      </c>
    </row>
    <row r="6489" spans="1:4" ht="12.5">
      <c r="A6489" s="15" t="s">
        <v>764</v>
      </c>
      <c r="B6489" s="14">
        <v>7002946937</v>
      </c>
      <c r="C6489" s="14">
        <v>28</v>
      </c>
      <c r="D6489" s="184" t="s">
        <v>759</v>
      </c>
    </row>
    <row r="6490" spans="1:4" ht="12.5">
      <c r="A6490" s="15" t="s">
        <v>764</v>
      </c>
      <c r="B6490" s="14">
        <v>7002947257</v>
      </c>
      <c r="C6490" s="14">
        <v>1</v>
      </c>
      <c r="D6490" s="184" t="s">
        <v>750</v>
      </c>
    </row>
    <row r="6491" spans="1:4" ht="12.5">
      <c r="A6491" s="15" t="s">
        <v>764</v>
      </c>
      <c r="B6491" s="14">
        <v>7002947437</v>
      </c>
      <c r="C6491" s="14">
        <v>17</v>
      </c>
      <c r="D6491" s="184" t="s">
        <v>759</v>
      </c>
    </row>
    <row r="6492" spans="1:4" ht="12.5">
      <c r="A6492" s="15" t="s">
        <v>764</v>
      </c>
      <c r="B6492" s="14">
        <v>7002948227</v>
      </c>
      <c r="C6492" s="14">
        <v>6</v>
      </c>
      <c r="D6492" s="184" t="s">
        <v>758</v>
      </c>
    </row>
    <row r="6493" spans="1:4" ht="12.5">
      <c r="A6493" s="15" t="s">
        <v>764</v>
      </c>
      <c r="B6493" s="14">
        <v>7002948520</v>
      </c>
      <c r="C6493" s="14">
        <v>30</v>
      </c>
      <c r="D6493" s="184" t="s">
        <v>759</v>
      </c>
    </row>
    <row r="6494" spans="1:4" ht="12.5">
      <c r="A6494" s="15" t="s">
        <v>764</v>
      </c>
      <c r="B6494" s="14">
        <v>7002948956</v>
      </c>
      <c r="C6494" s="14">
        <v>10</v>
      </c>
      <c r="D6494" s="184" t="s">
        <v>758</v>
      </c>
    </row>
    <row r="6495" spans="1:4" ht="12.5">
      <c r="A6495" s="15" t="s">
        <v>764</v>
      </c>
      <c r="B6495" s="14">
        <v>7002949244</v>
      </c>
      <c r="C6495" s="14">
        <v>6</v>
      </c>
      <c r="D6495" s="184" t="s">
        <v>758</v>
      </c>
    </row>
    <row r="6496" spans="1:4" ht="12.5">
      <c r="A6496" s="15" t="s">
        <v>764</v>
      </c>
      <c r="B6496" s="14">
        <v>7002949368</v>
      </c>
      <c r="C6496" s="14">
        <v>12</v>
      </c>
      <c r="D6496" s="184" t="s">
        <v>759</v>
      </c>
    </row>
    <row r="6497" spans="1:4" ht="12.5">
      <c r="A6497" s="15" t="s">
        <v>764</v>
      </c>
      <c r="B6497" s="14">
        <v>7002949827</v>
      </c>
      <c r="C6497" s="14">
        <v>1</v>
      </c>
      <c r="D6497" s="184" t="s">
        <v>750</v>
      </c>
    </row>
    <row r="6498" spans="1:4" ht="12.5">
      <c r="A6498" s="15" t="s">
        <v>764</v>
      </c>
      <c r="B6498" s="14">
        <v>7002950367</v>
      </c>
      <c r="C6498" s="14">
        <v>6</v>
      </c>
      <c r="D6498" s="184" t="s">
        <v>758</v>
      </c>
    </row>
    <row r="6499" spans="1:4" ht="12.5">
      <c r="A6499" s="15" t="s">
        <v>764</v>
      </c>
      <c r="B6499" s="14">
        <v>7002950768</v>
      </c>
      <c r="C6499" s="14">
        <v>20</v>
      </c>
      <c r="D6499" s="184" t="s">
        <v>759</v>
      </c>
    </row>
    <row r="6500" spans="1:4" ht="12.5">
      <c r="A6500" s="15" t="s">
        <v>764</v>
      </c>
      <c r="B6500" s="14">
        <v>7002950939</v>
      </c>
      <c r="C6500" s="14">
        <v>1</v>
      </c>
      <c r="D6500" s="184" t="s">
        <v>750</v>
      </c>
    </row>
    <row r="6501" spans="1:4" ht="12.5">
      <c r="A6501" s="15" t="s">
        <v>764</v>
      </c>
      <c r="B6501" s="14">
        <v>7002953066</v>
      </c>
      <c r="C6501" s="14">
        <v>2</v>
      </c>
      <c r="D6501" s="184" t="s">
        <v>751</v>
      </c>
    </row>
    <row r="6502" spans="1:4" ht="12.5">
      <c r="A6502" s="15" t="s">
        <v>764</v>
      </c>
      <c r="B6502" s="14">
        <v>7002953457</v>
      </c>
      <c r="C6502" s="14">
        <v>20</v>
      </c>
      <c r="D6502" s="184" t="s">
        <v>759</v>
      </c>
    </row>
    <row r="6503" spans="1:4" ht="12.5">
      <c r="A6503" s="15" t="s">
        <v>764</v>
      </c>
      <c r="B6503" s="14">
        <v>7002954347</v>
      </c>
      <c r="C6503" s="14">
        <v>1</v>
      </c>
      <c r="D6503" s="184" t="s">
        <v>750</v>
      </c>
    </row>
    <row r="6504" spans="1:4" ht="12.5">
      <c r="A6504" s="15" t="s">
        <v>764</v>
      </c>
      <c r="B6504" s="14">
        <v>7002954680</v>
      </c>
      <c r="C6504" s="14">
        <v>6</v>
      </c>
      <c r="D6504" s="184" t="s">
        <v>758</v>
      </c>
    </row>
    <row r="6505" spans="1:4" ht="12.5">
      <c r="A6505" s="15" t="s">
        <v>764</v>
      </c>
      <c r="B6505" s="14">
        <v>7002954919</v>
      </c>
      <c r="C6505" s="14">
        <v>14</v>
      </c>
      <c r="D6505" s="184" t="s">
        <v>759</v>
      </c>
    </row>
    <row r="6506" spans="1:4" ht="12.5">
      <c r="A6506" s="15" t="s">
        <v>764</v>
      </c>
      <c r="B6506" s="14">
        <v>7002955146</v>
      </c>
      <c r="C6506" s="14">
        <v>6</v>
      </c>
      <c r="D6506" s="184" t="s">
        <v>758</v>
      </c>
    </row>
    <row r="6507" spans="1:4" ht="12.5">
      <c r="A6507" s="15" t="s">
        <v>764</v>
      </c>
      <c r="B6507" s="14">
        <v>7002955556</v>
      </c>
      <c r="C6507" s="14">
        <v>1</v>
      </c>
      <c r="D6507" s="184" t="s">
        <v>750</v>
      </c>
    </row>
    <row r="6508" spans="1:4" ht="12.5">
      <c r="A6508" s="15" t="s">
        <v>764</v>
      </c>
      <c r="B6508" s="14">
        <v>7002955672</v>
      </c>
      <c r="C6508" s="14">
        <v>47</v>
      </c>
      <c r="D6508" s="184" t="s">
        <v>759</v>
      </c>
    </row>
    <row r="6509" spans="1:4" ht="12.5">
      <c r="A6509" s="15" t="s">
        <v>764</v>
      </c>
      <c r="B6509" s="14">
        <v>7002956224</v>
      </c>
      <c r="C6509" s="14">
        <v>9</v>
      </c>
      <c r="D6509" s="184" t="s">
        <v>758</v>
      </c>
    </row>
    <row r="6510" spans="1:4" ht="12.5">
      <c r="A6510" s="15" t="s">
        <v>764</v>
      </c>
      <c r="B6510" s="14">
        <v>7002956812</v>
      </c>
      <c r="C6510" s="14">
        <v>1</v>
      </c>
      <c r="D6510" s="184" t="s">
        <v>750</v>
      </c>
    </row>
    <row r="6511" spans="1:4" ht="12.5">
      <c r="A6511" s="15" t="s">
        <v>764</v>
      </c>
      <c r="B6511" s="14">
        <v>7002956854</v>
      </c>
      <c r="C6511" s="14">
        <v>2</v>
      </c>
      <c r="D6511" s="184" t="s">
        <v>751</v>
      </c>
    </row>
    <row r="6512" spans="1:4" ht="12.5">
      <c r="A6512" s="15" t="s">
        <v>764</v>
      </c>
      <c r="B6512" s="14">
        <v>7002957701</v>
      </c>
      <c r="C6512" s="14">
        <v>1</v>
      </c>
      <c r="D6512" s="184" t="s">
        <v>750</v>
      </c>
    </row>
    <row r="6513" spans="1:4" ht="12.5">
      <c r="A6513" s="15" t="s">
        <v>764</v>
      </c>
      <c r="B6513" s="14">
        <v>7002958822</v>
      </c>
      <c r="C6513" s="14">
        <v>2</v>
      </c>
      <c r="D6513" s="184" t="s">
        <v>751</v>
      </c>
    </row>
    <row r="6514" spans="1:4" ht="12.5">
      <c r="A6514" s="15" t="s">
        <v>764</v>
      </c>
      <c r="B6514" s="14">
        <v>7002959336</v>
      </c>
      <c r="C6514" s="14">
        <v>2</v>
      </c>
      <c r="D6514" s="184" t="s">
        <v>751</v>
      </c>
    </row>
    <row r="6515" spans="1:4" ht="12.5">
      <c r="A6515" s="15" t="s">
        <v>764</v>
      </c>
      <c r="B6515" s="14">
        <v>7002960279</v>
      </c>
      <c r="C6515" s="14">
        <v>11</v>
      </c>
      <c r="D6515" s="184" t="s">
        <v>759</v>
      </c>
    </row>
    <row r="6516" spans="1:4" ht="12.5">
      <c r="A6516" s="15" t="s">
        <v>764</v>
      </c>
      <c r="B6516" s="14">
        <v>7002961221</v>
      </c>
      <c r="C6516" s="14">
        <v>1</v>
      </c>
      <c r="D6516" s="184" t="s">
        <v>750</v>
      </c>
    </row>
    <row r="6517" spans="1:4" ht="12.5">
      <c r="A6517" s="15" t="s">
        <v>764</v>
      </c>
      <c r="B6517" s="14">
        <v>7002962044</v>
      </c>
      <c r="C6517" s="14">
        <v>18</v>
      </c>
      <c r="D6517" s="184" t="s">
        <v>759</v>
      </c>
    </row>
    <row r="6518" spans="1:4" ht="12.5">
      <c r="A6518" s="15" t="s">
        <v>764</v>
      </c>
      <c r="B6518" s="14">
        <v>7002962195</v>
      </c>
      <c r="C6518" s="14">
        <v>1</v>
      </c>
      <c r="D6518" s="184" t="s">
        <v>750</v>
      </c>
    </row>
    <row r="6519" spans="1:4" ht="12.5">
      <c r="A6519" s="15" t="s">
        <v>764</v>
      </c>
      <c r="B6519" s="14">
        <v>7002963207</v>
      </c>
      <c r="C6519" s="14">
        <v>5</v>
      </c>
      <c r="D6519" s="184" t="s">
        <v>751</v>
      </c>
    </row>
    <row r="6520" spans="1:4" ht="12.5">
      <c r="A6520" s="15" t="s">
        <v>764</v>
      </c>
      <c r="B6520" s="14">
        <v>7002963211</v>
      </c>
      <c r="C6520" s="14">
        <v>11</v>
      </c>
      <c r="D6520" s="184" t="s">
        <v>759</v>
      </c>
    </row>
    <row r="6521" spans="1:4" ht="12.5">
      <c r="A6521" s="15" t="s">
        <v>764</v>
      </c>
      <c r="B6521" s="14">
        <v>7002963301</v>
      </c>
      <c r="C6521" s="14">
        <v>5</v>
      </c>
      <c r="D6521" s="184" t="s">
        <v>751</v>
      </c>
    </row>
    <row r="6522" spans="1:4" ht="12.5">
      <c r="A6522" s="15" t="s">
        <v>764</v>
      </c>
      <c r="B6522" s="14">
        <v>7002963372</v>
      </c>
      <c r="C6522" s="14">
        <v>25</v>
      </c>
      <c r="D6522" s="184" t="s">
        <v>759</v>
      </c>
    </row>
    <row r="6523" spans="1:4" ht="12.5">
      <c r="A6523" s="15" t="s">
        <v>764</v>
      </c>
      <c r="B6523" s="14">
        <v>7002964035</v>
      </c>
      <c r="C6523" s="14">
        <v>40</v>
      </c>
      <c r="D6523" s="184" t="s">
        <v>759</v>
      </c>
    </row>
    <row r="6524" spans="1:4" ht="12.5">
      <c r="A6524" s="15" t="s">
        <v>764</v>
      </c>
      <c r="B6524" s="14">
        <v>7002964198</v>
      </c>
      <c r="C6524" s="14">
        <v>36</v>
      </c>
      <c r="D6524" s="184" t="s">
        <v>759</v>
      </c>
    </row>
    <row r="6525" spans="1:4" ht="12.5">
      <c r="A6525" s="15" t="s">
        <v>764</v>
      </c>
      <c r="B6525" s="14">
        <v>7002964206</v>
      </c>
      <c r="C6525" s="14">
        <v>2</v>
      </c>
      <c r="D6525" s="184" t="s">
        <v>751</v>
      </c>
    </row>
    <row r="6526" spans="1:4" ht="12.5">
      <c r="A6526" s="15" t="s">
        <v>764</v>
      </c>
      <c r="B6526" s="14">
        <v>7002964363</v>
      </c>
      <c r="C6526" s="14">
        <v>15</v>
      </c>
      <c r="D6526" s="184" t="s">
        <v>759</v>
      </c>
    </row>
    <row r="6527" spans="1:4" ht="12.5">
      <c r="A6527" s="15" t="s">
        <v>764</v>
      </c>
      <c r="B6527" s="14">
        <v>7002964727</v>
      </c>
      <c r="C6527" s="14">
        <v>9</v>
      </c>
      <c r="D6527" s="184" t="s">
        <v>758</v>
      </c>
    </row>
    <row r="6528" spans="1:4" ht="12.5">
      <c r="A6528" s="15" t="s">
        <v>764</v>
      </c>
      <c r="B6528" s="14">
        <v>7002965494</v>
      </c>
      <c r="C6528" s="14">
        <v>1</v>
      </c>
      <c r="D6528" s="184" t="s">
        <v>750</v>
      </c>
    </row>
    <row r="6529" spans="1:4" ht="12.5">
      <c r="A6529" s="15" t="s">
        <v>764</v>
      </c>
      <c r="B6529" s="14">
        <v>7002966141</v>
      </c>
      <c r="C6529" s="14">
        <v>16</v>
      </c>
      <c r="D6529" s="184" t="s">
        <v>759</v>
      </c>
    </row>
    <row r="6530" spans="1:4" ht="12.5">
      <c r="A6530" s="15" t="s">
        <v>764</v>
      </c>
      <c r="B6530" s="14">
        <v>7002966194</v>
      </c>
      <c r="C6530" s="14">
        <v>70</v>
      </c>
      <c r="D6530" s="184" t="s">
        <v>759</v>
      </c>
    </row>
    <row r="6531" spans="1:4" ht="12.5">
      <c r="A6531" s="15" t="s">
        <v>764</v>
      </c>
      <c r="B6531" s="14">
        <v>7002967126</v>
      </c>
      <c r="C6531" s="14">
        <v>3</v>
      </c>
      <c r="D6531" s="184" t="s">
        <v>751</v>
      </c>
    </row>
    <row r="6532" spans="1:4" ht="12.5">
      <c r="A6532" s="15" t="s">
        <v>764</v>
      </c>
      <c r="B6532" s="14">
        <v>7002967383</v>
      </c>
      <c r="C6532" s="14">
        <v>2</v>
      </c>
      <c r="D6532" s="184" t="s">
        <v>751</v>
      </c>
    </row>
    <row r="6533" spans="1:4" ht="12.5">
      <c r="A6533" s="15" t="s">
        <v>764</v>
      </c>
      <c r="B6533" s="14">
        <v>7002967893</v>
      </c>
      <c r="C6533" s="14">
        <v>3</v>
      </c>
      <c r="D6533" s="184" t="s">
        <v>751</v>
      </c>
    </row>
    <row r="6534" spans="1:4" ht="12.5">
      <c r="A6534" s="15" t="s">
        <v>764</v>
      </c>
      <c r="B6534" s="14">
        <v>7002968219</v>
      </c>
      <c r="C6534" s="14">
        <v>6</v>
      </c>
      <c r="D6534" s="184" t="s">
        <v>758</v>
      </c>
    </row>
    <row r="6535" spans="1:4" ht="12.5">
      <c r="A6535" s="15" t="s">
        <v>764</v>
      </c>
      <c r="B6535" s="14">
        <v>7002968459</v>
      </c>
      <c r="C6535" s="14">
        <v>5</v>
      </c>
      <c r="D6535" s="184" t="s">
        <v>751</v>
      </c>
    </row>
    <row r="6536" spans="1:4" ht="12.5">
      <c r="A6536" s="15" t="s">
        <v>764</v>
      </c>
      <c r="B6536" s="14">
        <v>7002969137</v>
      </c>
      <c r="C6536" s="14">
        <v>35</v>
      </c>
      <c r="D6536" s="184" t="s">
        <v>759</v>
      </c>
    </row>
    <row r="6537" spans="1:4" ht="12.5">
      <c r="A6537" s="15" t="s">
        <v>764</v>
      </c>
      <c r="B6537" s="14">
        <v>7002969163</v>
      </c>
      <c r="C6537" s="14">
        <v>1</v>
      </c>
      <c r="D6537" s="184" t="s">
        <v>750</v>
      </c>
    </row>
    <row r="6538" spans="1:4" ht="12.5">
      <c r="A6538" s="15" t="s">
        <v>764</v>
      </c>
      <c r="B6538" s="14">
        <v>7002969192</v>
      </c>
      <c r="C6538" s="14">
        <v>1</v>
      </c>
      <c r="D6538" s="184" t="s">
        <v>750</v>
      </c>
    </row>
    <row r="6539" spans="1:4" ht="12.5">
      <c r="A6539" s="15" t="s">
        <v>764</v>
      </c>
      <c r="B6539" s="14">
        <v>7002969531</v>
      </c>
      <c r="C6539" s="14">
        <v>11</v>
      </c>
      <c r="D6539" s="184" t="s">
        <v>759</v>
      </c>
    </row>
    <row r="6540" spans="1:4" ht="12.5">
      <c r="A6540" s="15" t="s">
        <v>764</v>
      </c>
      <c r="B6540" s="14">
        <v>7002970239</v>
      </c>
      <c r="C6540" s="14">
        <v>2</v>
      </c>
      <c r="D6540" s="184" t="s">
        <v>751</v>
      </c>
    </row>
    <row r="6541" spans="1:4" ht="12.5">
      <c r="A6541" s="15" t="s">
        <v>764</v>
      </c>
      <c r="B6541" s="14">
        <v>7002972399</v>
      </c>
      <c r="C6541" s="14">
        <v>14</v>
      </c>
      <c r="D6541" s="184" t="s">
        <v>759</v>
      </c>
    </row>
    <row r="6542" spans="1:4" ht="12.5">
      <c r="A6542" s="15" t="s">
        <v>764</v>
      </c>
      <c r="B6542" s="14">
        <v>7002972776</v>
      </c>
      <c r="C6542" s="14">
        <v>9</v>
      </c>
      <c r="D6542" s="184" t="s">
        <v>758</v>
      </c>
    </row>
    <row r="6543" spans="1:4" ht="12.5">
      <c r="A6543" s="15" t="s">
        <v>764</v>
      </c>
      <c r="B6543" s="14">
        <v>7002972858</v>
      </c>
      <c r="C6543" s="14">
        <v>1</v>
      </c>
      <c r="D6543" s="184" t="s">
        <v>750</v>
      </c>
    </row>
    <row r="6544" spans="1:4" ht="12.5">
      <c r="A6544" s="15" t="s">
        <v>764</v>
      </c>
      <c r="B6544" s="14">
        <v>7002975690</v>
      </c>
      <c r="C6544" s="14">
        <v>1</v>
      </c>
      <c r="D6544" s="184" t="s">
        <v>750</v>
      </c>
    </row>
    <row r="6545" spans="1:4" ht="12.5">
      <c r="A6545" s="15" t="s">
        <v>764</v>
      </c>
      <c r="B6545" s="14">
        <v>7002976411</v>
      </c>
      <c r="C6545" s="14">
        <v>10</v>
      </c>
      <c r="D6545" s="184" t="s">
        <v>758</v>
      </c>
    </row>
    <row r="6546" spans="1:4" ht="12.5">
      <c r="A6546" s="15" t="s">
        <v>764</v>
      </c>
      <c r="B6546" s="14">
        <v>7002976718</v>
      </c>
      <c r="C6546" s="14">
        <v>4</v>
      </c>
      <c r="D6546" s="184" t="s">
        <v>751</v>
      </c>
    </row>
    <row r="6547" spans="1:4" ht="12.5">
      <c r="A6547" s="15" t="s">
        <v>764</v>
      </c>
      <c r="B6547" s="14">
        <v>7002976879</v>
      </c>
      <c r="C6547" s="14">
        <v>2</v>
      </c>
      <c r="D6547" s="184" t="s">
        <v>751</v>
      </c>
    </row>
    <row r="6548" spans="1:4" ht="12.5">
      <c r="A6548" s="15" t="s">
        <v>764</v>
      </c>
      <c r="B6548" s="14">
        <v>7002978807</v>
      </c>
      <c r="C6548" s="14">
        <v>7</v>
      </c>
      <c r="D6548" s="184" t="s">
        <v>758</v>
      </c>
    </row>
    <row r="6549" spans="1:4" ht="12.5">
      <c r="A6549" s="15" t="s">
        <v>764</v>
      </c>
      <c r="B6549" s="14">
        <v>7002980642</v>
      </c>
      <c r="C6549" s="14">
        <v>9</v>
      </c>
      <c r="D6549" s="184" t="s">
        <v>758</v>
      </c>
    </row>
    <row r="6550" spans="1:4" ht="12.5">
      <c r="A6550" s="15" t="s">
        <v>764</v>
      </c>
      <c r="B6550" s="14">
        <v>7002980701</v>
      </c>
      <c r="C6550" s="14">
        <v>1</v>
      </c>
      <c r="D6550" s="184" t="s">
        <v>750</v>
      </c>
    </row>
    <row r="6551" spans="1:4" ht="12.5">
      <c r="A6551" s="15" t="s">
        <v>764</v>
      </c>
      <c r="B6551" s="14">
        <v>7002980740</v>
      </c>
      <c r="C6551" s="14">
        <v>37</v>
      </c>
      <c r="D6551" s="184" t="s">
        <v>759</v>
      </c>
    </row>
    <row r="6552" spans="1:4" ht="12.5">
      <c r="A6552" s="15" t="s">
        <v>764</v>
      </c>
      <c r="B6552" s="14">
        <v>7002980951</v>
      </c>
      <c r="C6552" s="14">
        <v>14</v>
      </c>
      <c r="D6552" s="184" t="s">
        <v>759</v>
      </c>
    </row>
    <row r="6553" spans="1:4" ht="12.5">
      <c r="A6553" s="15" t="s">
        <v>764</v>
      </c>
      <c r="B6553" s="14">
        <v>7002980967</v>
      </c>
      <c r="C6553" s="14">
        <v>17</v>
      </c>
      <c r="D6553" s="184" t="s">
        <v>759</v>
      </c>
    </row>
    <row r="6554" spans="1:4" ht="12.5">
      <c r="A6554" s="15" t="s">
        <v>764</v>
      </c>
      <c r="B6554" s="14">
        <v>7002980979</v>
      </c>
      <c r="C6554" s="14">
        <v>1</v>
      </c>
      <c r="D6554" s="184" t="s">
        <v>750</v>
      </c>
    </row>
    <row r="6555" spans="1:4" ht="12.5">
      <c r="A6555" s="15" t="s">
        <v>764</v>
      </c>
      <c r="B6555" s="14">
        <v>7002981728</v>
      </c>
      <c r="C6555" s="14">
        <v>2</v>
      </c>
      <c r="D6555" s="184" t="s">
        <v>751</v>
      </c>
    </row>
    <row r="6556" spans="1:4" ht="12.5">
      <c r="A6556" s="15" t="s">
        <v>764</v>
      </c>
      <c r="B6556" s="14">
        <v>7002981759</v>
      </c>
      <c r="C6556" s="14">
        <v>35</v>
      </c>
      <c r="D6556" s="184" t="s">
        <v>759</v>
      </c>
    </row>
    <row r="6557" spans="1:4" ht="12.5">
      <c r="A6557" s="15" t="s">
        <v>764</v>
      </c>
      <c r="B6557" s="14">
        <v>7002981849</v>
      </c>
      <c r="C6557" s="14">
        <v>3</v>
      </c>
      <c r="D6557" s="184" t="s">
        <v>751</v>
      </c>
    </row>
    <row r="6558" spans="1:4" ht="12.5">
      <c r="A6558" s="15" t="s">
        <v>764</v>
      </c>
      <c r="B6558" s="14">
        <v>7002981913</v>
      </c>
      <c r="C6558" s="14">
        <v>50</v>
      </c>
      <c r="D6558" s="184" t="s">
        <v>759</v>
      </c>
    </row>
    <row r="6559" spans="1:4" ht="12.5">
      <c r="A6559" s="15" t="s">
        <v>764</v>
      </c>
      <c r="B6559" s="14">
        <v>7002981921</v>
      </c>
      <c r="C6559" s="14">
        <v>5</v>
      </c>
      <c r="D6559" s="184" t="s">
        <v>751</v>
      </c>
    </row>
    <row r="6560" spans="1:4" ht="12.5">
      <c r="A6560" s="15" t="s">
        <v>764</v>
      </c>
      <c r="B6560" s="14">
        <v>7002981932</v>
      </c>
      <c r="C6560" s="14">
        <v>1</v>
      </c>
      <c r="D6560" s="184" t="s">
        <v>750</v>
      </c>
    </row>
    <row r="6561" spans="1:4" ht="12.5">
      <c r="A6561" s="15" t="s">
        <v>764</v>
      </c>
      <c r="B6561" s="14">
        <v>7002981945</v>
      </c>
      <c r="C6561" s="14">
        <v>17</v>
      </c>
      <c r="D6561" s="184" t="s">
        <v>759</v>
      </c>
    </row>
    <row r="6562" spans="1:4" ht="12.5">
      <c r="A6562" s="15" t="s">
        <v>764</v>
      </c>
      <c r="B6562" s="14">
        <v>7002981966</v>
      </c>
      <c r="C6562" s="14">
        <v>2</v>
      </c>
      <c r="D6562" s="184" t="s">
        <v>751</v>
      </c>
    </row>
    <row r="6563" spans="1:4" ht="12.5">
      <c r="A6563" s="15" t="s">
        <v>764</v>
      </c>
      <c r="B6563" s="14">
        <v>7002981984</v>
      </c>
      <c r="C6563" s="14">
        <v>11</v>
      </c>
      <c r="D6563" s="184" t="s">
        <v>759</v>
      </c>
    </row>
    <row r="6564" spans="1:4" ht="12.5">
      <c r="A6564" s="15" t="s">
        <v>764</v>
      </c>
      <c r="B6564" s="14">
        <v>7002981997</v>
      </c>
      <c r="C6564" s="14">
        <v>1</v>
      </c>
      <c r="D6564" s="184" t="s">
        <v>750</v>
      </c>
    </row>
    <row r="6565" spans="1:4" ht="12.5">
      <c r="A6565" s="15" t="s">
        <v>764</v>
      </c>
      <c r="B6565" s="14">
        <v>7002982638</v>
      </c>
      <c r="C6565" s="14">
        <v>1</v>
      </c>
      <c r="D6565" s="184" t="s">
        <v>750</v>
      </c>
    </row>
    <row r="6566" spans="1:4" ht="12.5">
      <c r="A6566" s="15" t="s">
        <v>764</v>
      </c>
      <c r="B6566" s="14">
        <v>7002982693</v>
      </c>
      <c r="C6566" s="14">
        <v>2</v>
      </c>
      <c r="D6566" s="184" t="s">
        <v>751</v>
      </c>
    </row>
    <row r="6567" spans="1:4" ht="12.5">
      <c r="A6567" s="15" t="s">
        <v>764</v>
      </c>
      <c r="B6567" s="14">
        <v>7002982869</v>
      </c>
      <c r="C6567" s="14">
        <v>4</v>
      </c>
      <c r="D6567" s="184" t="s">
        <v>751</v>
      </c>
    </row>
    <row r="6568" spans="1:4" ht="12.5">
      <c r="A6568" s="15" t="s">
        <v>764</v>
      </c>
      <c r="B6568" s="14">
        <v>7002982931</v>
      </c>
      <c r="C6568" s="14">
        <v>17</v>
      </c>
      <c r="D6568" s="184" t="s">
        <v>759</v>
      </c>
    </row>
    <row r="6569" spans="1:4" ht="12.5">
      <c r="A6569" s="15" t="s">
        <v>764</v>
      </c>
      <c r="B6569" s="14">
        <v>7002983685</v>
      </c>
      <c r="C6569" s="14">
        <v>38</v>
      </c>
      <c r="D6569" s="184" t="s">
        <v>759</v>
      </c>
    </row>
    <row r="6570" spans="1:4" ht="12.5">
      <c r="A6570" s="15" t="s">
        <v>764</v>
      </c>
      <c r="B6570" s="14">
        <v>7002983823</v>
      </c>
      <c r="C6570" s="14">
        <v>1</v>
      </c>
      <c r="D6570" s="184" t="s">
        <v>750</v>
      </c>
    </row>
    <row r="6571" spans="1:4" ht="12.5">
      <c r="A6571" s="15" t="s">
        <v>764</v>
      </c>
      <c r="B6571" s="14">
        <v>7002983847</v>
      </c>
      <c r="C6571" s="14">
        <v>25</v>
      </c>
      <c r="D6571" s="184" t="s">
        <v>759</v>
      </c>
    </row>
    <row r="6572" spans="1:4" ht="12.5">
      <c r="A6572" s="15" t="s">
        <v>764</v>
      </c>
      <c r="B6572" s="14">
        <v>7002983930</v>
      </c>
      <c r="C6572" s="14">
        <v>1</v>
      </c>
      <c r="D6572" s="184" t="s">
        <v>750</v>
      </c>
    </row>
    <row r="6573" spans="1:4" ht="12.5">
      <c r="A6573" s="15" t="s">
        <v>764</v>
      </c>
      <c r="B6573" s="14">
        <v>7002983969</v>
      </c>
      <c r="C6573" s="14">
        <v>17</v>
      </c>
      <c r="D6573" s="184" t="s">
        <v>759</v>
      </c>
    </row>
    <row r="6574" spans="1:4" ht="12.5">
      <c r="A6574" s="15" t="s">
        <v>764</v>
      </c>
      <c r="B6574" s="14">
        <v>7002984038</v>
      </c>
      <c r="C6574" s="14">
        <v>7</v>
      </c>
      <c r="D6574" s="184" t="s">
        <v>758</v>
      </c>
    </row>
    <row r="6575" spans="1:4" ht="12.5">
      <c r="A6575" s="15" t="s">
        <v>764</v>
      </c>
      <c r="B6575" s="14">
        <v>7002984093</v>
      </c>
      <c r="C6575" s="14">
        <v>1</v>
      </c>
      <c r="D6575" s="184" t="s">
        <v>750</v>
      </c>
    </row>
    <row r="6576" spans="1:4" ht="12.5">
      <c r="A6576" s="15" t="s">
        <v>764</v>
      </c>
      <c r="B6576" s="14">
        <v>7002984658</v>
      </c>
      <c r="C6576" s="14">
        <v>22</v>
      </c>
      <c r="D6576" s="184" t="s">
        <v>759</v>
      </c>
    </row>
    <row r="6577" spans="1:4" ht="12.5">
      <c r="A6577" s="15" t="s">
        <v>764</v>
      </c>
      <c r="B6577" s="14">
        <v>7002984906</v>
      </c>
      <c r="C6577" s="14">
        <v>17</v>
      </c>
      <c r="D6577" s="184" t="s">
        <v>759</v>
      </c>
    </row>
    <row r="6578" spans="1:4" ht="12.5">
      <c r="A6578" s="15" t="s">
        <v>764</v>
      </c>
      <c r="B6578" s="14">
        <v>7002984923</v>
      </c>
      <c r="C6578" s="14">
        <v>17</v>
      </c>
      <c r="D6578" s="184" t="s">
        <v>759</v>
      </c>
    </row>
    <row r="6579" spans="1:4" ht="12.5">
      <c r="A6579" s="15" t="s">
        <v>764</v>
      </c>
      <c r="B6579" s="14">
        <v>7002985142</v>
      </c>
      <c r="C6579" s="14">
        <v>10</v>
      </c>
      <c r="D6579" s="184" t="s">
        <v>758</v>
      </c>
    </row>
    <row r="6580" spans="1:4" ht="12.5">
      <c r="A6580" s="15" t="s">
        <v>764</v>
      </c>
      <c r="B6580" s="14">
        <v>7002985695</v>
      </c>
      <c r="C6580" s="14">
        <v>20</v>
      </c>
      <c r="D6580" s="184" t="s">
        <v>759</v>
      </c>
    </row>
    <row r="6581" spans="1:4" ht="12.5">
      <c r="A6581" s="15" t="s">
        <v>764</v>
      </c>
      <c r="B6581" s="14">
        <v>7002985928</v>
      </c>
      <c r="C6581" s="14">
        <v>4</v>
      </c>
      <c r="D6581" s="184" t="s">
        <v>751</v>
      </c>
    </row>
    <row r="6582" spans="1:4" ht="12.5">
      <c r="A6582" s="15" t="s">
        <v>764</v>
      </c>
      <c r="B6582" s="14">
        <v>7002985985</v>
      </c>
      <c r="C6582" s="14">
        <v>20</v>
      </c>
      <c r="D6582" s="184" t="s">
        <v>759</v>
      </c>
    </row>
    <row r="6583" spans="1:4" ht="12.5">
      <c r="A6583" s="15" t="s">
        <v>764</v>
      </c>
      <c r="B6583" s="14">
        <v>7002986631</v>
      </c>
      <c r="C6583" s="14">
        <v>1</v>
      </c>
      <c r="D6583" s="184" t="s">
        <v>750</v>
      </c>
    </row>
    <row r="6584" spans="1:4" ht="12.5">
      <c r="A6584" s="15" t="s">
        <v>764</v>
      </c>
      <c r="B6584" s="14">
        <v>7002986714</v>
      </c>
      <c r="C6584" s="14">
        <v>2</v>
      </c>
      <c r="D6584" s="184" t="s">
        <v>751</v>
      </c>
    </row>
    <row r="6585" spans="1:4" ht="12.5">
      <c r="A6585" s="15" t="s">
        <v>764</v>
      </c>
      <c r="B6585" s="14">
        <v>7002986929</v>
      </c>
      <c r="C6585" s="14">
        <v>17</v>
      </c>
      <c r="D6585" s="184" t="s">
        <v>759</v>
      </c>
    </row>
    <row r="6586" spans="1:4" ht="12.5">
      <c r="A6586" s="15" t="s">
        <v>764</v>
      </c>
      <c r="B6586" s="14">
        <v>7002986955</v>
      </c>
      <c r="C6586" s="14">
        <v>17</v>
      </c>
      <c r="D6586" s="184" t="s">
        <v>759</v>
      </c>
    </row>
    <row r="6587" spans="1:4" ht="12.5">
      <c r="A6587" s="15" t="s">
        <v>764</v>
      </c>
      <c r="B6587" s="14">
        <v>7002986993</v>
      </c>
      <c r="C6587" s="14">
        <v>11</v>
      </c>
      <c r="D6587" s="184" t="s">
        <v>759</v>
      </c>
    </row>
    <row r="6588" spans="1:4" ht="12.5">
      <c r="A6588" s="15" t="s">
        <v>764</v>
      </c>
      <c r="B6588" s="14">
        <v>7002987819</v>
      </c>
      <c r="C6588" s="14">
        <v>1</v>
      </c>
      <c r="D6588" s="184" t="s">
        <v>750</v>
      </c>
    </row>
    <row r="6589" spans="1:4" ht="12.5">
      <c r="A6589" s="15" t="s">
        <v>764</v>
      </c>
      <c r="B6589" s="14">
        <v>7002987888</v>
      </c>
      <c r="C6589" s="14">
        <v>5</v>
      </c>
      <c r="D6589" s="184" t="s">
        <v>751</v>
      </c>
    </row>
    <row r="6590" spans="1:4" ht="12.5">
      <c r="A6590" s="15" t="s">
        <v>764</v>
      </c>
      <c r="B6590" s="14">
        <v>7002987941</v>
      </c>
      <c r="C6590" s="14">
        <v>17</v>
      </c>
      <c r="D6590" s="184" t="s">
        <v>759</v>
      </c>
    </row>
    <row r="6591" spans="1:4" ht="12.5">
      <c r="A6591" s="15" t="s">
        <v>764</v>
      </c>
      <c r="B6591" s="14">
        <v>7002987960</v>
      </c>
      <c r="C6591" s="14">
        <v>1</v>
      </c>
      <c r="D6591" s="184" t="s">
        <v>750</v>
      </c>
    </row>
    <row r="6592" spans="1:4" ht="12.5">
      <c r="A6592" s="15" t="s">
        <v>764</v>
      </c>
      <c r="B6592" s="14">
        <v>7002988646</v>
      </c>
      <c r="C6592" s="14">
        <v>9</v>
      </c>
      <c r="D6592" s="184" t="s">
        <v>758</v>
      </c>
    </row>
    <row r="6593" spans="1:4" ht="12.5">
      <c r="A6593" s="15" t="s">
        <v>764</v>
      </c>
      <c r="B6593" s="14">
        <v>7002988707</v>
      </c>
      <c r="C6593" s="14">
        <v>30</v>
      </c>
      <c r="D6593" s="184" t="s">
        <v>759</v>
      </c>
    </row>
    <row r="6594" spans="1:4" ht="12.5">
      <c r="A6594" s="15" t="s">
        <v>764</v>
      </c>
      <c r="B6594" s="14">
        <v>7002988903</v>
      </c>
      <c r="C6594" s="14">
        <v>1</v>
      </c>
      <c r="D6594" s="184" t="s">
        <v>750</v>
      </c>
    </row>
    <row r="6595" spans="1:4" ht="12.5">
      <c r="A6595" s="15" t="s">
        <v>764</v>
      </c>
      <c r="B6595" s="14">
        <v>7002988974</v>
      </c>
      <c r="C6595" s="14">
        <v>31</v>
      </c>
      <c r="D6595" s="184" t="s">
        <v>759</v>
      </c>
    </row>
    <row r="6596" spans="1:4" ht="12.5">
      <c r="A6596" s="15" t="s">
        <v>764</v>
      </c>
      <c r="B6596" s="14">
        <v>7002989708</v>
      </c>
      <c r="C6596" s="14">
        <v>1</v>
      </c>
      <c r="D6596" s="184" t="s">
        <v>750</v>
      </c>
    </row>
    <row r="6597" spans="1:4" ht="12.5">
      <c r="A6597" s="15" t="s">
        <v>764</v>
      </c>
      <c r="B6597" s="14">
        <v>7002989731</v>
      </c>
      <c r="C6597" s="14">
        <v>2</v>
      </c>
      <c r="D6597" s="184" t="s">
        <v>751</v>
      </c>
    </row>
    <row r="6598" spans="1:4" ht="12.5">
      <c r="A6598" s="15" t="s">
        <v>764</v>
      </c>
      <c r="B6598" s="14">
        <v>7002989749</v>
      </c>
      <c r="C6598" s="14">
        <v>19</v>
      </c>
      <c r="D6598" s="184" t="s">
        <v>759</v>
      </c>
    </row>
    <row r="6599" spans="1:4" ht="12.5">
      <c r="A6599" s="15" t="s">
        <v>764</v>
      </c>
      <c r="B6599" s="14">
        <v>7002989765</v>
      </c>
      <c r="C6599" s="14">
        <v>2</v>
      </c>
      <c r="D6599" s="184" t="s">
        <v>751</v>
      </c>
    </row>
    <row r="6600" spans="1:4" ht="12.5">
      <c r="A6600" s="15" t="s">
        <v>764</v>
      </c>
      <c r="B6600" s="14">
        <v>7002989859</v>
      </c>
      <c r="C6600" s="14">
        <v>1</v>
      </c>
      <c r="D6600" s="184" t="s">
        <v>750</v>
      </c>
    </row>
    <row r="6601" spans="1:4" ht="12.5">
      <c r="A6601" s="15" t="s">
        <v>764</v>
      </c>
      <c r="B6601" s="14">
        <v>7002989936</v>
      </c>
      <c r="C6601" s="14">
        <v>4</v>
      </c>
      <c r="D6601" s="184" t="s">
        <v>751</v>
      </c>
    </row>
    <row r="6602" spans="1:4" ht="12.5">
      <c r="A6602" s="15" t="s">
        <v>764</v>
      </c>
      <c r="B6602" s="14">
        <v>7002990102</v>
      </c>
      <c r="C6602" s="14">
        <v>1</v>
      </c>
      <c r="D6602" s="184" t="s">
        <v>750</v>
      </c>
    </row>
    <row r="6603" spans="1:4" ht="12.5">
      <c r="A6603" s="15" t="s">
        <v>764</v>
      </c>
      <c r="B6603" s="14">
        <v>7002990286</v>
      </c>
      <c r="C6603" s="14">
        <v>1</v>
      </c>
      <c r="D6603" s="184" t="s">
        <v>750</v>
      </c>
    </row>
    <row r="6604" spans="1:4" ht="12.5">
      <c r="A6604" s="15" t="s">
        <v>764</v>
      </c>
      <c r="B6604" s="14">
        <v>7002990293</v>
      </c>
      <c r="C6604" s="14">
        <v>1</v>
      </c>
      <c r="D6604" s="184" t="s">
        <v>750</v>
      </c>
    </row>
    <row r="6605" spans="1:4" ht="12.5">
      <c r="A6605" s="15" t="s">
        <v>764</v>
      </c>
      <c r="B6605" s="14">
        <v>7002990490</v>
      </c>
      <c r="C6605" s="14">
        <v>8</v>
      </c>
      <c r="D6605" s="184" t="s">
        <v>758</v>
      </c>
    </row>
    <row r="6606" spans="1:4" ht="12.5">
      <c r="A6606" s="15" t="s">
        <v>764</v>
      </c>
      <c r="B6606" s="14">
        <v>7002991049</v>
      </c>
      <c r="C6606" s="14">
        <v>6</v>
      </c>
      <c r="D6606" s="184" t="s">
        <v>758</v>
      </c>
    </row>
    <row r="6607" spans="1:4" ht="12.5">
      <c r="A6607" s="15" t="s">
        <v>764</v>
      </c>
      <c r="B6607" s="14">
        <v>7002991065</v>
      </c>
      <c r="C6607" s="14">
        <v>9</v>
      </c>
      <c r="D6607" s="184" t="s">
        <v>758</v>
      </c>
    </row>
    <row r="6608" spans="1:4" ht="12.5">
      <c r="A6608" s="15" t="s">
        <v>764</v>
      </c>
      <c r="B6608" s="14">
        <v>7002991263</v>
      </c>
      <c r="C6608" s="14">
        <v>4</v>
      </c>
      <c r="D6608" s="184" t="s">
        <v>751</v>
      </c>
    </row>
    <row r="6609" spans="1:4" ht="12.5">
      <c r="A6609" s="15" t="s">
        <v>764</v>
      </c>
      <c r="B6609" s="14">
        <v>7002991323</v>
      </c>
      <c r="C6609" s="14">
        <v>1</v>
      </c>
      <c r="D6609" s="184" t="s">
        <v>750</v>
      </c>
    </row>
    <row r="6610" spans="1:4" ht="12.5">
      <c r="A6610" s="15" t="s">
        <v>764</v>
      </c>
      <c r="B6610" s="14">
        <v>7002991919</v>
      </c>
      <c r="C6610" s="14">
        <v>6</v>
      </c>
      <c r="D6610" s="184" t="s">
        <v>758</v>
      </c>
    </row>
    <row r="6611" spans="1:4" ht="12.5">
      <c r="A6611" s="15" t="s">
        <v>764</v>
      </c>
      <c r="B6611" s="14">
        <v>7002992007</v>
      </c>
      <c r="C6611" s="14">
        <v>1</v>
      </c>
      <c r="D6611" s="184" t="s">
        <v>750</v>
      </c>
    </row>
    <row r="6612" spans="1:4" ht="12.5">
      <c r="A6612" s="15" t="s">
        <v>764</v>
      </c>
      <c r="B6612" s="14">
        <v>7002992069</v>
      </c>
      <c r="C6612" s="14">
        <v>1</v>
      </c>
      <c r="D6612" s="184" t="s">
        <v>750</v>
      </c>
    </row>
    <row r="6613" spans="1:4" ht="12.5">
      <c r="A6613" s="15" t="s">
        <v>764</v>
      </c>
      <c r="B6613" s="14">
        <v>7002992116</v>
      </c>
      <c r="C6613" s="14">
        <v>21</v>
      </c>
      <c r="D6613" s="184" t="s">
        <v>759</v>
      </c>
    </row>
    <row r="6614" spans="1:4" ht="12.5">
      <c r="A6614" s="15" t="s">
        <v>764</v>
      </c>
      <c r="B6614" s="14">
        <v>7002992128</v>
      </c>
      <c r="C6614" s="14">
        <v>3</v>
      </c>
      <c r="D6614" s="184" t="s">
        <v>751</v>
      </c>
    </row>
    <row r="6615" spans="1:4" ht="12.5">
      <c r="A6615" s="15" t="s">
        <v>764</v>
      </c>
      <c r="B6615" s="14">
        <v>7002992398</v>
      </c>
      <c r="C6615" s="14">
        <v>3</v>
      </c>
      <c r="D6615" s="184" t="s">
        <v>751</v>
      </c>
    </row>
    <row r="6616" spans="1:4" ht="12.5">
      <c r="A6616" s="15" t="s">
        <v>764</v>
      </c>
      <c r="B6616" s="14">
        <v>7002992826</v>
      </c>
      <c r="C6616" s="14">
        <v>5</v>
      </c>
      <c r="D6616" s="184" t="s">
        <v>751</v>
      </c>
    </row>
    <row r="6617" spans="1:4" ht="12.5">
      <c r="A6617" s="15" t="s">
        <v>764</v>
      </c>
      <c r="B6617" s="14">
        <v>7002993203</v>
      </c>
      <c r="C6617" s="14">
        <v>2</v>
      </c>
      <c r="D6617" s="184" t="s">
        <v>751</v>
      </c>
    </row>
    <row r="6618" spans="1:4" ht="12.5">
      <c r="A6618" s="15" t="s">
        <v>764</v>
      </c>
      <c r="B6618" s="14">
        <v>7002993226</v>
      </c>
      <c r="C6618" s="14">
        <v>12</v>
      </c>
      <c r="D6618" s="184" t="s">
        <v>759</v>
      </c>
    </row>
    <row r="6619" spans="1:4" ht="12.5">
      <c r="A6619" s="15" t="s">
        <v>764</v>
      </c>
      <c r="B6619" s="14">
        <v>7002993345</v>
      </c>
      <c r="C6619" s="14">
        <v>4</v>
      </c>
      <c r="D6619" s="184" t="s">
        <v>751</v>
      </c>
    </row>
    <row r="6620" spans="1:4" ht="12.5">
      <c r="A6620" s="15" t="s">
        <v>764</v>
      </c>
      <c r="B6620" s="14">
        <v>7002994157</v>
      </c>
      <c r="C6620" s="14">
        <v>3</v>
      </c>
      <c r="D6620" s="184" t="s">
        <v>751</v>
      </c>
    </row>
    <row r="6621" spans="1:4" ht="12.5">
      <c r="A6621" s="15" t="s">
        <v>764</v>
      </c>
      <c r="B6621" s="14">
        <v>7002994161</v>
      </c>
      <c r="C6621" s="14">
        <v>3</v>
      </c>
      <c r="D6621" s="184" t="s">
        <v>751</v>
      </c>
    </row>
    <row r="6622" spans="1:4" ht="12.5">
      <c r="A6622" s="15" t="s">
        <v>764</v>
      </c>
      <c r="B6622" s="14">
        <v>7002994225</v>
      </c>
      <c r="C6622" s="14">
        <v>3</v>
      </c>
      <c r="D6622" s="184" t="s">
        <v>751</v>
      </c>
    </row>
    <row r="6623" spans="1:4" ht="12.5">
      <c r="A6623" s="15" t="s">
        <v>764</v>
      </c>
      <c r="B6623" s="14">
        <v>7002995017</v>
      </c>
      <c r="C6623" s="14">
        <v>5</v>
      </c>
      <c r="D6623" s="184" t="s">
        <v>751</v>
      </c>
    </row>
    <row r="6624" spans="1:4" ht="12.5">
      <c r="A6624" s="15" t="s">
        <v>764</v>
      </c>
      <c r="B6624" s="14">
        <v>7002995029</v>
      </c>
      <c r="C6624" s="14">
        <v>1</v>
      </c>
      <c r="D6624" s="184" t="s">
        <v>750</v>
      </c>
    </row>
    <row r="6625" spans="1:4" ht="12.5">
      <c r="A6625" s="15" t="s">
        <v>764</v>
      </c>
      <c r="B6625" s="14">
        <v>7002996025</v>
      </c>
      <c r="C6625" s="14">
        <v>9</v>
      </c>
      <c r="D6625" s="184" t="s">
        <v>758</v>
      </c>
    </row>
    <row r="6626" spans="1:4" ht="12.5">
      <c r="A6626" s="15" t="s">
        <v>764</v>
      </c>
      <c r="B6626" s="14">
        <v>7002996087</v>
      </c>
      <c r="C6626" s="14">
        <v>2</v>
      </c>
      <c r="D6626" s="184" t="s">
        <v>751</v>
      </c>
    </row>
    <row r="6627" spans="1:4" ht="12.5">
      <c r="A6627" s="15" t="s">
        <v>764</v>
      </c>
      <c r="B6627" s="14">
        <v>7002996298</v>
      </c>
      <c r="C6627" s="14">
        <v>1</v>
      </c>
      <c r="D6627" s="184" t="s">
        <v>750</v>
      </c>
    </row>
    <row r="6628" spans="1:4" ht="12.5">
      <c r="A6628" s="15" t="s">
        <v>764</v>
      </c>
      <c r="B6628" s="14">
        <v>7002997316</v>
      </c>
      <c r="C6628" s="14">
        <v>4</v>
      </c>
      <c r="D6628" s="184" t="s">
        <v>751</v>
      </c>
    </row>
    <row r="6629" spans="1:4" ht="12.5">
      <c r="A6629" s="15" t="s">
        <v>764</v>
      </c>
      <c r="B6629" s="14">
        <v>7002997686</v>
      </c>
      <c r="C6629" s="14">
        <v>1</v>
      </c>
      <c r="D6629" s="184" t="s">
        <v>750</v>
      </c>
    </row>
    <row r="6630" spans="1:4" ht="12.5">
      <c r="A6630" s="15" t="s">
        <v>764</v>
      </c>
      <c r="B6630" s="14">
        <v>7002998253</v>
      </c>
      <c r="C6630" s="14">
        <v>4</v>
      </c>
      <c r="D6630" s="184" t="s">
        <v>751</v>
      </c>
    </row>
    <row r="6631" spans="1:4" ht="12.5">
      <c r="A6631" s="15" t="s">
        <v>764</v>
      </c>
      <c r="B6631" s="14">
        <v>7002998340</v>
      </c>
      <c r="C6631" s="14">
        <v>7</v>
      </c>
      <c r="D6631" s="184" t="s">
        <v>758</v>
      </c>
    </row>
    <row r="6632" spans="1:4" ht="12.5">
      <c r="A6632" s="15" t="s">
        <v>764</v>
      </c>
      <c r="B6632" s="14">
        <v>7002998574</v>
      </c>
      <c r="C6632" s="14">
        <v>2</v>
      </c>
      <c r="D6632" s="184" t="s">
        <v>751</v>
      </c>
    </row>
    <row r="6633" spans="1:4" ht="12.5">
      <c r="A6633" s="15" t="s">
        <v>764</v>
      </c>
      <c r="B6633" s="14">
        <v>7002999339</v>
      </c>
      <c r="C6633" s="14">
        <v>3</v>
      </c>
      <c r="D6633" s="184" t="s">
        <v>751</v>
      </c>
    </row>
    <row r="6634" spans="1:4" ht="12.5">
      <c r="A6634" s="15" t="s">
        <v>764</v>
      </c>
      <c r="B6634" s="14">
        <v>7003000433</v>
      </c>
      <c r="C6634" s="14">
        <v>1</v>
      </c>
      <c r="D6634" s="184" t="s">
        <v>750</v>
      </c>
    </row>
    <row r="6635" spans="1:4" ht="12.5">
      <c r="A6635" s="15" t="s">
        <v>764</v>
      </c>
      <c r="B6635" s="14">
        <v>7003000535</v>
      </c>
      <c r="C6635" s="14">
        <v>3</v>
      </c>
      <c r="D6635" s="184" t="s">
        <v>751</v>
      </c>
    </row>
    <row r="6636" spans="1:4" ht="12.5">
      <c r="A6636" s="15" t="s">
        <v>764</v>
      </c>
      <c r="B6636" s="14">
        <v>7003000792</v>
      </c>
      <c r="C6636" s="14">
        <v>5</v>
      </c>
      <c r="D6636" s="184" t="s">
        <v>751</v>
      </c>
    </row>
    <row r="6637" spans="1:4" ht="12.5">
      <c r="A6637" s="15" t="s">
        <v>764</v>
      </c>
      <c r="B6637" s="14">
        <v>7003001114</v>
      </c>
      <c r="C6637" s="14">
        <v>1</v>
      </c>
      <c r="D6637" s="184" t="s">
        <v>750</v>
      </c>
    </row>
    <row r="6638" spans="1:4" ht="12.5">
      <c r="A6638" s="15" t="s">
        <v>764</v>
      </c>
      <c r="B6638" s="14">
        <v>7003001210</v>
      </c>
      <c r="C6638" s="14">
        <v>34</v>
      </c>
      <c r="D6638" s="184" t="s">
        <v>759</v>
      </c>
    </row>
    <row r="6639" spans="1:4" ht="12.5">
      <c r="A6639" s="15" t="s">
        <v>764</v>
      </c>
      <c r="B6639" s="14">
        <v>7003002002</v>
      </c>
      <c r="C6639" s="14">
        <v>53</v>
      </c>
      <c r="D6639" s="184" t="s">
        <v>759</v>
      </c>
    </row>
    <row r="6640" spans="1:4" ht="12.5">
      <c r="A6640" s="15" t="s">
        <v>764</v>
      </c>
      <c r="B6640" s="14">
        <v>7003002184</v>
      </c>
      <c r="C6640" s="14">
        <v>1</v>
      </c>
      <c r="D6640" s="184" t="s">
        <v>750</v>
      </c>
    </row>
    <row r="6641" spans="1:4" ht="12.5">
      <c r="A6641" s="15" t="s">
        <v>764</v>
      </c>
      <c r="B6641" s="14">
        <v>7003002810</v>
      </c>
      <c r="C6641" s="14">
        <v>4</v>
      </c>
      <c r="D6641" s="184" t="s">
        <v>751</v>
      </c>
    </row>
    <row r="6642" spans="1:4" ht="12.5">
      <c r="A6642" s="15" t="s">
        <v>764</v>
      </c>
      <c r="B6642" s="14">
        <v>7003003112</v>
      </c>
      <c r="C6642" s="14">
        <v>1</v>
      </c>
      <c r="D6642" s="184" t="s">
        <v>750</v>
      </c>
    </row>
    <row r="6643" spans="1:4" ht="12.5">
      <c r="A6643" s="15" t="s">
        <v>764</v>
      </c>
      <c r="B6643" s="14">
        <v>7003003303</v>
      </c>
      <c r="C6643" s="14">
        <v>1</v>
      </c>
      <c r="D6643" s="184" t="s">
        <v>750</v>
      </c>
    </row>
    <row r="6644" spans="1:4" ht="12.5">
      <c r="A6644" s="15" t="s">
        <v>764</v>
      </c>
      <c r="B6644" s="14">
        <v>7003003319</v>
      </c>
      <c r="C6644" s="14">
        <v>3</v>
      </c>
      <c r="D6644" s="184" t="s">
        <v>751</v>
      </c>
    </row>
    <row r="6645" spans="1:4" ht="12.5">
      <c r="A6645" s="15" t="s">
        <v>764</v>
      </c>
      <c r="B6645" s="14">
        <v>7003004265</v>
      </c>
      <c r="C6645" s="14">
        <v>20</v>
      </c>
      <c r="D6645" s="184" t="s">
        <v>759</v>
      </c>
    </row>
    <row r="6646" spans="1:4" ht="12.5">
      <c r="A6646" s="15" t="s">
        <v>764</v>
      </c>
      <c r="B6646" s="14">
        <v>7003004277</v>
      </c>
      <c r="C6646" s="14">
        <v>2</v>
      </c>
      <c r="D6646" s="184" t="s">
        <v>751</v>
      </c>
    </row>
    <row r="6647" spans="1:4" ht="12.5">
      <c r="A6647" s="15" t="s">
        <v>764</v>
      </c>
      <c r="B6647" s="14">
        <v>7003004688</v>
      </c>
      <c r="C6647" s="14">
        <v>4</v>
      </c>
      <c r="D6647" s="184" t="s">
        <v>751</v>
      </c>
    </row>
    <row r="6648" spans="1:4" ht="12.5">
      <c r="A6648" s="15" t="s">
        <v>764</v>
      </c>
      <c r="B6648" s="14">
        <v>7003005170</v>
      </c>
      <c r="C6648" s="14">
        <v>1</v>
      </c>
      <c r="D6648" s="184" t="s">
        <v>750</v>
      </c>
    </row>
    <row r="6649" spans="1:4" ht="12.5">
      <c r="A6649" s="15" t="s">
        <v>764</v>
      </c>
      <c r="B6649" s="14">
        <v>7003005705</v>
      </c>
      <c r="C6649" s="14">
        <v>1</v>
      </c>
      <c r="D6649" s="184" t="s">
        <v>750</v>
      </c>
    </row>
    <row r="6650" spans="1:4" ht="12.5">
      <c r="A6650" s="15" t="s">
        <v>764</v>
      </c>
      <c r="B6650" s="14">
        <v>7003006116</v>
      </c>
      <c r="C6650" s="14">
        <v>7</v>
      </c>
      <c r="D6650" s="184" t="s">
        <v>758</v>
      </c>
    </row>
    <row r="6651" spans="1:4" ht="12.5">
      <c r="A6651" s="15" t="s">
        <v>764</v>
      </c>
      <c r="B6651" s="14">
        <v>7003007186</v>
      </c>
      <c r="C6651" s="14">
        <v>5</v>
      </c>
      <c r="D6651" s="184" t="s">
        <v>751</v>
      </c>
    </row>
    <row r="6652" spans="1:4" ht="12.5">
      <c r="A6652" s="15" t="s">
        <v>764</v>
      </c>
      <c r="B6652" s="14">
        <v>7003007216</v>
      </c>
      <c r="C6652" s="14">
        <v>30</v>
      </c>
      <c r="D6652" s="184" t="s">
        <v>759</v>
      </c>
    </row>
    <row r="6653" spans="1:4" ht="12.5">
      <c r="A6653" s="15" t="s">
        <v>764</v>
      </c>
      <c r="B6653" s="14">
        <v>7003007323</v>
      </c>
      <c r="C6653" s="14">
        <v>1</v>
      </c>
      <c r="D6653" s="184" t="s">
        <v>750</v>
      </c>
    </row>
    <row r="6654" spans="1:4" ht="12.5">
      <c r="A6654" s="15" t="s">
        <v>764</v>
      </c>
      <c r="B6654" s="14">
        <v>7003007711</v>
      </c>
      <c r="C6654" s="14">
        <v>1</v>
      </c>
      <c r="D6654" s="184" t="s">
        <v>750</v>
      </c>
    </row>
    <row r="6655" spans="1:4" ht="12.5">
      <c r="A6655" s="15" t="s">
        <v>764</v>
      </c>
      <c r="B6655" s="14">
        <v>7003007858</v>
      </c>
      <c r="C6655" s="14">
        <v>20</v>
      </c>
      <c r="D6655" s="184" t="s">
        <v>759</v>
      </c>
    </row>
    <row r="6656" spans="1:4" ht="12.5">
      <c r="A6656" s="15" t="s">
        <v>764</v>
      </c>
      <c r="B6656" s="14">
        <v>7003008348</v>
      </c>
      <c r="C6656" s="14">
        <v>1</v>
      </c>
      <c r="D6656" s="184" t="s">
        <v>750</v>
      </c>
    </row>
    <row r="6657" spans="1:4" ht="12.5">
      <c r="A6657" s="15" t="s">
        <v>764</v>
      </c>
      <c r="B6657" s="14">
        <v>7003008474</v>
      </c>
      <c r="C6657" s="14">
        <v>1</v>
      </c>
      <c r="D6657" s="184" t="s">
        <v>750</v>
      </c>
    </row>
    <row r="6658" spans="1:4" ht="12.5">
      <c r="A6658" s="15" t="s">
        <v>764</v>
      </c>
      <c r="B6658" s="14">
        <v>7003008681</v>
      </c>
      <c r="C6658" s="14">
        <v>1</v>
      </c>
      <c r="D6658" s="184" t="s">
        <v>750</v>
      </c>
    </row>
    <row r="6659" spans="1:4" ht="12.5">
      <c r="A6659" s="15" t="s">
        <v>764</v>
      </c>
      <c r="B6659" s="14">
        <v>7003008837</v>
      </c>
      <c r="C6659" s="14">
        <v>3</v>
      </c>
      <c r="D6659" s="184" t="s">
        <v>751</v>
      </c>
    </row>
    <row r="6660" spans="1:4" ht="12.5">
      <c r="A6660" s="15" t="s">
        <v>764</v>
      </c>
      <c r="B6660" s="14">
        <v>7003009829</v>
      </c>
      <c r="C6660" s="14">
        <v>2</v>
      </c>
      <c r="D6660" s="184" t="s">
        <v>751</v>
      </c>
    </row>
    <row r="6661" spans="1:4" ht="12.5">
      <c r="A6661" s="195"/>
      <c r="B6661" s="194"/>
      <c r="C6661" s="194"/>
      <c r="D6661" s="192"/>
    </row>
    <row r="6662" spans="1:4" ht="12.5">
      <c r="A6662" s="15" t="s">
        <v>765</v>
      </c>
      <c r="B6662" s="14">
        <v>7002690646</v>
      </c>
      <c r="C6662" s="14">
        <v>4</v>
      </c>
      <c r="D6662" s="184" t="s">
        <v>751</v>
      </c>
    </row>
    <row r="6663" spans="1:4" ht="12.5">
      <c r="A6663" s="15" t="s">
        <v>765</v>
      </c>
      <c r="B6663" s="14">
        <v>7002731618</v>
      </c>
      <c r="C6663" s="14">
        <v>43</v>
      </c>
      <c r="D6663" s="184" t="s">
        <v>759</v>
      </c>
    </row>
    <row r="6664" spans="1:4" ht="12.5">
      <c r="A6664" s="15" t="s">
        <v>765</v>
      </c>
      <c r="B6664" s="14">
        <v>7002738513</v>
      </c>
      <c r="C6664" s="14">
        <v>1</v>
      </c>
      <c r="D6664" s="184" t="s">
        <v>750</v>
      </c>
    </row>
    <row r="6665" spans="1:4" ht="12.5">
      <c r="A6665" s="15" t="s">
        <v>765</v>
      </c>
      <c r="B6665" s="14">
        <v>7002808769</v>
      </c>
      <c r="C6665" s="14">
        <v>8</v>
      </c>
      <c r="D6665" s="184" t="s">
        <v>758</v>
      </c>
    </row>
    <row r="6666" spans="1:4" ht="12.5">
      <c r="A6666" s="15" t="s">
        <v>765</v>
      </c>
      <c r="B6666" s="14">
        <v>7002815995</v>
      </c>
      <c r="C6666" s="14">
        <v>50</v>
      </c>
      <c r="D6666" s="184" t="s">
        <v>759</v>
      </c>
    </row>
    <row r="6667" spans="1:4" ht="12.5">
      <c r="A6667" s="15" t="s">
        <v>765</v>
      </c>
      <c r="B6667" s="14">
        <v>7002821454</v>
      </c>
      <c r="C6667" s="14">
        <v>2</v>
      </c>
      <c r="D6667" s="184" t="s">
        <v>751</v>
      </c>
    </row>
    <row r="6668" spans="1:4" ht="12.5">
      <c r="A6668" s="15" t="s">
        <v>765</v>
      </c>
      <c r="B6668" s="14">
        <v>7002832784</v>
      </c>
      <c r="C6668" s="14">
        <v>2</v>
      </c>
      <c r="D6668" s="184" t="s">
        <v>751</v>
      </c>
    </row>
    <row r="6669" spans="1:4" ht="12.5">
      <c r="A6669" s="15" t="s">
        <v>765</v>
      </c>
      <c r="B6669" s="14">
        <v>7002840547</v>
      </c>
      <c r="C6669" s="14">
        <v>5</v>
      </c>
      <c r="D6669" s="184" t="s">
        <v>751</v>
      </c>
    </row>
    <row r="6670" spans="1:4" ht="12.5">
      <c r="A6670" s="15" t="s">
        <v>765</v>
      </c>
      <c r="B6670" s="14">
        <v>7002842919</v>
      </c>
      <c r="C6670" s="14">
        <v>1</v>
      </c>
      <c r="D6670" s="184" t="s">
        <v>750</v>
      </c>
    </row>
    <row r="6671" spans="1:4" ht="12.5">
      <c r="A6671" s="15" t="s">
        <v>765</v>
      </c>
      <c r="B6671" s="14">
        <v>7002843493</v>
      </c>
      <c r="C6671" s="14">
        <v>3</v>
      </c>
      <c r="D6671" s="184" t="s">
        <v>751</v>
      </c>
    </row>
    <row r="6672" spans="1:4" ht="12.5">
      <c r="A6672" s="15" t="s">
        <v>765</v>
      </c>
      <c r="B6672" s="14">
        <v>7002845536</v>
      </c>
      <c r="C6672" s="14">
        <v>1</v>
      </c>
      <c r="D6672" s="184" t="s">
        <v>750</v>
      </c>
    </row>
    <row r="6673" spans="1:4" ht="12.5">
      <c r="A6673" s="15" t="s">
        <v>765</v>
      </c>
      <c r="B6673" s="14">
        <v>7002845905</v>
      </c>
      <c r="C6673" s="14">
        <v>1</v>
      </c>
      <c r="D6673" s="184" t="s">
        <v>750</v>
      </c>
    </row>
    <row r="6674" spans="1:4" ht="12.5">
      <c r="A6674" s="15" t="s">
        <v>765</v>
      </c>
      <c r="B6674" s="14">
        <v>7002846112</v>
      </c>
      <c r="C6674" s="14">
        <v>1</v>
      </c>
      <c r="D6674" s="184" t="s">
        <v>750</v>
      </c>
    </row>
    <row r="6675" spans="1:4" ht="12.5">
      <c r="A6675" s="15" t="s">
        <v>765</v>
      </c>
      <c r="B6675" s="14">
        <v>7002846221</v>
      </c>
      <c r="C6675" s="14">
        <v>3</v>
      </c>
      <c r="D6675" s="184" t="s">
        <v>751</v>
      </c>
    </row>
    <row r="6676" spans="1:4" ht="12.5">
      <c r="A6676" s="15" t="s">
        <v>765</v>
      </c>
      <c r="B6676" s="14">
        <v>7002846544</v>
      </c>
      <c r="C6676" s="14">
        <v>2</v>
      </c>
      <c r="D6676" s="184" t="s">
        <v>751</v>
      </c>
    </row>
    <row r="6677" spans="1:4" ht="12.5">
      <c r="A6677" s="15" t="s">
        <v>765</v>
      </c>
      <c r="B6677" s="14">
        <v>7002847465</v>
      </c>
      <c r="C6677" s="14">
        <v>17</v>
      </c>
      <c r="D6677" s="184" t="s">
        <v>759</v>
      </c>
    </row>
    <row r="6678" spans="1:4" ht="12.5">
      <c r="A6678" s="15" t="s">
        <v>765</v>
      </c>
      <c r="B6678" s="14">
        <v>7002847659</v>
      </c>
      <c r="C6678" s="14">
        <v>3</v>
      </c>
      <c r="D6678" s="184" t="s">
        <v>751</v>
      </c>
    </row>
    <row r="6679" spans="1:4" ht="12.5">
      <c r="A6679" s="15" t="s">
        <v>765</v>
      </c>
      <c r="B6679" s="14">
        <v>7002848300</v>
      </c>
      <c r="C6679" s="14">
        <v>1</v>
      </c>
      <c r="D6679" s="184" t="s">
        <v>750</v>
      </c>
    </row>
    <row r="6680" spans="1:4" ht="12.5">
      <c r="A6680" s="15" t="s">
        <v>765</v>
      </c>
      <c r="B6680" s="14">
        <v>7002849043</v>
      </c>
      <c r="C6680" s="14">
        <v>5</v>
      </c>
      <c r="D6680" s="184" t="s">
        <v>751</v>
      </c>
    </row>
    <row r="6681" spans="1:4" ht="12.5">
      <c r="A6681" s="15" t="s">
        <v>765</v>
      </c>
      <c r="B6681" s="14">
        <v>7002849467</v>
      </c>
      <c r="C6681" s="14">
        <v>7</v>
      </c>
      <c r="D6681" s="184" t="s">
        <v>758</v>
      </c>
    </row>
    <row r="6682" spans="1:4" ht="12.5">
      <c r="A6682" s="15" t="s">
        <v>765</v>
      </c>
      <c r="B6682" s="14">
        <v>7002849909</v>
      </c>
      <c r="C6682" s="14">
        <v>2</v>
      </c>
      <c r="D6682" s="184" t="s">
        <v>751</v>
      </c>
    </row>
    <row r="6683" spans="1:4" ht="12.5">
      <c r="A6683" s="15" t="s">
        <v>765</v>
      </c>
      <c r="B6683" s="14">
        <v>7002851413</v>
      </c>
      <c r="C6683" s="14">
        <v>1</v>
      </c>
      <c r="D6683" s="184" t="s">
        <v>750</v>
      </c>
    </row>
    <row r="6684" spans="1:4" ht="12.5">
      <c r="A6684" s="15" t="s">
        <v>765</v>
      </c>
      <c r="B6684" s="14">
        <v>7002852197</v>
      </c>
      <c r="C6684" s="14">
        <v>5</v>
      </c>
      <c r="D6684" s="184" t="s">
        <v>751</v>
      </c>
    </row>
    <row r="6685" spans="1:4" ht="12.5">
      <c r="A6685" s="15" t="s">
        <v>765</v>
      </c>
      <c r="B6685" s="14">
        <v>7002852806</v>
      </c>
      <c r="C6685" s="14">
        <v>5</v>
      </c>
      <c r="D6685" s="184" t="s">
        <v>751</v>
      </c>
    </row>
    <row r="6686" spans="1:4" ht="12.5">
      <c r="A6686" s="15" t="s">
        <v>765</v>
      </c>
      <c r="B6686" s="14">
        <v>7002853482</v>
      </c>
      <c r="C6686" s="14">
        <v>1</v>
      </c>
      <c r="D6686" s="184" t="s">
        <v>750</v>
      </c>
    </row>
    <row r="6687" spans="1:4" ht="12.5">
      <c r="A6687" s="15" t="s">
        <v>765</v>
      </c>
      <c r="B6687" s="14">
        <v>7002854674</v>
      </c>
      <c r="C6687" s="14">
        <v>6</v>
      </c>
      <c r="D6687" s="184" t="s">
        <v>758</v>
      </c>
    </row>
    <row r="6688" spans="1:4" ht="12.5">
      <c r="A6688" s="15" t="s">
        <v>765</v>
      </c>
      <c r="B6688" s="14">
        <v>7002855397</v>
      </c>
      <c r="C6688" s="14">
        <v>2</v>
      </c>
      <c r="D6688" s="184" t="s">
        <v>751</v>
      </c>
    </row>
    <row r="6689" spans="1:4" ht="12.5">
      <c r="A6689" s="15" t="s">
        <v>765</v>
      </c>
      <c r="B6689" s="14">
        <v>7002857155</v>
      </c>
      <c r="C6689" s="14">
        <v>7</v>
      </c>
      <c r="D6689" s="184" t="s">
        <v>758</v>
      </c>
    </row>
    <row r="6690" spans="1:4" ht="12.5">
      <c r="A6690" s="15" t="s">
        <v>765</v>
      </c>
      <c r="B6690" s="14">
        <v>7002857926</v>
      </c>
      <c r="C6690" s="14">
        <v>6</v>
      </c>
      <c r="D6690" s="184" t="s">
        <v>758</v>
      </c>
    </row>
    <row r="6691" spans="1:4" ht="12.5">
      <c r="A6691" s="15" t="s">
        <v>765</v>
      </c>
      <c r="B6691" s="14">
        <v>7002858927</v>
      </c>
      <c r="C6691" s="14">
        <v>6</v>
      </c>
      <c r="D6691" s="184" t="s">
        <v>758</v>
      </c>
    </row>
    <row r="6692" spans="1:4" ht="12.5">
      <c r="A6692" s="15" t="s">
        <v>765</v>
      </c>
      <c r="B6692" s="14">
        <v>7002859443</v>
      </c>
      <c r="C6692" s="14">
        <v>1</v>
      </c>
      <c r="D6692" s="184" t="s">
        <v>750</v>
      </c>
    </row>
    <row r="6693" spans="1:4" ht="12.5">
      <c r="A6693" s="15" t="s">
        <v>765</v>
      </c>
      <c r="B6693" s="14">
        <v>7002859552</v>
      </c>
      <c r="C6693" s="14">
        <v>1</v>
      </c>
      <c r="D6693" s="184" t="s">
        <v>750</v>
      </c>
    </row>
    <row r="6694" spans="1:4" ht="12.5">
      <c r="A6694" s="15" t="s">
        <v>765</v>
      </c>
      <c r="B6694" s="14">
        <v>7002859778</v>
      </c>
      <c r="C6694" s="14">
        <v>2</v>
      </c>
      <c r="D6694" s="184" t="s">
        <v>751</v>
      </c>
    </row>
    <row r="6695" spans="1:4" ht="12.5">
      <c r="A6695" s="15" t="s">
        <v>765</v>
      </c>
      <c r="B6695" s="14">
        <v>7002859971</v>
      </c>
      <c r="C6695" s="14">
        <v>2</v>
      </c>
      <c r="D6695" s="184" t="s">
        <v>751</v>
      </c>
    </row>
    <row r="6696" spans="1:4" ht="12.5">
      <c r="A6696" s="15" t="s">
        <v>765</v>
      </c>
      <c r="B6696" s="14">
        <v>7002869979</v>
      </c>
      <c r="C6696" s="14">
        <v>2</v>
      </c>
      <c r="D6696" s="184" t="s">
        <v>751</v>
      </c>
    </row>
    <row r="6697" spans="1:4" ht="12.5">
      <c r="A6697" s="15" t="s">
        <v>765</v>
      </c>
      <c r="B6697" s="14">
        <v>7002870001</v>
      </c>
      <c r="C6697" s="14">
        <v>1</v>
      </c>
      <c r="D6697" s="184" t="s">
        <v>750</v>
      </c>
    </row>
    <row r="6698" spans="1:4" ht="12.5">
      <c r="A6698" s="15" t="s">
        <v>765</v>
      </c>
      <c r="B6698" s="14">
        <v>7002870879</v>
      </c>
      <c r="C6698" s="14">
        <v>2</v>
      </c>
      <c r="D6698" s="184" t="s">
        <v>751</v>
      </c>
    </row>
    <row r="6699" spans="1:4" ht="12.5">
      <c r="A6699" s="15" t="s">
        <v>765</v>
      </c>
      <c r="B6699" s="14">
        <v>7002871764</v>
      </c>
      <c r="C6699" s="14">
        <v>12</v>
      </c>
      <c r="D6699" s="184" t="s">
        <v>759</v>
      </c>
    </row>
    <row r="6700" spans="1:4" ht="12.5">
      <c r="A6700" s="15" t="s">
        <v>765</v>
      </c>
      <c r="B6700" s="14">
        <v>7002872849</v>
      </c>
      <c r="C6700" s="14">
        <v>3</v>
      </c>
      <c r="D6700" s="184" t="s">
        <v>751</v>
      </c>
    </row>
    <row r="6701" spans="1:4" ht="12.5">
      <c r="A6701" s="15" t="s">
        <v>765</v>
      </c>
      <c r="B6701" s="14">
        <v>7002873853</v>
      </c>
      <c r="C6701" s="14">
        <v>9</v>
      </c>
      <c r="D6701" s="184" t="s">
        <v>758</v>
      </c>
    </row>
    <row r="6702" spans="1:4" ht="12.5">
      <c r="A6702" s="15" t="s">
        <v>765</v>
      </c>
      <c r="B6702" s="14">
        <v>7002875139</v>
      </c>
      <c r="C6702" s="14">
        <v>46</v>
      </c>
      <c r="D6702" s="184" t="s">
        <v>759</v>
      </c>
    </row>
    <row r="6703" spans="1:4" ht="12.5">
      <c r="A6703" s="15" t="s">
        <v>765</v>
      </c>
      <c r="B6703" s="14">
        <v>7002875828</v>
      </c>
      <c r="C6703" s="14">
        <v>5</v>
      </c>
      <c r="D6703" s="184" t="s">
        <v>751</v>
      </c>
    </row>
    <row r="6704" spans="1:4" ht="12.5">
      <c r="A6704" s="15" t="s">
        <v>765</v>
      </c>
      <c r="B6704" s="14">
        <v>7002875837</v>
      </c>
      <c r="C6704" s="14">
        <v>11</v>
      </c>
      <c r="D6704" s="184" t="s">
        <v>759</v>
      </c>
    </row>
    <row r="6705" spans="1:4" ht="12.5">
      <c r="A6705" s="15" t="s">
        <v>765</v>
      </c>
      <c r="B6705" s="14">
        <v>7002876014</v>
      </c>
      <c r="C6705" s="14">
        <v>4</v>
      </c>
      <c r="D6705" s="184" t="s">
        <v>751</v>
      </c>
    </row>
    <row r="6706" spans="1:4" ht="12.5">
      <c r="A6706" s="15" t="s">
        <v>765</v>
      </c>
      <c r="B6706" s="14">
        <v>7002876971</v>
      </c>
      <c r="C6706" s="14">
        <v>13</v>
      </c>
      <c r="D6706" s="184" t="s">
        <v>759</v>
      </c>
    </row>
    <row r="6707" spans="1:4" ht="12.5">
      <c r="A6707" s="15" t="s">
        <v>765</v>
      </c>
      <c r="B6707" s="14">
        <v>7002877052</v>
      </c>
      <c r="C6707" s="14">
        <v>42</v>
      </c>
      <c r="D6707" s="184" t="s">
        <v>759</v>
      </c>
    </row>
    <row r="6708" spans="1:4" ht="12.5">
      <c r="A6708" s="15" t="s">
        <v>765</v>
      </c>
      <c r="B6708" s="14">
        <v>7002877798</v>
      </c>
      <c r="C6708" s="14">
        <v>5</v>
      </c>
      <c r="D6708" s="184" t="s">
        <v>751</v>
      </c>
    </row>
    <row r="6709" spans="1:4" ht="12.5">
      <c r="A6709" s="15" t="s">
        <v>765</v>
      </c>
      <c r="B6709" s="14">
        <v>7002878747</v>
      </c>
      <c r="C6709" s="14">
        <v>1</v>
      </c>
      <c r="D6709" s="184" t="s">
        <v>750</v>
      </c>
    </row>
    <row r="6710" spans="1:4" ht="12.5">
      <c r="A6710" s="15" t="s">
        <v>765</v>
      </c>
      <c r="B6710" s="14">
        <v>7002878781</v>
      </c>
      <c r="C6710" s="14">
        <v>11</v>
      </c>
      <c r="D6710" s="184" t="s">
        <v>759</v>
      </c>
    </row>
    <row r="6711" spans="1:4" ht="12.5">
      <c r="A6711" s="15" t="s">
        <v>765</v>
      </c>
      <c r="B6711" s="14">
        <v>7002879815</v>
      </c>
      <c r="C6711" s="14">
        <v>5</v>
      </c>
      <c r="D6711" s="184" t="s">
        <v>751</v>
      </c>
    </row>
    <row r="6712" spans="1:4" ht="12.5">
      <c r="A6712" s="15" t="s">
        <v>765</v>
      </c>
      <c r="B6712" s="14">
        <v>7002880075</v>
      </c>
      <c r="C6712" s="14">
        <v>1</v>
      </c>
      <c r="D6712" s="184" t="s">
        <v>750</v>
      </c>
    </row>
    <row r="6713" spans="1:4" ht="12.5">
      <c r="A6713" s="15" t="s">
        <v>765</v>
      </c>
      <c r="B6713" s="14">
        <v>7002880235</v>
      </c>
      <c r="C6713" s="14">
        <v>4</v>
      </c>
      <c r="D6713" s="184" t="s">
        <v>751</v>
      </c>
    </row>
    <row r="6714" spans="1:4" ht="12.5">
      <c r="A6714" s="15" t="s">
        <v>765</v>
      </c>
      <c r="B6714" s="14">
        <v>7002880705</v>
      </c>
      <c r="C6714" s="14">
        <v>1</v>
      </c>
      <c r="D6714" s="184" t="s">
        <v>750</v>
      </c>
    </row>
    <row r="6715" spans="1:4" ht="12.5">
      <c r="A6715" s="15" t="s">
        <v>765</v>
      </c>
      <c r="B6715" s="14">
        <v>7002880746</v>
      </c>
      <c r="C6715" s="14">
        <v>2</v>
      </c>
      <c r="D6715" s="184" t="s">
        <v>751</v>
      </c>
    </row>
    <row r="6716" spans="1:4" ht="12.5">
      <c r="A6716" s="15" t="s">
        <v>765</v>
      </c>
      <c r="B6716" s="14">
        <v>7002881383</v>
      </c>
      <c r="C6716" s="14">
        <v>2</v>
      </c>
      <c r="D6716" s="184" t="s">
        <v>751</v>
      </c>
    </row>
    <row r="6717" spans="1:4" ht="12.5">
      <c r="A6717" s="15" t="s">
        <v>765</v>
      </c>
      <c r="B6717" s="14">
        <v>7002881458</v>
      </c>
      <c r="C6717" s="14">
        <v>16</v>
      </c>
      <c r="D6717" s="184" t="s">
        <v>759</v>
      </c>
    </row>
    <row r="6718" spans="1:4" ht="12.5">
      <c r="A6718" s="15" t="s">
        <v>765</v>
      </c>
      <c r="B6718" s="14">
        <v>7002881797</v>
      </c>
      <c r="C6718" s="14">
        <v>6</v>
      </c>
      <c r="D6718" s="184" t="s">
        <v>758</v>
      </c>
    </row>
    <row r="6719" spans="1:4" ht="12.5">
      <c r="A6719" s="15" t="s">
        <v>765</v>
      </c>
      <c r="B6719" s="14">
        <v>7002883578</v>
      </c>
      <c r="C6719" s="14">
        <v>2</v>
      </c>
      <c r="D6719" s="184" t="s">
        <v>751</v>
      </c>
    </row>
    <row r="6720" spans="1:4" ht="12.5">
      <c r="A6720" s="15" t="s">
        <v>765</v>
      </c>
      <c r="B6720" s="14">
        <v>7002883622</v>
      </c>
      <c r="C6720" s="14">
        <v>1</v>
      </c>
      <c r="D6720" s="184" t="s">
        <v>750</v>
      </c>
    </row>
    <row r="6721" spans="1:4" ht="12.5">
      <c r="A6721" s="15" t="s">
        <v>765</v>
      </c>
      <c r="B6721" s="14">
        <v>7002883679</v>
      </c>
      <c r="C6721" s="14">
        <v>2</v>
      </c>
      <c r="D6721" s="184" t="s">
        <v>751</v>
      </c>
    </row>
    <row r="6722" spans="1:4" ht="12.5">
      <c r="A6722" s="15" t="s">
        <v>765</v>
      </c>
      <c r="B6722" s="14">
        <v>7002883988</v>
      </c>
      <c r="C6722" s="14">
        <v>2</v>
      </c>
      <c r="D6722" s="184" t="s">
        <v>751</v>
      </c>
    </row>
    <row r="6723" spans="1:4" ht="12.5">
      <c r="A6723" s="15" t="s">
        <v>765</v>
      </c>
      <c r="B6723" s="14">
        <v>7002884554</v>
      </c>
      <c r="C6723" s="14">
        <v>3</v>
      </c>
      <c r="D6723" s="184" t="s">
        <v>751</v>
      </c>
    </row>
    <row r="6724" spans="1:4" ht="12.5">
      <c r="A6724" s="15" t="s">
        <v>765</v>
      </c>
      <c r="B6724" s="14">
        <v>7002884609</v>
      </c>
      <c r="C6724" s="14">
        <v>6</v>
      </c>
      <c r="D6724" s="184" t="s">
        <v>758</v>
      </c>
    </row>
    <row r="6725" spans="1:4" ht="12.5">
      <c r="A6725" s="15" t="s">
        <v>765</v>
      </c>
      <c r="B6725" s="14">
        <v>7002884941</v>
      </c>
      <c r="C6725" s="14">
        <v>2</v>
      </c>
      <c r="D6725" s="184" t="s">
        <v>751</v>
      </c>
    </row>
    <row r="6726" spans="1:4" ht="12.5">
      <c r="A6726" s="15" t="s">
        <v>765</v>
      </c>
      <c r="B6726" s="14">
        <v>7002885015</v>
      </c>
      <c r="C6726" s="14">
        <v>4</v>
      </c>
      <c r="D6726" s="184" t="s">
        <v>751</v>
      </c>
    </row>
    <row r="6727" spans="1:4" ht="12.5">
      <c r="A6727" s="15" t="s">
        <v>765</v>
      </c>
      <c r="B6727" s="14">
        <v>7002885211</v>
      </c>
      <c r="C6727" s="14">
        <v>11</v>
      </c>
      <c r="D6727" s="184" t="s">
        <v>759</v>
      </c>
    </row>
    <row r="6728" spans="1:4" ht="12.5">
      <c r="A6728" s="15" t="s">
        <v>765</v>
      </c>
      <c r="B6728" s="14">
        <v>7002885230</v>
      </c>
      <c r="C6728" s="14">
        <v>12</v>
      </c>
      <c r="D6728" s="184" t="s">
        <v>759</v>
      </c>
    </row>
    <row r="6729" spans="1:4" ht="12.5">
      <c r="A6729" s="15" t="s">
        <v>765</v>
      </c>
      <c r="B6729" s="14">
        <v>7002885673</v>
      </c>
      <c r="C6729" s="14">
        <v>2</v>
      </c>
      <c r="D6729" s="184" t="s">
        <v>751</v>
      </c>
    </row>
    <row r="6730" spans="1:4" ht="12.5">
      <c r="A6730" s="15" t="s">
        <v>765</v>
      </c>
      <c r="B6730" s="14">
        <v>7002886254</v>
      </c>
      <c r="C6730" s="14">
        <v>2</v>
      </c>
      <c r="D6730" s="184" t="s">
        <v>751</v>
      </c>
    </row>
    <row r="6731" spans="1:4" ht="12.5">
      <c r="A6731" s="15" t="s">
        <v>765</v>
      </c>
      <c r="B6731" s="14">
        <v>7002886360</v>
      </c>
      <c r="C6731" s="14">
        <v>5</v>
      </c>
      <c r="D6731" s="184" t="s">
        <v>751</v>
      </c>
    </row>
    <row r="6732" spans="1:4" ht="12.5">
      <c r="A6732" s="15" t="s">
        <v>765</v>
      </c>
      <c r="B6732" s="14">
        <v>7002886558</v>
      </c>
      <c r="C6732" s="14">
        <v>3</v>
      </c>
      <c r="D6732" s="184" t="s">
        <v>751</v>
      </c>
    </row>
    <row r="6733" spans="1:4" ht="12.5">
      <c r="A6733" s="15" t="s">
        <v>765</v>
      </c>
      <c r="B6733" s="14">
        <v>7002886809</v>
      </c>
      <c r="C6733" s="14">
        <v>59</v>
      </c>
      <c r="D6733" s="184" t="s">
        <v>759</v>
      </c>
    </row>
    <row r="6734" spans="1:4" ht="12.5">
      <c r="A6734" s="15" t="s">
        <v>765</v>
      </c>
      <c r="B6734" s="14">
        <v>7002887585</v>
      </c>
      <c r="C6734" s="14">
        <v>3</v>
      </c>
      <c r="D6734" s="184" t="s">
        <v>751</v>
      </c>
    </row>
    <row r="6735" spans="1:4" ht="12.5">
      <c r="A6735" s="15" t="s">
        <v>765</v>
      </c>
      <c r="B6735" s="14">
        <v>7002887981</v>
      </c>
      <c r="C6735" s="14">
        <v>3</v>
      </c>
      <c r="D6735" s="184" t="s">
        <v>751</v>
      </c>
    </row>
    <row r="6736" spans="1:4" ht="12.5">
      <c r="A6736" s="15" t="s">
        <v>765</v>
      </c>
      <c r="B6736" s="14">
        <v>7002888222</v>
      </c>
      <c r="C6736" s="14">
        <v>24</v>
      </c>
      <c r="D6736" s="184" t="s">
        <v>759</v>
      </c>
    </row>
    <row r="6737" spans="1:4" ht="12.5">
      <c r="A6737" s="15" t="s">
        <v>765</v>
      </c>
      <c r="B6737" s="14">
        <v>7002889316</v>
      </c>
      <c r="C6737" s="14">
        <v>25</v>
      </c>
      <c r="D6737" s="184" t="s">
        <v>759</v>
      </c>
    </row>
    <row r="6738" spans="1:4" ht="12.5">
      <c r="A6738" s="15" t="s">
        <v>765</v>
      </c>
      <c r="B6738" s="14">
        <v>7002889541</v>
      </c>
      <c r="C6738" s="14">
        <v>4</v>
      </c>
      <c r="D6738" s="184" t="s">
        <v>751</v>
      </c>
    </row>
    <row r="6739" spans="1:4" ht="12.5">
      <c r="A6739" s="15" t="s">
        <v>765</v>
      </c>
      <c r="B6739" s="14">
        <v>7002890205</v>
      </c>
      <c r="C6739" s="14">
        <v>2</v>
      </c>
      <c r="D6739" s="184" t="s">
        <v>751</v>
      </c>
    </row>
    <row r="6740" spans="1:4" ht="12.5">
      <c r="A6740" s="15" t="s">
        <v>765</v>
      </c>
      <c r="B6740" s="14">
        <v>7002893015</v>
      </c>
      <c r="C6740" s="14">
        <v>2</v>
      </c>
      <c r="D6740" s="184" t="s">
        <v>751</v>
      </c>
    </row>
    <row r="6741" spans="1:4" ht="12.5">
      <c r="A6741" s="15" t="s">
        <v>765</v>
      </c>
      <c r="B6741" s="14">
        <v>7002893089</v>
      </c>
      <c r="C6741" s="14">
        <v>3</v>
      </c>
      <c r="D6741" s="184" t="s">
        <v>751</v>
      </c>
    </row>
    <row r="6742" spans="1:4" ht="12.5">
      <c r="A6742" s="15" t="s">
        <v>765</v>
      </c>
      <c r="B6742" s="14">
        <v>7002893253</v>
      </c>
      <c r="C6742" s="14">
        <v>3</v>
      </c>
      <c r="D6742" s="184" t="s">
        <v>751</v>
      </c>
    </row>
    <row r="6743" spans="1:4" ht="12.5">
      <c r="A6743" s="15" t="s">
        <v>765</v>
      </c>
      <c r="B6743" s="14">
        <v>7002894167</v>
      </c>
      <c r="C6743" s="14">
        <v>3</v>
      </c>
      <c r="D6743" s="184" t="s">
        <v>751</v>
      </c>
    </row>
    <row r="6744" spans="1:4" ht="12.5">
      <c r="A6744" s="15" t="s">
        <v>765</v>
      </c>
      <c r="B6744" s="14">
        <v>7002894830</v>
      </c>
      <c r="C6744" s="14">
        <v>1</v>
      </c>
      <c r="D6744" s="184" t="s">
        <v>750</v>
      </c>
    </row>
    <row r="6745" spans="1:4" ht="12.5">
      <c r="A6745" s="15" t="s">
        <v>765</v>
      </c>
      <c r="B6745" s="14">
        <v>7002896139</v>
      </c>
      <c r="C6745" s="14">
        <v>4</v>
      </c>
      <c r="D6745" s="184" t="s">
        <v>751</v>
      </c>
    </row>
    <row r="6746" spans="1:4" ht="12.5">
      <c r="A6746" s="15" t="s">
        <v>765</v>
      </c>
      <c r="B6746" s="14">
        <v>7002899030</v>
      </c>
      <c r="C6746" s="14">
        <v>1</v>
      </c>
      <c r="D6746" s="184" t="s">
        <v>750</v>
      </c>
    </row>
    <row r="6747" spans="1:4" ht="12.5">
      <c r="A6747" s="15" t="s">
        <v>765</v>
      </c>
      <c r="B6747" s="14">
        <v>7002902681</v>
      </c>
      <c r="C6747" s="14">
        <v>4</v>
      </c>
      <c r="D6747" s="184" t="s">
        <v>751</v>
      </c>
    </row>
    <row r="6748" spans="1:4" ht="12.5">
      <c r="A6748" s="15" t="s">
        <v>765</v>
      </c>
      <c r="B6748" s="14">
        <v>7002903521</v>
      </c>
      <c r="C6748" s="14">
        <v>1</v>
      </c>
      <c r="D6748" s="184" t="s">
        <v>750</v>
      </c>
    </row>
    <row r="6749" spans="1:4" ht="12.5">
      <c r="A6749" s="15" t="s">
        <v>765</v>
      </c>
      <c r="B6749" s="14">
        <v>7002903698</v>
      </c>
      <c r="C6749" s="14">
        <v>2</v>
      </c>
      <c r="D6749" s="184" t="s">
        <v>751</v>
      </c>
    </row>
    <row r="6750" spans="1:4" ht="12.5">
      <c r="A6750" s="15" t="s">
        <v>765</v>
      </c>
      <c r="B6750" s="14">
        <v>7002903711</v>
      </c>
      <c r="C6750" s="14">
        <v>2</v>
      </c>
      <c r="D6750" s="184" t="s">
        <v>751</v>
      </c>
    </row>
    <row r="6751" spans="1:4" ht="12.5">
      <c r="A6751" s="15" t="s">
        <v>765</v>
      </c>
      <c r="B6751" s="14">
        <v>7002904596</v>
      </c>
      <c r="C6751" s="14">
        <v>6</v>
      </c>
      <c r="D6751" s="184" t="s">
        <v>758</v>
      </c>
    </row>
    <row r="6752" spans="1:4" ht="12.5">
      <c r="A6752" s="15" t="s">
        <v>765</v>
      </c>
      <c r="B6752" s="14">
        <v>7002905269</v>
      </c>
      <c r="C6752" s="14">
        <v>1</v>
      </c>
      <c r="D6752" s="184" t="s">
        <v>750</v>
      </c>
    </row>
    <row r="6753" spans="1:4" ht="12.5">
      <c r="A6753" s="15" t="s">
        <v>765</v>
      </c>
      <c r="B6753" s="14">
        <v>7002905737</v>
      </c>
      <c r="C6753" s="14">
        <v>6</v>
      </c>
      <c r="D6753" s="184" t="s">
        <v>758</v>
      </c>
    </row>
    <row r="6754" spans="1:4" ht="12.5">
      <c r="A6754" s="15" t="s">
        <v>765</v>
      </c>
      <c r="B6754" s="14">
        <v>7002908774</v>
      </c>
      <c r="C6754" s="14">
        <v>17</v>
      </c>
      <c r="D6754" s="184" t="s">
        <v>759</v>
      </c>
    </row>
    <row r="6755" spans="1:4" ht="12.5">
      <c r="A6755" s="15" t="s">
        <v>765</v>
      </c>
      <c r="B6755" s="14">
        <v>7002908875</v>
      </c>
      <c r="C6755" s="14">
        <v>5</v>
      </c>
      <c r="D6755" s="184" t="s">
        <v>751</v>
      </c>
    </row>
    <row r="6756" spans="1:4" ht="12.5">
      <c r="A6756" s="15" t="s">
        <v>765</v>
      </c>
      <c r="B6756" s="14">
        <v>7002910019</v>
      </c>
      <c r="C6756" s="14">
        <v>5</v>
      </c>
      <c r="D6756" s="184" t="s">
        <v>751</v>
      </c>
    </row>
    <row r="6757" spans="1:4" ht="12.5">
      <c r="A6757" s="15" t="s">
        <v>765</v>
      </c>
      <c r="B6757" s="14">
        <v>7002910133</v>
      </c>
      <c r="C6757" s="14">
        <v>2</v>
      </c>
      <c r="D6757" s="184" t="s">
        <v>751</v>
      </c>
    </row>
    <row r="6758" spans="1:4" ht="12.5">
      <c r="A6758" s="15" t="s">
        <v>765</v>
      </c>
      <c r="B6758" s="14">
        <v>7002910210</v>
      </c>
      <c r="C6758" s="14">
        <v>1</v>
      </c>
      <c r="D6758" s="184" t="s">
        <v>750</v>
      </c>
    </row>
    <row r="6759" spans="1:4" ht="12.5">
      <c r="A6759" s="15" t="s">
        <v>765</v>
      </c>
      <c r="B6759" s="14">
        <v>7002910275</v>
      </c>
      <c r="C6759" s="14">
        <v>41</v>
      </c>
      <c r="D6759" s="184" t="s">
        <v>759</v>
      </c>
    </row>
    <row r="6760" spans="1:4" ht="12.5">
      <c r="A6760" s="15" t="s">
        <v>765</v>
      </c>
      <c r="B6760" s="14">
        <v>7002911948</v>
      </c>
      <c r="C6760" s="14">
        <v>19</v>
      </c>
      <c r="D6760" s="184" t="s">
        <v>759</v>
      </c>
    </row>
    <row r="6761" spans="1:4" ht="12.5">
      <c r="A6761" s="15" t="s">
        <v>765</v>
      </c>
      <c r="B6761" s="14">
        <v>7002912209</v>
      </c>
      <c r="C6761" s="14">
        <v>5</v>
      </c>
      <c r="D6761" s="184" t="s">
        <v>751</v>
      </c>
    </row>
    <row r="6762" spans="1:4" ht="12.5">
      <c r="A6762" s="15" t="s">
        <v>765</v>
      </c>
      <c r="B6762" s="14">
        <v>7002912482</v>
      </c>
      <c r="C6762" s="14">
        <v>8</v>
      </c>
      <c r="D6762" s="184" t="s">
        <v>758</v>
      </c>
    </row>
    <row r="6763" spans="1:4" ht="12.5">
      <c r="A6763" s="15" t="s">
        <v>765</v>
      </c>
      <c r="B6763" s="14">
        <v>7002912643</v>
      </c>
      <c r="C6763" s="14">
        <v>3</v>
      </c>
      <c r="D6763" s="184" t="s">
        <v>751</v>
      </c>
    </row>
    <row r="6764" spans="1:4" ht="12.5">
      <c r="A6764" s="15" t="s">
        <v>765</v>
      </c>
      <c r="B6764" s="14">
        <v>7002913044</v>
      </c>
      <c r="C6764" s="14">
        <v>5</v>
      </c>
      <c r="D6764" s="184" t="s">
        <v>751</v>
      </c>
    </row>
    <row r="6765" spans="1:4" ht="12.5">
      <c r="A6765" s="15" t="s">
        <v>765</v>
      </c>
      <c r="B6765" s="14">
        <v>7002913182</v>
      </c>
      <c r="C6765" s="14">
        <v>1</v>
      </c>
      <c r="D6765" s="184" t="s">
        <v>750</v>
      </c>
    </row>
    <row r="6766" spans="1:4" ht="12.5">
      <c r="A6766" s="15" t="s">
        <v>765</v>
      </c>
      <c r="B6766" s="14">
        <v>7002913325</v>
      </c>
      <c r="C6766" s="14">
        <v>2</v>
      </c>
      <c r="D6766" s="184" t="s">
        <v>751</v>
      </c>
    </row>
    <row r="6767" spans="1:4" ht="12.5">
      <c r="A6767" s="15" t="s">
        <v>765</v>
      </c>
      <c r="B6767" s="14">
        <v>7002913373</v>
      </c>
      <c r="C6767" s="14">
        <v>1</v>
      </c>
      <c r="D6767" s="184" t="s">
        <v>750</v>
      </c>
    </row>
    <row r="6768" spans="1:4" ht="12.5">
      <c r="A6768" s="15" t="s">
        <v>765</v>
      </c>
      <c r="B6768" s="14">
        <v>7002913543</v>
      </c>
      <c r="C6768" s="14">
        <v>6</v>
      </c>
      <c r="D6768" s="184" t="s">
        <v>758</v>
      </c>
    </row>
    <row r="6769" spans="1:4" ht="12.5">
      <c r="A6769" s="15" t="s">
        <v>765</v>
      </c>
      <c r="B6769" s="14">
        <v>7002916193</v>
      </c>
      <c r="C6769" s="14">
        <v>6</v>
      </c>
      <c r="D6769" s="184" t="s">
        <v>758</v>
      </c>
    </row>
    <row r="6770" spans="1:4" ht="12.5">
      <c r="A6770" s="15" t="s">
        <v>765</v>
      </c>
      <c r="B6770" s="14">
        <v>7002917457</v>
      </c>
      <c r="C6770" s="14">
        <v>1</v>
      </c>
      <c r="D6770" s="184" t="s">
        <v>750</v>
      </c>
    </row>
    <row r="6771" spans="1:4" ht="12.5">
      <c r="A6771" s="15" t="s">
        <v>765</v>
      </c>
      <c r="B6771" s="14">
        <v>7002917859</v>
      </c>
      <c r="C6771" s="14">
        <v>2</v>
      </c>
      <c r="D6771" s="184" t="s">
        <v>751</v>
      </c>
    </row>
    <row r="6772" spans="1:4" ht="12.5">
      <c r="A6772" s="15" t="s">
        <v>765</v>
      </c>
      <c r="B6772" s="14">
        <v>7002918014</v>
      </c>
      <c r="C6772" s="14">
        <v>7</v>
      </c>
      <c r="D6772" s="184" t="s">
        <v>758</v>
      </c>
    </row>
    <row r="6773" spans="1:4" ht="12.5">
      <c r="A6773" s="15" t="s">
        <v>765</v>
      </c>
      <c r="B6773" s="14">
        <v>7002918383</v>
      </c>
      <c r="C6773" s="14">
        <v>6</v>
      </c>
      <c r="D6773" s="184" t="s">
        <v>758</v>
      </c>
    </row>
    <row r="6774" spans="1:4" ht="12.5">
      <c r="A6774" s="15" t="s">
        <v>765</v>
      </c>
      <c r="B6774" s="14">
        <v>7002919006</v>
      </c>
      <c r="C6774" s="14">
        <v>5</v>
      </c>
      <c r="D6774" s="184" t="s">
        <v>751</v>
      </c>
    </row>
    <row r="6775" spans="1:4" ht="12.5">
      <c r="A6775" s="15" t="s">
        <v>765</v>
      </c>
      <c r="B6775" s="14">
        <v>7002919767</v>
      </c>
      <c r="C6775" s="14">
        <v>1</v>
      </c>
      <c r="D6775" s="184" t="s">
        <v>750</v>
      </c>
    </row>
    <row r="6776" spans="1:4" ht="12.5">
      <c r="A6776" s="15" t="s">
        <v>765</v>
      </c>
      <c r="B6776" s="14">
        <v>7002925025</v>
      </c>
      <c r="C6776" s="14">
        <v>1</v>
      </c>
      <c r="D6776" s="184" t="s">
        <v>750</v>
      </c>
    </row>
    <row r="6777" spans="1:4" ht="12.5">
      <c r="A6777" s="15" t="s">
        <v>765</v>
      </c>
      <c r="B6777" s="14">
        <v>7002925073</v>
      </c>
      <c r="C6777" s="14">
        <v>1</v>
      </c>
      <c r="D6777" s="184" t="s">
        <v>750</v>
      </c>
    </row>
    <row r="6778" spans="1:4" ht="12.5">
      <c r="A6778" s="15" t="s">
        <v>765</v>
      </c>
      <c r="B6778" s="14">
        <v>7002926061</v>
      </c>
      <c r="C6778" s="14">
        <v>1</v>
      </c>
      <c r="D6778" s="184" t="s">
        <v>750</v>
      </c>
    </row>
    <row r="6779" spans="1:4" ht="12.5">
      <c r="A6779" s="15" t="s">
        <v>765</v>
      </c>
      <c r="B6779" s="14">
        <v>7002926146</v>
      </c>
      <c r="C6779" s="14">
        <v>1</v>
      </c>
      <c r="D6779" s="184" t="s">
        <v>750</v>
      </c>
    </row>
    <row r="6780" spans="1:4" ht="12.5">
      <c r="A6780" s="15" t="s">
        <v>765</v>
      </c>
      <c r="B6780" s="14">
        <v>7002938009</v>
      </c>
      <c r="C6780" s="14">
        <v>10</v>
      </c>
      <c r="D6780" s="184" t="s">
        <v>758</v>
      </c>
    </row>
    <row r="6781" spans="1:4" ht="12.5">
      <c r="A6781" s="15" t="s">
        <v>765</v>
      </c>
      <c r="B6781" s="14">
        <v>7002938118</v>
      </c>
      <c r="C6781" s="14">
        <v>12</v>
      </c>
      <c r="D6781" s="184" t="s">
        <v>759</v>
      </c>
    </row>
    <row r="6782" spans="1:4" ht="12.5">
      <c r="A6782" s="15" t="s">
        <v>765</v>
      </c>
      <c r="B6782" s="14">
        <v>7002938403</v>
      </c>
      <c r="C6782" s="14">
        <v>4</v>
      </c>
      <c r="D6782" s="184" t="s">
        <v>751</v>
      </c>
    </row>
    <row r="6783" spans="1:4" ht="12.5">
      <c r="A6783" s="15" t="s">
        <v>765</v>
      </c>
      <c r="B6783" s="14">
        <v>7002944496</v>
      </c>
      <c r="C6783" s="14">
        <v>19</v>
      </c>
      <c r="D6783" s="184" t="s">
        <v>759</v>
      </c>
    </row>
    <row r="6784" spans="1:4" ht="12.5">
      <c r="A6784" s="15" t="s">
        <v>765</v>
      </c>
      <c r="B6784" s="14">
        <v>7002947856</v>
      </c>
      <c r="C6784" s="14">
        <v>3</v>
      </c>
      <c r="D6784" s="184" t="s">
        <v>751</v>
      </c>
    </row>
    <row r="6785" spans="1:4" ht="12.5">
      <c r="A6785" s="15" t="s">
        <v>765</v>
      </c>
      <c r="B6785" s="14">
        <v>7002948472</v>
      </c>
      <c r="C6785" s="14">
        <v>8</v>
      </c>
      <c r="D6785" s="184" t="s">
        <v>758</v>
      </c>
    </row>
    <row r="6786" spans="1:4" ht="12.5">
      <c r="A6786" s="15" t="s">
        <v>765</v>
      </c>
      <c r="B6786" s="14">
        <v>7002952900</v>
      </c>
      <c r="C6786" s="14">
        <v>2</v>
      </c>
      <c r="D6786" s="184" t="s">
        <v>751</v>
      </c>
    </row>
    <row r="6787" spans="1:4" ht="12.5">
      <c r="A6787" s="15" t="s">
        <v>765</v>
      </c>
      <c r="B6787" s="14">
        <v>7002961516</v>
      </c>
      <c r="C6787" s="14">
        <v>14</v>
      </c>
      <c r="D6787" s="184" t="s">
        <v>759</v>
      </c>
    </row>
    <row r="6788" spans="1:4" ht="12.5">
      <c r="A6788" s="15" t="s">
        <v>765</v>
      </c>
      <c r="B6788" s="14">
        <v>7002961670</v>
      </c>
      <c r="C6788" s="14">
        <v>2</v>
      </c>
      <c r="D6788" s="184" t="s">
        <v>751</v>
      </c>
    </row>
    <row r="6789" spans="1:4" ht="12.5">
      <c r="A6789" s="15" t="s">
        <v>765</v>
      </c>
      <c r="B6789" s="14">
        <v>7002962302</v>
      </c>
      <c r="C6789" s="14">
        <v>9</v>
      </c>
      <c r="D6789" s="184" t="s">
        <v>758</v>
      </c>
    </row>
    <row r="6790" spans="1:4" ht="12.5">
      <c r="A6790" s="15" t="s">
        <v>765</v>
      </c>
      <c r="B6790" s="14">
        <v>7002962373</v>
      </c>
      <c r="C6790" s="14">
        <v>88</v>
      </c>
      <c r="D6790" s="184" t="s">
        <v>759</v>
      </c>
    </row>
    <row r="6791" spans="1:4" ht="12.5">
      <c r="A6791" s="15" t="s">
        <v>765</v>
      </c>
      <c r="B6791" s="14">
        <v>7002962562</v>
      </c>
      <c r="C6791" s="14">
        <v>3</v>
      </c>
      <c r="D6791" s="184" t="s">
        <v>751</v>
      </c>
    </row>
    <row r="6792" spans="1:4" ht="12.5">
      <c r="A6792" s="15" t="s">
        <v>765</v>
      </c>
      <c r="B6792" s="14">
        <v>7002962603</v>
      </c>
      <c r="C6792" s="14">
        <v>2</v>
      </c>
      <c r="D6792" s="184" t="s">
        <v>751</v>
      </c>
    </row>
    <row r="6793" spans="1:4" ht="12.5">
      <c r="A6793" s="15" t="s">
        <v>765</v>
      </c>
      <c r="B6793" s="14">
        <v>7002962793</v>
      </c>
      <c r="C6793" s="14">
        <v>1</v>
      </c>
      <c r="D6793" s="184" t="s">
        <v>750</v>
      </c>
    </row>
    <row r="6794" spans="1:4" ht="12.5">
      <c r="A6794" s="15" t="s">
        <v>765</v>
      </c>
      <c r="B6794" s="14">
        <v>7002962813</v>
      </c>
      <c r="C6794" s="14">
        <v>7</v>
      </c>
      <c r="D6794" s="184" t="s">
        <v>758</v>
      </c>
    </row>
    <row r="6795" spans="1:4" ht="12.5">
      <c r="A6795" s="15" t="s">
        <v>765</v>
      </c>
      <c r="B6795" s="14">
        <v>7002963542</v>
      </c>
      <c r="C6795" s="14">
        <v>3</v>
      </c>
      <c r="D6795" s="184" t="s">
        <v>751</v>
      </c>
    </row>
    <row r="6796" spans="1:4" ht="12.5">
      <c r="A6796" s="15" t="s">
        <v>765</v>
      </c>
      <c r="B6796" s="14">
        <v>7002963763</v>
      </c>
      <c r="C6796" s="14">
        <v>3</v>
      </c>
      <c r="D6796" s="184" t="s">
        <v>751</v>
      </c>
    </row>
    <row r="6797" spans="1:4" ht="12.5">
      <c r="A6797" s="15" t="s">
        <v>765</v>
      </c>
      <c r="B6797" s="14">
        <v>7002963966</v>
      </c>
      <c r="C6797" s="14">
        <v>2</v>
      </c>
      <c r="D6797" s="184" t="s">
        <v>751</v>
      </c>
    </row>
    <row r="6798" spans="1:4" ht="12.5">
      <c r="A6798" s="15" t="s">
        <v>765</v>
      </c>
      <c r="B6798" s="14">
        <v>7002965310</v>
      </c>
      <c r="C6798" s="14">
        <v>9</v>
      </c>
      <c r="D6798" s="184" t="s">
        <v>758</v>
      </c>
    </row>
    <row r="6799" spans="1:4" ht="12.5">
      <c r="A6799" s="15" t="s">
        <v>765</v>
      </c>
      <c r="B6799" s="14">
        <v>7002965646</v>
      </c>
      <c r="C6799" s="14">
        <v>22</v>
      </c>
      <c r="D6799" s="184" t="s">
        <v>759</v>
      </c>
    </row>
    <row r="6800" spans="1:4" ht="12.5">
      <c r="A6800" s="15" t="s">
        <v>765</v>
      </c>
      <c r="B6800" s="14">
        <v>7002965782</v>
      </c>
      <c r="C6800" s="14">
        <v>9</v>
      </c>
      <c r="D6800" s="184" t="s">
        <v>758</v>
      </c>
    </row>
    <row r="6801" spans="1:4" ht="12.5">
      <c r="A6801" s="15" t="s">
        <v>765</v>
      </c>
      <c r="B6801" s="14">
        <v>7002966324</v>
      </c>
      <c r="C6801" s="14">
        <v>1</v>
      </c>
      <c r="D6801" s="184" t="s">
        <v>750</v>
      </c>
    </row>
    <row r="6802" spans="1:4" ht="12.5">
      <c r="A6802" s="15" t="s">
        <v>765</v>
      </c>
      <c r="B6802" s="14">
        <v>7002966652</v>
      </c>
      <c r="C6802" s="14">
        <v>2</v>
      </c>
      <c r="D6802" s="184" t="s">
        <v>751</v>
      </c>
    </row>
    <row r="6803" spans="1:4" ht="12.5">
      <c r="A6803" s="15" t="s">
        <v>765</v>
      </c>
      <c r="B6803" s="14">
        <v>7002967014</v>
      </c>
      <c r="C6803" s="14">
        <v>16</v>
      </c>
      <c r="D6803" s="184" t="s">
        <v>759</v>
      </c>
    </row>
    <row r="6804" spans="1:4" ht="12.5">
      <c r="A6804" s="15" t="s">
        <v>765</v>
      </c>
      <c r="B6804" s="14">
        <v>7002967552</v>
      </c>
      <c r="C6804" s="14">
        <v>3</v>
      </c>
      <c r="D6804" s="184" t="s">
        <v>751</v>
      </c>
    </row>
    <row r="6805" spans="1:4" ht="12.5">
      <c r="A6805" s="15" t="s">
        <v>765</v>
      </c>
      <c r="B6805" s="14">
        <v>7002967581</v>
      </c>
      <c r="C6805" s="14">
        <v>3</v>
      </c>
      <c r="D6805" s="184" t="s">
        <v>751</v>
      </c>
    </row>
    <row r="6806" spans="1:4" ht="12.5">
      <c r="A6806" s="15" t="s">
        <v>765</v>
      </c>
      <c r="B6806" s="14">
        <v>7002967676</v>
      </c>
      <c r="C6806" s="14">
        <v>4</v>
      </c>
      <c r="D6806" s="184" t="s">
        <v>751</v>
      </c>
    </row>
    <row r="6807" spans="1:4" ht="12.5">
      <c r="A6807" s="15" t="s">
        <v>765</v>
      </c>
      <c r="B6807" s="14">
        <v>7002968595</v>
      </c>
      <c r="C6807" s="14">
        <v>3</v>
      </c>
      <c r="D6807" s="184" t="s">
        <v>751</v>
      </c>
    </row>
    <row r="6808" spans="1:4" ht="12.5">
      <c r="A6808" s="15" t="s">
        <v>765</v>
      </c>
      <c r="B6808" s="14">
        <v>7002968683</v>
      </c>
      <c r="C6808" s="14">
        <v>1</v>
      </c>
      <c r="D6808" s="184" t="s">
        <v>750</v>
      </c>
    </row>
    <row r="6809" spans="1:4" ht="12.5">
      <c r="A6809" s="15" t="s">
        <v>765</v>
      </c>
      <c r="B6809" s="14">
        <v>7002969554</v>
      </c>
      <c r="C6809" s="14">
        <v>4</v>
      </c>
      <c r="D6809" s="184" t="s">
        <v>751</v>
      </c>
    </row>
    <row r="6810" spans="1:4" ht="12.5">
      <c r="A6810" s="15" t="s">
        <v>765</v>
      </c>
      <c r="B6810" s="14">
        <v>7002969902</v>
      </c>
      <c r="C6810" s="14">
        <v>6</v>
      </c>
      <c r="D6810" s="184" t="s">
        <v>758</v>
      </c>
    </row>
    <row r="6811" spans="1:4" ht="12.5">
      <c r="A6811" s="15" t="s">
        <v>765</v>
      </c>
      <c r="B6811" s="14">
        <v>7002970241</v>
      </c>
      <c r="C6811" s="14">
        <v>1</v>
      </c>
      <c r="D6811" s="184" t="s">
        <v>750</v>
      </c>
    </row>
    <row r="6812" spans="1:4" ht="12.5">
      <c r="A6812" s="15" t="s">
        <v>765</v>
      </c>
      <c r="B6812" s="14">
        <v>7002971084</v>
      </c>
      <c r="C6812" s="14">
        <v>21</v>
      </c>
      <c r="D6812" s="184" t="s">
        <v>759</v>
      </c>
    </row>
    <row r="6813" spans="1:4" ht="12.5">
      <c r="A6813" s="15" t="s">
        <v>765</v>
      </c>
      <c r="B6813" s="14">
        <v>7002971567</v>
      </c>
      <c r="C6813" s="14">
        <v>23</v>
      </c>
      <c r="D6813" s="184" t="s">
        <v>759</v>
      </c>
    </row>
    <row r="6814" spans="1:4" ht="12.5">
      <c r="A6814" s="15" t="s">
        <v>765</v>
      </c>
      <c r="B6814" s="14">
        <v>7002971579</v>
      </c>
      <c r="C6814" s="14">
        <v>2</v>
      </c>
      <c r="D6814" s="184" t="s">
        <v>751</v>
      </c>
    </row>
    <row r="6815" spans="1:4" ht="12.5">
      <c r="A6815" s="15" t="s">
        <v>765</v>
      </c>
      <c r="B6815" s="14">
        <v>7002971970</v>
      </c>
      <c r="C6815" s="14">
        <v>5</v>
      </c>
      <c r="D6815" s="184" t="s">
        <v>751</v>
      </c>
    </row>
    <row r="6816" spans="1:4" ht="12.5">
      <c r="A6816" s="15" t="s">
        <v>765</v>
      </c>
      <c r="B6816" s="14">
        <v>7002972368</v>
      </c>
      <c r="C6816" s="14">
        <v>6</v>
      </c>
      <c r="D6816" s="184" t="s">
        <v>758</v>
      </c>
    </row>
    <row r="6817" spans="1:4" ht="12.5">
      <c r="A6817" s="15" t="s">
        <v>765</v>
      </c>
      <c r="B6817" s="14">
        <v>7002973095</v>
      </c>
      <c r="C6817" s="14">
        <v>2</v>
      </c>
      <c r="D6817" s="184" t="s">
        <v>751</v>
      </c>
    </row>
    <row r="6818" spans="1:4" ht="12.5">
      <c r="A6818" s="15" t="s">
        <v>765</v>
      </c>
      <c r="B6818" s="14">
        <v>7002974162</v>
      </c>
      <c r="C6818" s="14">
        <v>5</v>
      </c>
      <c r="D6818" s="184" t="s">
        <v>751</v>
      </c>
    </row>
    <row r="6819" spans="1:4" ht="12.5">
      <c r="A6819" s="15" t="s">
        <v>765</v>
      </c>
      <c r="B6819" s="14">
        <v>7002974553</v>
      </c>
      <c r="C6819" s="14">
        <v>22</v>
      </c>
      <c r="D6819" s="184" t="s">
        <v>759</v>
      </c>
    </row>
    <row r="6820" spans="1:4" ht="12.5">
      <c r="A6820" s="15" t="s">
        <v>765</v>
      </c>
      <c r="B6820" s="14">
        <v>7002974746</v>
      </c>
      <c r="C6820" s="14">
        <v>2</v>
      </c>
      <c r="D6820" s="184" t="s">
        <v>751</v>
      </c>
    </row>
    <row r="6821" spans="1:4" ht="12.5">
      <c r="A6821" s="15" t="s">
        <v>765</v>
      </c>
      <c r="B6821" s="14">
        <v>7002974964</v>
      </c>
      <c r="C6821" s="14">
        <v>7</v>
      </c>
      <c r="D6821" s="184" t="s">
        <v>758</v>
      </c>
    </row>
    <row r="6822" spans="1:4" ht="12.5">
      <c r="A6822" s="15" t="s">
        <v>765</v>
      </c>
      <c r="B6822" s="14">
        <v>7002975558</v>
      </c>
      <c r="C6822" s="14">
        <v>1</v>
      </c>
      <c r="D6822" s="184" t="s">
        <v>750</v>
      </c>
    </row>
    <row r="6823" spans="1:4" ht="12.5">
      <c r="A6823" s="15" t="s">
        <v>765</v>
      </c>
      <c r="B6823" s="14">
        <v>7002975980</v>
      </c>
      <c r="C6823" s="14">
        <v>6</v>
      </c>
      <c r="D6823" s="184" t="s">
        <v>758</v>
      </c>
    </row>
    <row r="6824" spans="1:4" ht="12.5">
      <c r="A6824" s="15" t="s">
        <v>765</v>
      </c>
      <c r="B6824" s="14">
        <v>7002975998</v>
      </c>
      <c r="C6824" s="14">
        <v>3</v>
      </c>
      <c r="D6824" s="184" t="s">
        <v>751</v>
      </c>
    </row>
    <row r="6825" spans="1:4" ht="12.5">
      <c r="A6825" s="15" t="s">
        <v>765</v>
      </c>
      <c r="B6825" s="14">
        <v>7002976563</v>
      </c>
      <c r="C6825" s="14">
        <v>47</v>
      </c>
      <c r="D6825" s="184" t="s">
        <v>759</v>
      </c>
    </row>
    <row r="6826" spans="1:4" ht="12.5">
      <c r="A6826" s="15" t="s">
        <v>765</v>
      </c>
      <c r="B6826" s="14">
        <v>7002977431</v>
      </c>
      <c r="C6826" s="14">
        <v>21</v>
      </c>
      <c r="D6826" s="184" t="s">
        <v>759</v>
      </c>
    </row>
    <row r="6827" spans="1:4" ht="12.5">
      <c r="A6827" s="15" t="s">
        <v>765</v>
      </c>
      <c r="B6827" s="14">
        <v>7002977572</v>
      </c>
      <c r="C6827" s="14">
        <v>22</v>
      </c>
      <c r="D6827" s="184" t="s">
        <v>759</v>
      </c>
    </row>
    <row r="6828" spans="1:4" ht="12.5">
      <c r="A6828" s="15" t="s">
        <v>765</v>
      </c>
      <c r="B6828" s="14">
        <v>7002979211</v>
      </c>
      <c r="C6828" s="14">
        <v>6</v>
      </c>
      <c r="D6828" s="184" t="s">
        <v>758</v>
      </c>
    </row>
    <row r="6829" spans="1:4" ht="12.5">
      <c r="A6829" s="15" t="s">
        <v>765</v>
      </c>
      <c r="B6829" s="14">
        <v>7002979542</v>
      </c>
      <c r="C6829" s="14">
        <v>20</v>
      </c>
      <c r="D6829" s="184" t="s">
        <v>759</v>
      </c>
    </row>
    <row r="6830" spans="1:4" ht="12.5">
      <c r="A6830" s="15" t="s">
        <v>765</v>
      </c>
      <c r="B6830" s="14">
        <v>7002979737</v>
      </c>
      <c r="C6830" s="14">
        <v>1</v>
      </c>
      <c r="D6830" s="184" t="s">
        <v>750</v>
      </c>
    </row>
    <row r="6831" spans="1:4" ht="12.5">
      <c r="A6831" s="15" t="s">
        <v>765</v>
      </c>
      <c r="B6831" s="14">
        <v>7002979966</v>
      </c>
      <c r="C6831" s="14">
        <v>2</v>
      </c>
      <c r="D6831" s="184" t="s">
        <v>751</v>
      </c>
    </row>
    <row r="6832" spans="1:4" ht="12.5">
      <c r="A6832" s="15" t="s">
        <v>765</v>
      </c>
      <c r="B6832" s="14">
        <v>7002980000</v>
      </c>
      <c r="C6832" s="14">
        <v>1</v>
      </c>
      <c r="D6832" s="184" t="s">
        <v>750</v>
      </c>
    </row>
    <row r="6833" spans="1:4" ht="12.5">
      <c r="A6833" s="15" t="s">
        <v>765</v>
      </c>
      <c r="B6833" s="14">
        <v>7002980755</v>
      </c>
      <c r="C6833" s="14">
        <v>17</v>
      </c>
      <c r="D6833" s="184" t="s">
        <v>759</v>
      </c>
    </row>
    <row r="6834" spans="1:4" ht="12.5">
      <c r="A6834" s="15" t="s">
        <v>765</v>
      </c>
      <c r="B6834" s="14">
        <v>7002981625</v>
      </c>
      <c r="C6834" s="14">
        <v>1</v>
      </c>
      <c r="D6834" s="184" t="s">
        <v>750</v>
      </c>
    </row>
    <row r="6835" spans="1:4" ht="12.5">
      <c r="A6835" s="15" t="s">
        <v>765</v>
      </c>
      <c r="B6835" s="14">
        <v>7002981700</v>
      </c>
      <c r="C6835" s="14">
        <v>4</v>
      </c>
      <c r="D6835" s="184" t="s">
        <v>751</v>
      </c>
    </row>
    <row r="6836" spans="1:4" ht="12.5">
      <c r="A6836" s="15" t="s">
        <v>765</v>
      </c>
      <c r="B6836" s="14">
        <v>7002982090</v>
      </c>
      <c r="C6836" s="14">
        <v>2</v>
      </c>
      <c r="D6836" s="184" t="s">
        <v>751</v>
      </c>
    </row>
    <row r="6837" spans="1:4" ht="12.5">
      <c r="A6837" s="15" t="s">
        <v>765</v>
      </c>
      <c r="B6837" s="14">
        <v>7002982167</v>
      </c>
      <c r="C6837" s="14">
        <v>3</v>
      </c>
      <c r="D6837" s="184" t="s">
        <v>751</v>
      </c>
    </row>
    <row r="6838" spans="1:4" ht="12.5">
      <c r="A6838" s="15" t="s">
        <v>765</v>
      </c>
      <c r="B6838" s="14">
        <v>7002982727</v>
      </c>
      <c r="C6838" s="14">
        <v>9</v>
      </c>
      <c r="D6838" s="184" t="s">
        <v>758</v>
      </c>
    </row>
    <row r="6839" spans="1:4" ht="12.5">
      <c r="A6839" s="15" t="s">
        <v>765</v>
      </c>
      <c r="B6839" s="14">
        <v>7002982824</v>
      </c>
      <c r="C6839" s="14">
        <v>15</v>
      </c>
      <c r="D6839" s="184" t="s">
        <v>759</v>
      </c>
    </row>
    <row r="6840" spans="1:4" ht="12.5">
      <c r="A6840" s="15" t="s">
        <v>765</v>
      </c>
      <c r="B6840" s="14">
        <v>7002982830</v>
      </c>
      <c r="C6840" s="14">
        <v>3</v>
      </c>
      <c r="D6840" s="184" t="s">
        <v>751</v>
      </c>
    </row>
    <row r="6841" spans="1:4" ht="12.5">
      <c r="A6841" s="15" t="s">
        <v>765</v>
      </c>
      <c r="B6841" s="14">
        <v>7002982848</v>
      </c>
      <c r="C6841" s="14">
        <v>2</v>
      </c>
      <c r="D6841" s="184" t="s">
        <v>751</v>
      </c>
    </row>
    <row r="6842" spans="1:4" ht="12.5">
      <c r="A6842" s="15" t="s">
        <v>765</v>
      </c>
      <c r="B6842" s="14">
        <v>7002982895</v>
      </c>
      <c r="C6842" s="14">
        <v>2</v>
      </c>
      <c r="D6842" s="184" t="s">
        <v>751</v>
      </c>
    </row>
    <row r="6843" spans="1:4" ht="12.5">
      <c r="A6843" s="15" t="s">
        <v>765</v>
      </c>
      <c r="B6843" s="14">
        <v>7002982977</v>
      </c>
      <c r="C6843" s="14">
        <v>2</v>
      </c>
      <c r="D6843" s="184" t="s">
        <v>751</v>
      </c>
    </row>
    <row r="6844" spans="1:4" ht="12.5">
      <c r="A6844" s="15" t="s">
        <v>765</v>
      </c>
      <c r="B6844" s="14">
        <v>7002983113</v>
      </c>
      <c r="C6844" s="14">
        <v>2</v>
      </c>
      <c r="D6844" s="184" t="s">
        <v>751</v>
      </c>
    </row>
    <row r="6845" spans="1:4" ht="12.5">
      <c r="A6845" s="15" t="s">
        <v>765</v>
      </c>
      <c r="B6845" s="14">
        <v>7002983132</v>
      </c>
      <c r="C6845" s="14">
        <v>3</v>
      </c>
      <c r="D6845" s="184" t="s">
        <v>751</v>
      </c>
    </row>
    <row r="6846" spans="1:4" ht="12.5">
      <c r="A6846" s="15" t="s">
        <v>765</v>
      </c>
      <c r="B6846" s="14">
        <v>7002983735</v>
      </c>
      <c r="C6846" s="14">
        <v>64</v>
      </c>
      <c r="D6846" s="184" t="s">
        <v>759</v>
      </c>
    </row>
    <row r="6847" spans="1:4" ht="12.5">
      <c r="A6847" s="15" t="s">
        <v>765</v>
      </c>
      <c r="B6847" s="14">
        <v>7002984662</v>
      </c>
      <c r="C6847" s="14">
        <v>3</v>
      </c>
      <c r="D6847" s="184" t="s">
        <v>751</v>
      </c>
    </row>
    <row r="6848" spans="1:4" ht="12.5">
      <c r="A6848" s="15" t="s">
        <v>765</v>
      </c>
      <c r="B6848" s="14">
        <v>7002984947</v>
      </c>
      <c r="C6848" s="14">
        <v>5</v>
      </c>
      <c r="D6848" s="184" t="s">
        <v>751</v>
      </c>
    </row>
    <row r="6849" spans="1:4" ht="12.5">
      <c r="A6849" s="15" t="s">
        <v>765</v>
      </c>
      <c r="B6849" s="14">
        <v>7002984975</v>
      </c>
      <c r="C6849" s="14">
        <v>4</v>
      </c>
      <c r="D6849" s="184" t="s">
        <v>751</v>
      </c>
    </row>
    <row r="6850" spans="1:4" ht="12.5">
      <c r="A6850" s="15" t="s">
        <v>765</v>
      </c>
      <c r="B6850" s="14">
        <v>7002985611</v>
      </c>
      <c r="C6850" s="14">
        <v>1</v>
      </c>
      <c r="D6850" s="184" t="s">
        <v>750</v>
      </c>
    </row>
    <row r="6851" spans="1:4" ht="12.5">
      <c r="A6851" s="15" t="s">
        <v>765</v>
      </c>
      <c r="B6851" s="14">
        <v>7002985872</v>
      </c>
      <c r="C6851" s="14">
        <v>3</v>
      </c>
      <c r="D6851" s="184" t="s">
        <v>751</v>
      </c>
    </row>
    <row r="6852" spans="1:4" ht="12.5">
      <c r="A6852" s="15" t="s">
        <v>765</v>
      </c>
      <c r="B6852" s="14">
        <v>7002986839</v>
      </c>
      <c r="C6852" s="14">
        <v>2</v>
      </c>
      <c r="D6852" s="184" t="s">
        <v>751</v>
      </c>
    </row>
    <row r="6853" spans="1:4" ht="12.5">
      <c r="A6853" s="15" t="s">
        <v>765</v>
      </c>
      <c r="B6853" s="14">
        <v>7002986860</v>
      </c>
      <c r="C6853" s="14">
        <v>2</v>
      </c>
      <c r="D6853" s="184" t="s">
        <v>751</v>
      </c>
    </row>
    <row r="6854" spans="1:4" ht="12.5">
      <c r="A6854" s="15" t="s">
        <v>765</v>
      </c>
      <c r="B6854" s="14">
        <v>7002986894</v>
      </c>
      <c r="C6854" s="14">
        <v>4</v>
      </c>
      <c r="D6854" s="184" t="s">
        <v>751</v>
      </c>
    </row>
    <row r="6855" spans="1:4" ht="12.5">
      <c r="A6855" s="15" t="s">
        <v>765</v>
      </c>
      <c r="B6855" s="14">
        <v>7002986901</v>
      </c>
      <c r="C6855" s="14">
        <v>2</v>
      </c>
      <c r="D6855" s="184" t="s">
        <v>751</v>
      </c>
    </row>
    <row r="6856" spans="1:4" ht="12.5">
      <c r="A6856" s="15" t="s">
        <v>765</v>
      </c>
      <c r="B6856" s="14">
        <v>7002987752</v>
      </c>
      <c r="C6856" s="14">
        <v>10</v>
      </c>
      <c r="D6856" s="184" t="s">
        <v>758</v>
      </c>
    </row>
    <row r="6857" spans="1:4" ht="12.5">
      <c r="A6857" s="15" t="s">
        <v>765</v>
      </c>
      <c r="B6857" s="14">
        <v>7002988782</v>
      </c>
      <c r="C6857" s="14">
        <v>3</v>
      </c>
      <c r="D6857" s="184" t="s">
        <v>751</v>
      </c>
    </row>
    <row r="6858" spans="1:4" ht="12.5">
      <c r="A6858" s="15" t="s">
        <v>765</v>
      </c>
      <c r="B6858" s="14">
        <v>7002989837</v>
      </c>
      <c r="C6858" s="14">
        <v>2</v>
      </c>
      <c r="D6858" s="184" t="s">
        <v>751</v>
      </c>
    </row>
    <row r="6859" spans="1:4" ht="12.5">
      <c r="A6859" s="15" t="s">
        <v>765</v>
      </c>
      <c r="B6859" s="14">
        <v>7002989871</v>
      </c>
      <c r="C6859" s="14">
        <v>3</v>
      </c>
      <c r="D6859" s="184" t="s">
        <v>751</v>
      </c>
    </row>
    <row r="6860" spans="1:4" ht="12.5">
      <c r="A6860" s="15" t="s">
        <v>765</v>
      </c>
      <c r="B6860" s="14">
        <v>7002989970</v>
      </c>
      <c r="C6860" s="14">
        <v>62</v>
      </c>
      <c r="D6860" s="184" t="s">
        <v>759</v>
      </c>
    </row>
    <row r="6861" spans="1:4" ht="12.5">
      <c r="A6861" s="15" t="s">
        <v>765</v>
      </c>
      <c r="B6861" s="14">
        <v>7002990050</v>
      </c>
      <c r="C6861" s="14">
        <v>76</v>
      </c>
      <c r="D6861" s="184" t="s">
        <v>759</v>
      </c>
    </row>
    <row r="6862" spans="1:4" ht="12.5">
      <c r="A6862" s="15" t="s">
        <v>765</v>
      </c>
      <c r="B6862" s="14">
        <v>7002990125</v>
      </c>
      <c r="C6862" s="14">
        <v>7</v>
      </c>
      <c r="D6862" s="184" t="s">
        <v>758</v>
      </c>
    </row>
    <row r="6863" spans="1:4" ht="12.5">
      <c r="A6863" s="15" t="s">
        <v>765</v>
      </c>
      <c r="B6863" s="14">
        <v>7002990141</v>
      </c>
      <c r="C6863" s="14">
        <v>13</v>
      </c>
      <c r="D6863" s="184" t="s">
        <v>759</v>
      </c>
    </row>
    <row r="6864" spans="1:4" ht="12.5">
      <c r="A6864" s="15" t="s">
        <v>765</v>
      </c>
      <c r="B6864" s="14">
        <v>7002990962</v>
      </c>
      <c r="C6864" s="14">
        <v>1</v>
      </c>
      <c r="D6864" s="184" t="s">
        <v>750</v>
      </c>
    </row>
    <row r="6865" spans="1:4" ht="12.5">
      <c r="A6865" s="15" t="s">
        <v>765</v>
      </c>
      <c r="B6865" s="14">
        <v>7002991753</v>
      </c>
      <c r="C6865" s="14">
        <v>1</v>
      </c>
      <c r="D6865" s="184" t="s">
        <v>750</v>
      </c>
    </row>
    <row r="6866" spans="1:4" ht="12.5">
      <c r="A6866" s="15" t="s">
        <v>765</v>
      </c>
      <c r="B6866" s="14">
        <v>7002991919</v>
      </c>
      <c r="C6866" s="14">
        <v>6</v>
      </c>
      <c r="D6866" s="184" t="s">
        <v>758</v>
      </c>
    </row>
    <row r="6867" spans="1:4" ht="12.5">
      <c r="A6867" s="15" t="s">
        <v>765</v>
      </c>
      <c r="B6867" s="14">
        <v>7002993189</v>
      </c>
      <c r="C6867" s="14">
        <v>40</v>
      </c>
      <c r="D6867" s="184" t="s">
        <v>759</v>
      </c>
    </row>
    <row r="6868" spans="1:4" ht="12.5">
      <c r="A6868" s="15" t="s">
        <v>765</v>
      </c>
      <c r="B6868" s="14">
        <v>7002994354</v>
      </c>
      <c r="C6868" s="14">
        <v>2</v>
      </c>
      <c r="D6868" s="184" t="s">
        <v>751</v>
      </c>
    </row>
    <row r="6869" spans="1:4" ht="12.5">
      <c r="A6869" s="15" t="s">
        <v>765</v>
      </c>
      <c r="B6869" s="14">
        <v>7002994750</v>
      </c>
      <c r="C6869" s="14">
        <v>2</v>
      </c>
      <c r="D6869" s="184" t="s">
        <v>751</v>
      </c>
    </row>
    <row r="6870" spans="1:4" ht="12.5">
      <c r="A6870" s="15" t="s">
        <v>765</v>
      </c>
      <c r="B6870" s="14">
        <v>7002996002</v>
      </c>
      <c r="C6870" s="14">
        <v>6</v>
      </c>
      <c r="D6870" s="184" t="s">
        <v>758</v>
      </c>
    </row>
    <row r="6871" spans="1:4" ht="12.5">
      <c r="A6871" s="15" t="s">
        <v>765</v>
      </c>
      <c r="B6871" s="14">
        <v>7002996969</v>
      </c>
      <c r="C6871" s="14">
        <v>28</v>
      </c>
      <c r="D6871" s="184" t="s">
        <v>759</v>
      </c>
    </row>
    <row r="6872" spans="1:4" ht="12.5">
      <c r="A6872" s="15" t="s">
        <v>765</v>
      </c>
      <c r="B6872" s="14">
        <v>7002998110</v>
      </c>
      <c r="C6872" s="14">
        <v>1</v>
      </c>
      <c r="D6872" s="184" t="s">
        <v>750</v>
      </c>
    </row>
    <row r="6873" spans="1:4" ht="12.5">
      <c r="A6873" s="15" t="s">
        <v>765</v>
      </c>
      <c r="B6873" s="14">
        <v>7002999619</v>
      </c>
      <c r="C6873" s="14">
        <v>4</v>
      </c>
      <c r="D6873" s="184" t="s">
        <v>751</v>
      </c>
    </row>
    <row r="6874" spans="1:4" ht="12.5">
      <c r="A6874" s="15" t="s">
        <v>765</v>
      </c>
      <c r="B6874" s="14">
        <v>7002999980</v>
      </c>
      <c r="C6874" s="14">
        <v>4</v>
      </c>
      <c r="D6874" s="184" t="s">
        <v>751</v>
      </c>
    </row>
    <row r="6875" spans="1:4" ht="12.5">
      <c r="A6875" s="15" t="s">
        <v>765</v>
      </c>
      <c r="B6875" s="14">
        <v>7003000110</v>
      </c>
      <c r="C6875" s="14">
        <v>5</v>
      </c>
      <c r="D6875" s="184" t="s">
        <v>751</v>
      </c>
    </row>
    <row r="6876" spans="1:4" ht="12.5">
      <c r="A6876" s="15" t="s">
        <v>765</v>
      </c>
      <c r="B6876" s="14">
        <v>7003000405</v>
      </c>
      <c r="C6876" s="14">
        <v>1</v>
      </c>
      <c r="D6876" s="184" t="s">
        <v>750</v>
      </c>
    </row>
    <row r="6877" spans="1:4" ht="12.5">
      <c r="A6877" s="15" t="s">
        <v>765</v>
      </c>
      <c r="B6877" s="14">
        <v>7003000909</v>
      </c>
      <c r="C6877" s="14">
        <v>28</v>
      </c>
      <c r="D6877" s="184" t="s">
        <v>759</v>
      </c>
    </row>
    <row r="6878" spans="1:4" ht="12.5">
      <c r="A6878" s="15" t="s">
        <v>765</v>
      </c>
      <c r="B6878" s="14">
        <v>7003001328</v>
      </c>
      <c r="C6878" s="14">
        <v>9</v>
      </c>
      <c r="D6878" s="184" t="s">
        <v>758</v>
      </c>
    </row>
    <row r="6879" spans="1:4" ht="12.5">
      <c r="A6879" s="15" t="s">
        <v>765</v>
      </c>
      <c r="B6879" s="14">
        <v>7003001949</v>
      </c>
      <c r="C6879" s="14">
        <v>3</v>
      </c>
      <c r="D6879" s="184" t="s">
        <v>751</v>
      </c>
    </row>
    <row r="6880" spans="1:4" ht="12.5">
      <c r="A6880" s="15" t="s">
        <v>765</v>
      </c>
      <c r="B6880" s="14">
        <v>7003001954</v>
      </c>
      <c r="C6880" s="14">
        <v>3</v>
      </c>
      <c r="D6880" s="184" t="s">
        <v>751</v>
      </c>
    </row>
    <row r="6881" spans="1:4" ht="12.5">
      <c r="A6881" s="15" t="s">
        <v>765</v>
      </c>
      <c r="B6881" s="14">
        <v>7003001977</v>
      </c>
      <c r="C6881" s="14">
        <v>4</v>
      </c>
      <c r="D6881" s="184" t="s">
        <v>751</v>
      </c>
    </row>
    <row r="6882" spans="1:4" ht="12.5">
      <c r="A6882" s="15" t="s">
        <v>765</v>
      </c>
      <c r="B6882" s="14">
        <v>7003001996</v>
      </c>
      <c r="C6882" s="14">
        <v>41</v>
      </c>
      <c r="D6882" s="184" t="s">
        <v>759</v>
      </c>
    </row>
    <row r="6883" spans="1:4" ht="12.5">
      <c r="A6883" s="15" t="s">
        <v>765</v>
      </c>
      <c r="B6883" s="14">
        <v>7003002930</v>
      </c>
      <c r="C6883" s="14">
        <v>4</v>
      </c>
      <c r="D6883" s="184" t="s">
        <v>751</v>
      </c>
    </row>
    <row r="6884" spans="1:4" ht="12.5">
      <c r="A6884" s="15" t="s">
        <v>765</v>
      </c>
      <c r="B6884" s="14">
        <v>7003002982</v>
      </c>
      <c r="C6884" s="14">
        <v>8</v>
      </c>
      <c r="D6884" s="184" t="s">
        <v>758</v>
      </c>
    </row>
    <row r="6885" spans="1:4" ht="12.5">
      <c r="A6885" s="15" t="s">
        <v>765</v>
      </c>
      <c r="B6885" s="14">
        <v>7003002995</v>
      </c>
      <c r="C6885" s="14">
        <v>2</v>
      </c>
      <c r="D6885" s="184" t="s">
        <v>751</v>
      </c>
    </row>
    <row r="6886" spans="1:4" ht="12.5">
      <c r="A6886" s="15" t="s">
        <v>765</v>
      </c>
      <c r="B6886" s="14">
        <v>7003003934</v>
      </c>
      <c r="C6886" s="14">
        <v>4</v>
      </c>
      <c r="D6886" s="184" t="s">
        <v>751</v>
      </c>
    </row>
    <row r="6887" spans="1:4" ht="12.5">
      <c r="A6887" s="15" t="s">
        <v>765</v>
      </c>
      <c r="B6887" s="14">
        <v>7003004543</v>
      </c>
      <c r="C6887" s="14">
        <v>2</v>
      </c>
      <c r="D6887" s="184" t="s">
        <v>751</v>
      </c>
    </row>
    <row r="6888" spans="1:4" ht="12.5">
      <c r="A6888" s="15" t="s">
        <v>765</v>
      </c>
      <c r="B6888" s="14">
        <v>7003005313</v>
      </c>
      <c r="C6888" s="14">
        <v>2</v>
      </c>
      <c r="D6888" s="184" t="s">
        <v>751</v>
      </c>
    </row>
    <row r="6889" spans="1:4" ht="12.5">
      <c r="A6889" s="15" t="s">
        <v>765</v>
      </c>
      <c r="B6889" s="14">
        <v>7003005993</v>
      </c>
      <c r="C6889" s="14">
        <v>12</v>
      </c>
      <c r="D6889" s="184" t="s">
        <v>759</v>
      </c>
    </row>
    <row r="6890" spans="1:4" ht="12.5">
      <c r="A6890" s="15" t="s">
        <v>765</v>
      </c>
      <c r="B6890" s="14">
        <v>7003008488</v>
      </c>
      <c r="C6890" s="14">
        <v>1</v>
      </c>
      <c r="D6890" s="184" t="s">
        <v>750</v>
      </c>
    </row>
    <row r="6891" spans="1:4" ht="12.5">
      <c r="A6891" s="15" t="s">
        <v>765</v>
      </c>
      <c r="B6891" s="14">
        <v>7003008598</v>
      </c>
      <c r="C6891" s="14">
        <v>1</v>
      </c>
      <c r="D6891" s="184" t="s">
        <v>750</v>
      </c>
    </row>
    <row r="6892" spans="1:4" ht="12.5">
      <c r="A6892" s="15" t="s">
        <v>765</v>
      </c>
      <c r="B6892" s="14">
        <v>7003008970</v>
      </c>
      <c r="C6892" s="14">
        <v>6</v>
      </c>
      <c r="D6892" s="184" t="s">
        <v>758</v>
      </c>
    </row>
    <row r="6893" spans="1:4" ht="12.5">
      <c r="A6893" s="15" t="s">
        <v>765</v>
      </c>
      <c r="B6893" s="14">
        <v>7003009829</v>
      </c>
      <c r="C6893" s="14">
        <v>2</v>
      </c>
      <c r="D6893" s="184" t="s">
        <v>751</v>
      </c>
    </row>
    <row r="6894" spans="1:4" ht="12.5">
      <c r="A6894" s="15" t="s">
        <v>765</v>
      </c>
      <c r="B6894" s="14">
        <v>7003010007</v>
      </c>
      <c r="C6894" s="14">
        <v>41</v>
      </c>
      <c r="D6894" s="184" t="s">
        <v>759</v>
      </c>
    </row>
    <row r="6895" spans="1:4" ht="12.5">
      <c r="A6895" s="15" t="s">
        <v>765</v>
      </c>
      <c r="B6895" s="14">
        <v>7003010171</v>
      </c>
      <c r="C6895" s="14">
        <v>1</v>
      </c>
      <c r="D6895" s="184" t="s">
        <v>750</v>
      </c>
    </row>
    <row r="6896" spans="1:4" ht="12.5">
      <c r="A6896" s="15" t="s">
        <v>765</v>
      </c>
      <c r="B6896" s="14">
        <v>7003010236</v>
      </c>
      <c r="C6896" s="14">
        <v>16</v>
      </c>
      <c r="D6896" s="184" t="s">
        <v>759</v>
      </c>
    </row>
    <row r="6897" spans="1:4" ht="12.5">
      <c r="A6897" s="15" t="s">
        <v>765</v>
      </c>
      <c r="B6897" s="14">
        <v>7003010262</v>
      </c>
      <c r="C6897" s="14">
        <v>13</v>
      </c>
      <c r="D6897" s="184" t="s">
        <v>759</v>
      </c>
    </row>
    <row r="6898" spans="1:4" ht="12.5">
      <c r="A6898" s="15" t="s">
        <v>765</v>
      </c>
      <c r="B6898" s="14">
        <v>7003010925</v>
      </c>
      <c r="C6898" s="14">
        <v>1</v>
      </c>
      <c r="D6898" s="184" t="s">
        <v>750</v>
      </c>
    </row>
    <row r="6899" spans="1:4" ht="12.5">
      <c r="A6899" s="15" t="s">
        <v>765</v>
      </c>
      <c r="B6899" s="14">
        <v>7003011006</v>
      </c>
      <c r="C6899" s="14">
        <v>3</v>
      </c>
      <c r="D6899" s="184" t="s">
        <v>751</v>
      </c>
    </row>
    <row r="6900" spans="1:4" ht="12.5">
      <c r="A6900" s="15" t="s">
        <v>765</v>
      </c>
      <c r="B6900" s="14">
        <v>7003011010</v>
      </c>
      <c r="C6900" s="14">
        <v>3</v>
      </c>
      <c r="D6900" s="184" t="s">
        <v>751</v>
      </c>
    </row>
    <row r="6901" spans="1:4" ht="12.5">
      <c r="A6901" s="15" t="s">
        <v>765</v>
      </c>
      <c r="B6901" s="14">
        <v>7003011099</v>
      </c>
      <c r="C6901" s="14">
        <v>1</v>
      </c>
      <c r="D6901" s="184" t="s">
        <v>750</v>
      </c>
    </row>
    <row r="6902" spans="1:4" ht="12.5">
      <c r="A6902" s="15" t="s">
        <v>765</v>
      </c>
      <c r="B6902" s="14">
        <v>7003011492</v>
      </c>
      <c r="C6902" s="14">
        <v>13</v>
      </c>
      <c r="D6902" s="184" t="s">
        <v>759</v>
      </c>
    </row>
    <row r="6903" spans="1:4" ht="12.5">
      <c r="A6903" s="15" t="s">
        <v>765</v>
      </c>
      <c r="B6903" s="14">
        <v>7003011839</v>
      </c>
      <c r="C6903" s="14">
        <v>7</v>
      </c>
      <c r="D6903" s="184" t="s">
        <v>758</v>
      </c>
    </row>
    <row r="6904" spans="1:4" ht="12.5">
      <c r="A6904" s="15" t="s">
        <v>765</v>
      </c>
      <c r="B6904" s="14">
        <v>7003011841</v>
      </c>
      <c r="C6904" s="14">
        <v>8</v>
      </c>
      <c r="D6904" s="184" t="s">
        <v>758</v>
      </c>
    </row>
    <row r="6905" spans="1:4" ht="12.5">
      <c r="A6905" s="15" t="s">
        <v>765</v>
      </c>
      <c r="B6905" s="14">
        <v>7003012080</v>
      </c>
      <c r="C6905" s="14">
        <v>37</v>
      </c>
      <c r="D6905" s="184" t="s">
        <v>759</v>
      </c>
    </row>
    <row r="6906" spans="1:4" ht="12.5">
      <c r="A6906" s="15" t="s">
        <v>765</v>
      </c>
      <c r="B6906" s="14">
        <v>7003012135</v>
      </c>
      <c r="C6906" s="14">
        <v>71</v>
      </c>
      <c r="D6906" s="184" t="s">
        <v>759</v>
      </c>
    </row>
    <row r="6907" spans="1:4" ht="12.5">
      <c r="A6907" s="15" t="s">
        <v>765</v>
      </c>
      <c r="B6907" s="14">
        <v>7003012331</v>
      </c>
      <c r="C6907" s="14">
        <v>1</v>
      </c>
      <c r="D6907" s="184" t="s">
        <v>750</v>
      </c>
    </row>
    <row r="6908" spans="1:4" ht="12.5">
      <c r="A6908" s="15" t="s">
        <v>765</v>
      </c>
      <c r="B6908" s="14">
        <v>7003012630</v>
      </c>
      <c r="C6908" s="14">
        <v>8</v>
      </c>
      <c r="D6908" s="184" t="s">
        <v>758</v>
      </c>
    </row>
    <row r="6909" spans="1:4" ht="12.5">
      <c r="A6909" s="15" t="s">
        <v>765</v>
      </c>
      <c r="B6909" s="14">
        <v>7003012801</v>
      </c>
      <c r="C6909" s="14">
        <v>2</v>
      </c>
      <c r="D6909" s="184" t="s">
        <v>751</v>
      </c>
    </row>
    <row r="6910" spans="1:4" ht="12.5">
      <c r="A6910" s="15" t="s">
        <v>765</v>
      </c>
      <c r="B6910" s="14">
        <v>7003012872</v>
      </c>
      <c r="C6910" s="14">
        <v>1</v>
      </c>
      <c r="D6910" s="184" t="s">
        <v>750</v>
      </c>
    </row>
    <row r="6911" spans="1:4" ht="12.5">
      <c r="A6911" s="15" t="s">
        <v>765</v>
      </c>
      <c r="B6911" s="14">
        <v>7003013013</v>
      </c>
      <c r="C6911" s="14">
        <v>1</v>
      </c>
      <c r="D6911" s="184" t="s">
        <v>750</v>
      </c>
    </row>
    <row r="6912" spans="1:4" ht="12.5">
      <c r="A6912" s="15" t="s">
        <v>765</v>
      </c>
      <c r="B6912" s="14">
        <v>7003013045</v>
      </c>
      <c r="C6912" s="14">
        <v>6</v>
      </c>
      <c r="D6912" s="184" t="s">
        <v>758</v>
      </c>
    </row>
    <row r="6913" spans="1:4" ht="12.5">
      <c r="A6913" s="15" t="s">
        <v>765</v>
      </c>
      <c r="B6913" s="14">
        <v>7003013050</v>
      </c>
      <c r="C6913" s="14">
        <v>16</v>
      </c>
      <c r="D6913" s="184" t="s">
        <v>759</v>
      </c>
    </row>
    <row r="6914" spans="1:4" ht="12.5">
      <c r="A6914" s="15" t="s">
        <v>765</v>
      </c>
      <c r="B6914" s="14">
        <v>7003013084</v>
      </c>
      <c r="C6914" s="14">
        <v>9</v>
      </c>
      <c r="D6914" s="184" t="s">
        <v>758</v>
      </c>
    </row>
    <row r="6915" spans="1:4" ht="12.5">
      <c r="A6915" s="15" t="s">
        <v>765</v>
      </c>
      <c r="B6915" s="14">
        <v>7003013097</v>
      </c>
      <c r="C6915" s="14">
        <v>1</v>
      </c>
      <c r="D6915" s="184" t="s">
        <v>750</v>
      </c>
    </row>
    <row r="6916" spans="1:4" ht="12.5">
      <c r="A6916" s="15" t="s">
        <v>765</v>
      </c>
      <c r="B6916" s="14">
        <v>7003013125</v>
      </c>
      <c r="C6916" s="14">
        <v>3</v>
      </c>
      <c r="D6916" s="184" t="s">
        <v>751</v>
      </c>
    </row>
    <row r="6917" spans="1:4" ht="12.5">
      <c r="A6917" s="15" t="s">
        <v>765</v>
      </c>
      <c r="B6917" s="14">
        <v>7003013201</v>
      </c>
      <c r="C6917" s="14">
        <v>1</v>
      </c>
      <c r="D6917" s="184" t="s">
        <v>750</v>
      </c>
    </row>
    <row r="6918" spans="1:4" ht="12.5">
      <c r="A6918" s="15" t="s">
        <v>765</v>
      </c>
      <c r="B6918" s="14">
        <v>7003013255</v>
      </c>
      <c r="C6918" s="14">
        <v>1</v>
      </c>
      <c r="D6918" s="184" t="s">
        <v>750</v>
      </c>
    </row>
    <row r="6919" spans="1:4" ht="12.5">
      <c r="A6919" s="15" t="s">
        <v>765</v>
      </c>
      <c r="B6919" s="14">
        <v>7003013457</v>
      </c>
      <c r="C6919" s="14">
        <v>4</v>
      </c>
      <c r="D6919" s="184" t="s">
        <v>751</v>
      </c>
    </row>
    <row r="6920" spans="1:4" ht="12.5">
      <c r="A6920" s="15" t="s">
        <v>765</v>
      </c>
      <c r="B6920" s="14">
        <v>7003013522</v>
      </c>
      <c r="C6920" s="14">
        <v>8</v>
      </c>
      <c r="D6920" s="184" t="s">
        <v>758</v>
      </c>
    </row>
    <row r="6921" spans="1:4" ht="12.5">
      <c r="A6921" s="15" t="s">
        <v>765</v>
      </c>
      <c r="B6921" s="14">
        <v>7003013668</v>
      </c>
      <c r="C6921" s="14">
        <v>2</v>
      </c>
      <c r="D6921" s="184" t="s">
        <v>751</v>
      </c>
    </row>
    <row r="6922" spans="1:4" ht="12.5">
      <c r="A6922" s="15" t="s">
        <v>765</v>
      </c>
      <c r="B6922" s="14">
        <v>7003013783</v>
      </c>
      <c r="C6922" s="14">
        <v>2</v>
      </c>
      <c r="D6922" s="184" t="s">
        <v>751</v>
      </c>
    </row>
    <row r="6923" spans="1:4" ht="12.5">
      <c r="A6923" s="15" t="s">
        <v>765</v>
      </c>
      <c r="B6923" s="14">
        <v>7003014031</v>
      </c>
      <c r="C6923" s="14">
        <v>35</v>
      </c>
      <c r="D6923" s="184" t="s">
        <v>759</v>
      </c>
    </row>
    <row r="6924" spans="1:4" ht="12.5">
      <c r="A6924" s="15" t="s">
        <v>765</v>
      </c>
      <c r="B6924" s="14">
        <v>7003014049</v>
      </c>
      <c r="C6924" s="14">
        <v>1</v>
      </c>
      <c r="D6924" s="184" t="s">
        <v>750</v>
      </c>
    </row>
    <row r="6925" spans="1:4" ht="12.5">
      <c r="A6925" s="15" t="s">
        <v>765</v>
      </c>
      <c r="B6925" s="14">
        <v>7003014065</v>
      </c>
      <c r="C6925" s="14">
        <v>43</v>
      </c>
      <c r="D6925" s="184" t="s">
        <v>759</v>
      </c>
    </row>
    <row r="6926" spans="1:4" ht="12.5">
      <c r="A6926" s="15" t="s">
        <v>765</v>
      </c>
      <c r="B6926" s="14">
        <v>7003014077</v>
      </c>
      <c r="C6926" s="14">
        <v>2</v>
      </c>
      <c r="D6926" s="184" t="s">
        <v>751</v>
      </c>
    </row>
    <row r="6927" spans="1:4" ht="12.5">
      <c r="A6927" s="15" t="s">
        <v>765</v>
      </c>
      <c r="B6927" s="14">
        <v>7003014140</v>
      </c>
      <c r="C6927" s="14">
        <v>6</v>
      </c>
      <c r="D6927" s="184" t="s">
        <v>758</v>
      </c>
    </row>
    <row r="6928" spans="1:4" ht="12.5">
      <c r="A6928" s="15" t="s">
        <v>765</v>
      </c>
      <c r="B6928" s="14">
        <v>7003014460</v>
      </c>
      <c r="C6928" s="14">
        <v>5</v>
      </c>
      <c r="D6928" s="184" t="s">
        <v>751</v>
      </c>
    </row>
    <row r="6929" spans="1:4" ht="12.5">
      <c r="A6929" s="15" t="s">
        <v>765</v>
      </c>
      <c r="B6929" s="14">
        <v>7003014862</v>
      </c>
      <c r="C6929" s="14">
        <v>1</v>
      </c>
      <c r="D6929" s="184" t="s">
        <v>750</v>
      </c>
    </row>
    <row r="6930" spans="1:4" ht="12.5">
      <c r="A6930" s="15" t="s">
        <v>765</v>
      </c>
      <c r="B6930" s="14">
        <v>7003015114</v>
      </c>
      <c r="C6930" s="14">
        <v>1</v>
      </c>
      <c r="D6930" s="184" t="s">
        <v>750</v>
      </c>
    </row>
    <row r="6931" spans="1:4" ht="12.5">
      <c r="A6931" s="15" t="s">
        <v>765</v>
      </c>
      <c r="B6931" s="14">
        <v>7003015167</v>
      </c>
      <c r="C6931" s="14">
        <v>2</v>
      </c>
      <c r="D6931" s="184" t="s">
        <v>751</v>
      </c>
    </row>
    <row r="6932" spans="1:4" ht="12.5">
      <c r="A6932" s="15" t="s">
        <v>765</v>
      </c>
      <c r="B6932" s="14">
        <v>7003015198</v>
      </c>
      <c r="C6932" s="14">
        <v>11</v>
      </c>
      <c r="D6932" s="184" t="s">
        <v>759</v>
      </c>
    </row>
    <row r="6933" spans="1:4" ht="12.5">
      <c r="A6933" s="15" t="s">
        <v>765</v>
      </c>
      <c r="B6933" s="14">
        <v>7003015234</v>
      </c>
      <c r="C6933" s="14">
        <v>34</v>
      </c>
      <c r="D6933" s="184" t="s">
        <v>759</v>
      </c>
    </row>
    <row r="6934" spans="1:4" ht="12.5">
      <c r="A6934" s="15" t="s">
        <v>765</v>
      </c>
      <c r="B6934" s="14">
        <v>7003015247</v>
      </c>
      <c r="C6934" s="14">
        <v>3</v>
      </c>
      <c r="D6934" s="184" t="s">
        <v>751</v>
      </c>
    </row>
    <row r="6935" spans="1:4" ht="12.5">
      <c r="A6935" s="15" t="s">
        <v>765</v>
      </c>
      <c r="B6935" s="14">
        <v>7003015385</v>
      </c>
      <c r="C6935" s="14">
        <v>1</v>
      </c>
      <c r="D6935" s="184" t="s">
        <v>750</v>
      </c>
    </row>
    <row r="6936" spans="1:4" ht="12.5">
      <c r="A6936" s="15" t="s">
        <v>765</v>
      </c>
      <c r="B6936" s="14">
        <v>7003015478</v>
      </c>
      <c r="C6936" s="14">
        <v>8</v>
      </c>
      <c r="D6936" s="184" t="s">
        <v>758</v>
      </c>
    </row>
    <row r="6937" spans="1:4" ht="12.5">
      <c r="A6937" s="15" t="s">
        <v>765</v>
      </c>
      <c r="B6937" s="14">
        <v>7003015502</v>
      </c>
      <c r="C6937" s="14">
        <v>6</v>
      </c>
      <c r="D6937" s="184" t="s">
        <v>758</v>
      </c>
    </row>
    <row r="6938" spans="1:4" ht="12.5">
      <c r="A6938" s="15" t="s">
        <v>765</v>
      </c>
      <c r="B6938" s="14">
        <v>7003016043</v>
      </c>
      <c r="C6938" s="14">
        <v>62</v>
      </c>
      <c r="D6938" s="184" t="s">
        <v>759</v>
      </c>
    </row>
    <row r="6939" spans="1:4" ht="12.5">
      <c r="A6939" s="15" t="s">
        <v>765</v>
      </c>
      <c r="B6939" s="14">
        <v>7003016123</v>
      </c>
      <c r="C6939" s="14">
        <v>3</v>
      </c>
      <c r="D6939" s="184" t="s">
        <v>751</v>
      </c>
    </row>
    <row r="6940" spans="1:4" ht="12.5">
      <c r="A6940" s="15" t="s">
        <v>765</v>
      </c>
      <c r="B6940" s="14">
        <v>7003016230</v>
      </c>
      <c r="C6940" s="14">
        <v>12</v>
      </c>
      <c r="D6940" s="184" t="s">
        <v>759</v>
      </c>
    </row>
    <row r="6941" spans="1:4" ht="12.5">
      <c r="A6941" s="15" t="s">
        <v>765</v>
      </c>
      <c r="B6941" s="14">
        <v>7003016282</v>
      </c>
      <c r="C6941" s="14">
        <v>1</v>
      </c>
      <c r="D6941" s="184" t="s">
        <v>750</v>
      </c>
    </row>
    <row r="6942" spans="1:4" ht="12.5">
      <c r="A6942" s="15" t="s">
        <v>765</v>
      </c>
      <c r="B6942" s="14">
        <v>7003016340</v>
      </c>
      <c r="C6942" s="14">
        <v>10</v>
      </c>
      <c r="D6942" s="184" t="s">
        <v>758</v>
      </c>
    </row>
    <row r="6943" spans="1:4" ht="12.5">
      <c r="A6943" s="15" t="s">
        <v>765</v>
      </c>
      <c r="B6943" s="14">
        <v>7003016414</v>
      </c>
      <c r="C6943" s="14">
        <v>13</v>
      </c>
      <c r="D6943" s="184" t="s">
        <v>759</v>
      </c>
    </row>
    <row r="6944" spans="1:4" ht="12.5">
      <c r="A6944" s="15" t="s">
        <v>765</v>
      </c>
      <c r="B6944" s="14">
        <v>7003016479</v>
      </c>
      <c r="C6944" s="14">
        <v>2</v>
      </c>
      <c r="D6944" s="184" t="s">
        <v>751</v>
      </c>
    </row>
    <row r="6945" spans="1:4" ht="12.5">
      <c r="A6945" s="15" t="s">
        <v>765</v>
      </c>
      <c r="B6945" s="14">
        <v>7003016808</v>
      </c>
      <c r="C6945" s="14">
        <v>2</v>
      </c>
      <c r="D6945" s="184" t="s">
        <v>751</v>
      </c>
    </row>
    <row r="6946" spans="1:4" ht="12.5">
      <c r="A6946" s="15" t="s">
        <v>765</v>
      </c>
      <c r="B6946" s="14">
        <v>7003016812</v>
      </c>
      <c r="C6946" s="14">
        <v>4</v>
      </c>
      <c r="D6946" s="184" t="s">
        <v>751</v>
      </c>
    </row>
    <row r="6947" spans="1:4" ht="12.5">
      <c r="A6947" s="15" t="s">
        <v>765</v>
      </c>
      <c r="B6947" s="14">
        <v>7003017000</v>
      </c>
      <c r="C6947" s="14">
        <v>3</v>
      </c>
      <c r="D6947" s="184" t="s">
        <v>751</v>
      </c>
    </row>
    <row r="6948" spans="1:4" ht="12.5">
      <c r="A6948" s="15" t="s">
        <v>765</v>
      </c>
      <c r="B6948" s="14">
        <v>7003017028</v>
      </c>
      <c r="C6948" s="14">
        <v>7</v>
      </c>
      <c r="D6948" s="184" t="s">
        <v>758</v>
      </c>
    </row>
    <row r="6949" spans="1:4" ht="12.5">
      <c r="A6949" s="15" t="s">
        <v>765</v>
      </c>
      <c r="B6949" s="14">
        <v>7003017037</v>
      </c>
      <c r="C6949" s="14">
        <v>38</v>
      </c>
      <c r="D6949" s="184" t="s">
        <v>759</v>
      </c>
    </row>
    <row r="6950" spans="1:4" ht="12.5">
      <c r="A6950" s="15" t="s">
        <v>765</v>
      </c>
      <c r="B6950" s="14">
        <v>7003017071</v>
      </c>
      <c r="C6950" s="14">
        <v>50</v>
      </c>
      <c r="D6950" s="184" t="s">
        <v>759</v>
      </c>
    </row>
    <row r="6951" spans="1:4" ht="12.5">
      <c r="A6951" s="15" t="s">
        <v>765</v>
      </c>
      <c r="B6951" s="14">
        <v>7003017176</v>
      </c>
      <c r="C6951" s="14">
        <v>13</v>
      </c>
      <c r="D6951" s="184" t="s">
        <v>759</v>
      </c>
    </row>
    <row r="6952" spans="1:4" ht="12.5">
      <c r="A6952" s="15" t="s">
        <v>765</v>
      </c>
      <c r="B6952" s="14">
        <v>7003017212</v>
      </c>
      <c r="C6952" s="14">
        <v>5</v>
      </c>
      <c r="D6952" s="184" t="s">
        <v>751</v>
      </c>
    </row>
    <row r="6953" spans="1:4" ht="12.5">
      <c r="A6953" s="15" t="s">
        <v>765</v>
      </c>
      <c r="B6953" s="14">
        <v>7003017277</v>
      </c>
      <c r="C6953" s="14">
        <v>28</v>
      </c>
      <c r="D6953" s="184" t="s">
        <v>759</v>
      </c>
    </row>
    <row r="6954" spans="1:4" ht="12.5">
      <c r="A6954" s="15" t="s">
        <v>765</v>
      </c>
      <c r="B6954" s="14">
        <v>7003017410</v>
      </c>
      <c r="C6954" s="14">
        <v>1</v>
      </c>
      <c r="D6954" s="184" t="s">
        <v>750</v>
      </c>
    </row>
    <row r="6955" spans="1:4" ht="12.5">
      <c r="A6955" s="15" t="s">
        <v>765</v>
      </c>
      <c r="B6955" s="14">
        <v>7003017468</v>
      </c>
      <c r="C6955" s="14">
        <v>7</v>
      </c>
      <c r="D6955" s="184" t="s">
        <v>758</v>
      </c>
    </row>
    <row r="6956" spans="1:4" ht="12.5">
      <c r="A6956" s="15" t="s">
        <v>765</v>
      </c>
      <c r="B6956" s="14">
        <v>7003018245</v>
      </c>
      <c r="C6956" s="14">
        <v>2</v>
      </c>
      <c r="D6956" s="184" t="s">
        <v>751</v>
      </c>
    </row>
    <row r="6957" spans="1:4" ht="12.5">
      <c r="A6957" s="15" t="s">
        <v>765</v>
      </c>
      <c r="B6957" s="14">
        <v>7003018284</v>
      </c>
      <c r="C6957" s="14">
        <v>1</v>
      </c>
      <c r="D6957" s="184" t="s">
        <v>750</v>
      </c>
    </row>
    <row r="6958" spans="1:4" ht="12.5">
      <c r="A6958" s="15" t="s">
        <v>765</v>
      </c>
      <c r="B6958" s="14">
        <v>7003018342</v>
      </c>
      <c r="C6958" s="14">
        <v>30</v>
      </c>
      <c r="D6958" s="184" t="s">
        <v>759</v>
      </c>
    </row>
    <row r="6959" spans="1:4" ht="12.5">
      <c r="A6959" s="15" t="s">
        <v>765</v>
      </c>
      <c r="B6959" s="14">
        <v>7003018430</v>
      </c>
      <c r="C6959" s="14">
        <v>1</v>
      </c>
      <c r="D6959" s="184" t="s">
        <v>750</v>
      </c>
    </row>
    <row r="6960" spans="1:4" ht="12.5">
      <c r="A6960" s="15" t="s">
        <v>765</v>
      </c>
      <c r="B6960" s="14">
        <v>7003019060</v>
      </c>
      <c r="C6960" s="14">
        <v>70</v>
      </c>
      <c r="D6960" s="184" t="s">
        <v>759</v>
      </c>
    </row>
    <row r="6961" spans="1:4" ht="12.5">
      <c r="A6961" s="15" t="s">
        <v>765</v>
      </c>
      <c r="B6961" s="14">
        <v>7003019073</v>
      </c>
      <c r="C6961" s="14">
        <v>13</v>
      </c>
      <c r="D6961" s="184" t="s">
        <v>759</v>
      </c>
    </row>
    <row r="6962" spans="1:4" ht="12.5">
      <c r="A6962" s="15" t="s">
        <v>765</v>
      </c>
      <c r="B6962" s="14">
        <v>7003019094</v>
      </c>
      <c r="C6962" s="14">
        <v>11</v>
      </c>
      <c r="D6962" s="184" t="s">
        <v>759</v>
      </c>
    </row>
    <row r="6963" spans="1:4" ht="12.5">
      <c r="A6963" s="15" t="s">
        <v>765</v>
      </c>
      <c r="B6963" s="14">
        <v>7003019109</v>
      </c>
      <c r="C6963" s="14">
        <v>3</v>
      </c>
      <c r="D6963" s="184" t="s">
        <v>751</v>
      </c>
    </row>
    <row r="6964" spans="1:4" ht="12.5">
      <c r="A6964" s="15" t="s">
        <v>765</v>
      </c>
      <c r="B6964" s="14">
        <v>7003019246</v>
      </c>
      <c r="C6964" s="14">
        <v>1</v>
      </c>
      <c r="D6964" s="184" t="s">
        <v>750</v>
      </c>
    </row>
    <row r="6965" spans="1:4" ht="12.5">
      <c r="A6965" s="15" t="s">
        <v>765</v>
      </c>
      <c r="B6965" s="14">
        <v>7003019251</v>
      </c>
      <c r="C6965" s="14">
        <v>3</v>
      </c>
      <c r="D6965" s="184" t="s">
        <v>751</v>
      </c>
    </row>
    <row r="6966" spans="1:4" ht="12.5">
      <c r="A6966" s="15" t="s">
        <v>765</v>
      </c>
      <c r="B6966" s="14">
        <v>7003019449</v>
      </c>
      <c r="C6966" s="14">
        <v>2</v>
      </c>
      <c r="D6966" s="184" t="s">
        <v>751</v>
      </c>
    </row>
    <row r="6967" spans="1:4" ht="12.5">
      <c r="A6967" s="15" t="s">
        <v>765</v>
      </c>
      <c r="B6967" s="14">
        <v>7003020039</v>
      </c>
      <c r="C6967" s="14">
        <v>12</v>
      </c>
      <c r="D6967" s="184" t="s">
        <v>759</v>
      </c>
    </row>
    <row r="6968" spans="1:4" ht="12.5">
      <c r="A6968" s="15" t="s">
        <v>765</v>
      </c>
      <c r="B6968" s="14">
        <v>7003020073</v>
      </c>
      <c r="C6968" s="14">
        <v>7</v>
      </c>
      <c r="D6968" s="184" t="s">
        <v>758</v>
      </c>
    </row>
    <row r="6969" spans="1:4" ht="12.5">
      <c r="A6969" s="15" t="s">
        <v>765</v>
      </c>
      <c r="B6969" s="14">
        <v>7003020644</v>
      </c>
      <c r="C6969" s="14">
        <v>8</v>
      </c>
      <c r="D6969" s="184" t="s">
        <v>758</v>
      </c>
    </row>
    <row r="6970" spans="1:4" ht="12.5">
      <c r="A6970" s="15" t="s">
        <v>765</v>
      </c>
      <c r="B6970" s="14">
        <v>7003020726</v>
      </c>
      <c r="C6970" s="14">
        <v>11</v>
      </c>
      <c r="D6970" s="184" t="s">
        <v>759</v>
      </c>
    </row>
    <row r="6971" spans="1:4" ht="12.5">
      <c r="A6971" s="15" t="s">
        <v>765</v>
      </c>
      <c r="B6971" s="14">
        <v>7003021342</v>
      </c>
      <c r="C6971" s="14">
        <v>1</v>
      </c>
      <c r="D6971" s="184" t="s">
        <v>750</v>
      </c>
    </row>
    <row r="6972" spans="1:4" ht="12.5">
      <c r="A6972" s="15" t="s">
        <v>765</v>
      </c>
      <c r="B6972" s="14">
        <v>7003021725</v>
      </c>
      <c r="C6972" s="14">
        <v>2</v>
      </c>
      <c r="D6972" s="184" t="s">
        <v>751</v>
      </c>
    </row>
    <row r="6973" spans="1:4" ht="12.5">
      <c r="A6973" s="15" t="s">
        <v>765</v>
      </c>
      <c r="B6973" s="14">
        <v>7003022738</v>
      </c>
      <c r="C6973" s="14">
        <v>2</v>
      </c>
      <c r="D6973" s="184" t="s">
        <v>751</v>
      </c>
    </row>
    <row r="6974" spans="1:4" ht="12.5">
      <c r="A6974" s="15" t="s">
        <v>765</v>
      </c>
      <c r="B6974" s="14">
        <v>7003022866</v>
      </c>
      <c r="C6974" s="14">
        <v>1</v>
      </c>
      <c r="D6974" s="184" t="s">
        <v>750</v>
      </c>
    </row>
    <row r="6975" spans="1:4" ht="12.5">
      <c r="A6975" s="15" t="s">
        <v>765</v>
      </c>
      <c r="B6975" s="14">
        <v>7003023091</v>
      </c>
      <c r="C6975" s="14">
        <v>2</v>
      </c>
      <c r="D6975" s="184" t="s">
        <v>751</v>
      </c>
    </row>
    <row r="6976" spans="1:4" ht="12.5">
      <c r="A6976" s="15" t="s">
        <v>765</v>
      </c>
      <c r="B6976" s="14">
        <v>7003024736</v>
      </c>
      <c r="C6976" s="14">
        <v>2</v>
      </c>
      <c r="D6976" s="184" t="s">
        <v>751</v>
      </c>
    </row>
    <row r="6977" spans="1:4" ht="12.5">
      <c r="A6977" s="15" t="s">
        <v>765</v>
      </c>
      <c r="B6977" s="14">
        <v>7003024983</v>
      </c>
      <c r="C6977" s="14">
        <v>2</v>
      </c>
      <c r="D6977" s="184" t="s">
        <v>751</v>
      </c>
    </row>
    <row r="6978" spans="1:4" ht="12.5">
      <c r="A6978" s="15" t="s">
        <v>765</v>
      </c>
      <c r="B6978" s="14">
        <v>7003025054</v>
      </c>
      <c r="C6978" s="14">
        <v>1</v>
      </c>
      <c r="D6978" s="184" t="s">
        <v>750</v>
      </c>
    </row>
    <row r="6979" spans="1:4" ht="12.5">
      <c r="A6979" s="15" t="s">
        <v>765</v>
      </c>
      <c r="B6979" s="14">
        <v>7003025815</v>
      </c>
      <c r="C6979" s="14">
        <v>5</v>
      </c>
      <c r="D6979" s="184" t="s">
        <v>751</v>
      </c>
    </row>
    <row r="6980" spans="1:4" ht="12.5">
      <c r="A6980" s="15" t="s">
        <v>765</v>
      </c>
      <c r="B6980" s="14">
        <v>7003026699</v>
      </c>
      <c r="C6980" s="14">
        <v>4</v>
      </c>
      <c r="D6980" s="184" t="s">
        <v>751</v>
      </c>
    </row>
    <row r="6981" spans="1:4" ht="12.5">
      <c r="A6981" s="15" t="s">
        <v>765</v>
      </c>
      <c r="B6981" s="14">
        <v>7003026783</v>
      </c>
      <c r="C6981" s="14">
        <v>13</v>
      </c>
      <c r="D6981" s="184" t="s">
        <v>759</v>
      </c>
    </row>
    <row r="6982" spans="1:4" ht="12.5">
      <c r="A6982" s="15" t="s">
        <v>765</v>
      </c>
      <c r="B6982" s="14">
        <v>7003027202</v>
      </c>
      <c r="C6982" s="14">
        <v>1</v>
      </c>
      <c r="D6982" s="184" t="s">
        <v>750</v>
      </c>
    </row>
    <row r="6983" spans="1:4" ht="12.5">
      <c r="A6983" s="15" t="s">
        <v>765</v>
      </c>
      <c r="B6983" s="14">
        <v>7003027766</v>
      </c>
      <c r="C6983" s="14">
        <v>2</v>
      </c>
      <c r="D6983" s="184" t="s">
        <v>751</v>
      </c>
    </row>
    <row r="6984" spans="1:4" ht="12.5">
      <c r="A6984" s="15" t="s">
        <v>765</v>
      </c>
      <c r="B6984" s="14">
        <v>7003027817</v>
      </c>
      <c r="C6984" s="14">
        <v>1</v>
      </c>
      <c r="D6984" s="184" t="s">
        <v>750</v>
      </c>
    </row>
    <row r="6985" spans="1:4" ht="12.5">
      <c r="A6985" s="15" t="s">
        <v>765</v>
      </c>
      <c r="B6985" s="14">
        <v>7003028530</v>
      </c>
      <c r="C6985" s="14">
        <v>3</v>
      </c>
      <c r="D6985" s="184" t="s">
        <v>751</v>
      </c>
    </row>
    <row r="6986" spans="1:4" ht="12.5">
      <c r="A6986" s="15" t="s">
        <v>765</v>
      </c>
      <c r="B6986" s="14">
        <v>7003029128</v>
      </c>
      <c r="C6986" s="14">
        <v>29</v>
      </c>
      <c r="D6986" s="184" t="s">
        <v>759</v>
      </c>
    </row>
    <row r="6987" spans="1:4" ht="12.5">
      <c r="A6987" s="15" t="s">
        <v>765</v>
      </c>
      <c r="B6987" s="14">
        <v>7003029227</v>
      </c>
      <c r="C6987" s="14">
        <v>2</v>
      </c>
      <c r="D6987" s="184" t="s">
        <v>751</v>
      </c>
    </row>
    <row r="6988" spans="1:4" ht="12.5">
      <c r="A6988" s="15" t="s">
        <v>765</v>
      </c>
      <c r="B6988" s="14">
        <v>7003029429</v>
      </c>
      <c r="C6988" s="14">
        <v>10</v>
      </c>
      <c r="D6988" s="184" t="s">
        <v>758</v>
      </c>
    </row>
    <row r="6989" spans="1:4" ht="12.5">
      <c r="A6989" s="15" t="s">
        <v>765</v>
      </c>
      <c r="B6989" s="14">
        <v>7003029819</v>
      </c>
      <c r="C6989" s="14">
        <v>1</v>
      </c>
      <c r="D6989" s="184" t="s">
        <v>750</v>
      </c>
    </row>
    <row r="6990" spans="1:4" ht="12.5">
      <c r="A6990" s="15" t="s">
        <v>765</v>
      </c>
      <c r="B6990" s="14">
        <v>7003030170</v>
      </c>
      <c r="C6990" s="14">
        <v>1</v>
      </c>
      <c r="D6990" s="184" t="s">
        <v>750</v>
      </c>
    </row>
    <row r="6991" spans="1:4" ht="12.5">
      <c r="A6991" s="15" t="s">
        <v>765</v>
      </c>
      <c r="B6991" s="14">
        <v>7003030274</v>
      </c>
      <c r="C6991" s="14">
        <v>3</v>
      </c>
      <c r="D6991" s="184" t="s">
        <v>751</v>
      </c>
    </row>
    <row r="6992" spans="1:4" ht="12.5">
      <c r="A6992" s="15" t="s">
        <v>765</v>
      </c>
      <c r="B6992" s="14">
        <v>7003030485</v>
      </c>
      <c r="C6992" s="14">
        <v>14</v>
      </c>
      <c r="D6992" s="184" t="s">
        <v>759</v>
      </c>
    </row>
    <row r="6993" spans="1:4" ht="12.5">
      <c r="A6993" s="15" t="s">
        <v>765</v>
      </c>
      <c r="B6993" s="14">
        <v>7003030507</v>
      </c>
      <c r="C6993" s="14">
        <v>3</v>
      </c>
      <c r="D6993" s="184" t="s">
        <v>751</v>
      </c>
    </row>
    <row r="6994" spans="1:4" ht="12.5">
      <c r="A6994" s="15" t="s">
        <v>765</v>
      </c>
      <c r="B6994" s="14">
        <v>7003030548</v>
      </c>
      <c r="C6994" s="14">
        <v>38</v>
      </c>
      <c r="D6994" s="184" t="s">
        <v>759</v>
      </c>
    </row>
    <row r="6995" spans="1:4" ht="12.5">
      <c r="A6995" s="15" t="s">
        <v>765</v>
      </c>
      <c r="B6995" s="14">
        <v>7003030714</v>
      </c>
      <c r="C6995" s="14">
        <v>2</v>
      </c>
      <c r="D6995" s="184" t="s">
        <v>751</v>
      </c>
    </row>
    <row r="6996" spans="1:4" ht="12.5">
      <c r="A6996" s="15" t="s">
        <v>765</v>
      </c>
      <c r="B6996" s="14">
        <v>7003030733</v>
      </c>
      <c r="C6996" s="14">
        <v>11</v>
      </c>
      <c r="D6996" s="184" t="s">
        <v>759</v>
      </c>
    </row>
    <row r="6997" spans="1:4" ht="12.5">
      <c r="A6997" s="15" t="s">
        <v>765</v>
      </c>
      <c r="B6997" s="14">
        <v>7003031157</v>
      </c>
      <c r="C6997" s="14">
        <v>1</v>
      </c>
      <c r="D6997" s="184" t="s">
        <v>750</v>
      </c>
    </row>
    <row r="6998" spans="1:4" ht="12.5">
      <c r="A6998" s="15" t="s">
        <v>765</v>
      </c>
      <c r="B6998" s="14">
        <v>7003031218</v>
      </c>
      <c r="C6998" s="14">
        <v>2</v>
      </c>
      <c r="D6998" s="184" t="s">
        <v>751</v>
      </c>
    </row>
    <row r="6999" spans="1:4" ht="12.5">
      <c r="A6999" s="15" t="s">
        <v>765</v>
      </c>
      <c r="B6999" s="14">
        <v>7003031260</v>
      </c>
      <c r="C6999" s="14">
        <v>1</v>
      </c>
      <c r="D6999" s="184" t="s">
        <v>750</v>
      </c>
    </row>
    <row r="7000" spans="1:4" ht="12.5">
      <c r="A7000" s="15" t="s">
        <v>765</v>
      </c>
      <c r="B7000" s="14">
        <v>7003031510</v>
      </c>
      <c r="C7000" s="14">
        <v>216</v>
      </c>
      <c r="D7000" s="184" t="s">
        <v>759</v>
      </c>
    </row>
    <row r="7001" spans="1:4" ht="12.5">
      <c r="A7001" s="15" t="s">
        <v>765</v>
      </c>
      <c r="B7001" s="14">
        <v>7003031547</v>
      </c>
      <c r="C7001" s="14">
        <v>11</v>
      </c>
      <c r="D7001" s="184" t="s">
        <v>759</v>
      </c>
    </row>
    <row r="7002" spans="1:4" ht="12.5">
      <c r="A7002" s="15" t="s">
        <v>765</v>
      </c>
      <c r="B7002" s="14">
        <v>7003031653</v>
      </c>
      <c r="C7002" s="14">
        <v>7</v>
      </c>
      <c r="D7002" s="184" t="s">
        <v>758</v>
      </c>
    </row>
    <row r="7003" spans="1:4" ht="12.5">
      <c r="A7003" s="15" t="s">
        <v>765</v>
      </c>
      <c r="B7003" s="14">
        <v>7003032307</v>
      </c>
      <c r="C7003" s="14">
        <v>4</v>
      </c>
      <c r="D7003" s="184" t="s">
        <v>751</v>
      </c>
    </row>
    <row r="7004" spans="1:4" ht="12.5">
      <c r="A7004" s="15" t="s">
        <v>765</v>
      </c>
      <c r="B7004" s="14">
        <v>7003032435</v>
      </c>
      <c r="C7004" s="14">
        <v>4</v>
      </c>
      <c r="D7004" s="184" t="s">
        <v>751</v>
      </c>
    </row>
    <row r="7005" spans="1:4" ht="12.5">
      <c r="A7005" s="15" t="s">
        <v>765</v>
      </c>
      <c r="B7005" s="14">
        <v>7003032461</v>
      </c>
      <c r="C7005" s="14">
        <v>2</v>
      </c>
      <c r="D7005" s="184" t="s">
        <v>751</v>
      </c>
    </row>
    <row r="7006" spans="1:4" ht="12.5">
      <c r="A7006" s="15" t="s">
        <v>765</v>
      </c>
      <c r="B7006" s="14">
        <v>7003032668</v>
      </c>
      <c r="C7006" s="14">
        <v>1</v>
      </c>
      <c r="D7006" s="184" t="s">
        <v>750</v>
      </c>
    </row>
    <row r="7007" spans="1:4" ht="12.5">
      <c r="A7007" s="15" t="s">
        <v>765</v>
      </c>
      <c r="B7007" s="14">
        <v>7003032731</v>
      </c>
      <c r="C7007" s="14">
        <v>3</v>
      </c>
      <c r="D7007" s="184" t="s">
        <v>751</v>
      </c>
    </row>
    <row r="7008" spans="1:4" ht="12.5">
      <c r="A7008" s="15" t="s">
        <v>765</v>
      </c>
      <c r="B7008" s="14">
        <v>7003033049</v>
      </c>
      <c r="C7008" s="14">
        <v>2</v>
      </c>
      <c r="D7008" s="184" t="s">
        <v>751</v>
      </c>
    </row>
    <row r="7009" spans="1:4" ht="12.5">
      <c r="A7009" s="15" t="s">
        <v>765</v>
      </c>
      <c r="B7009" s="14">
        <v>7003033077</v>
      </c>
      <c r="C7009" s="14">
        <v>1</v>
      </c>
      <c r="D7009" s="184" t="s">
        <v>750</v>
      </c>
    </row>
    <row r="7010" spans="1:4" ht="12.5">
      <c r="A7010" s="15" t="s">
        <v>765</v>
      </c>
      <c r="B7010" s="14">
        <v>7003033140</v>
      </c>
      <c r="C7010" s="14">
        <v>3</v>
      </c>
      <c r="D7010" s="184" t="s">
        <v>751</v>
      </c>
    </row>
    <row r="7011" spans="1:4" ht="12.5">
      <c r="A7011" s="15" t="s">
        <v>765</v>
      </c>
      <c r="B7011" s="14">
        <v>7003033460</v>
      </c>
      <c r="C7011" s="14">
        <v>1</v>
      </c>
      <c r="D7011" s="184" t="s">
        <v>750</v>
      </c>
    </row>
    <row r="7012" spans="1:4" ht="12.5">
      <c r="A7012" s="15" t="s">
        <v>765</v>
      </c>
      <c r="B7012" s="14">
        <v>7003033509</v>
      </c>
      <c r="C7012" s="14">
        <v>7</v>
      </c>
      <c r="D7012" s="184" t="s">
        <v>758</v>
      </c>
    </row>
    <row r="7013" spans="1:4" ht="12.5">
      <c r="A7013" s="15" t="s">
        <v>765</v>
      </c>
      <c r="B7013" s="14">
        <v>7003033622</v>
      </c>
      <c r="C7013" s="14">
        <v>3</v>
      </c>
      <c r="D7013" s="184" t="s">
        <v>751</v>
      </c>
    </row>
    <row r="7014" spans="1:4" ht="12.5">
      <c r="A7014" s="15" t="s">
        <v>765</v>
      </c>
      <c r="B7014" s="14">
        <v>7003033646</v>
      </c>
      <c r="C7014" s="14">
        <v>2</v>
      </c>
      <c r="D7014" s="184" t="s">
        <v>751</v>
      </c>
    </row>
    <row r="7015" spans="1:4" ht="12.5">
      <c r="A7015" s="15" t="s">
        <v>765</v>
      </c>
      <c r="B7015" s="14">
        <v>7003033667</v>
      </c>
      <c r="C7015" s="14">
        <v>7</v>
      </c>
      <c r="D7015" s="184" t="s">
        <v>758</v>
      </c>
    </row>
    <row r="7016" spans="1:4" ht="12.5">
      <c r="A7016" s="15" t="s">
        <v>765</v>
      </c>
      <c r="B7016" s="14">
        <v>7003033679</v>
      </c>
      <c r="C7016" s="14">
        <v>3</v>
      </c>
      <c r="D7016" s="184" t="s">
        <v>751</v>
      </c>
    </row>
    <row r="7017" spans="1:4" ht="12.5">
      <c r="A7017" s="15" t="s">
        <v>765</v>
      </c>
      <c r="B7017" s="14">
        <v>7003033698</v>
      </c>
      <c r="C7017" s="14">
        <v>1</v>
      </c>
      <c r="D7017" s="184" t="s">
        <v>750</v>
      </c>
    </row>
    <row r="7018" spans="1:4" ht="12.5">
      <c r="A7018" s="15" t="s">
        <v>765</v>
      </c>
      <c r="B7018" s="14">
        <v>7003034137</v>
      </c>
      <c r="C7018" s="14">
        <v>4</v>
      </c>
      <c r="D7018" s="184" t="s">
        <v>751</v>
      </c>
    </row>
    <row r="7019" spans="1:4" ht="12.5">
      <c r="A7019" s="15" t="s">
        <v>765</v>
      </c>
      <c r="B7019" s="14">
        <v>7003034243</v>
      </c>
      <c r="C7019" s="14">
        <v>16</v>
      </c>
      <c r="D7019" s="184" t="s">
        <v>759</v>
      </c>
    </row>
    <row r="7020" spans="1:4" ht="12.5">
      <c r="A7020" s="15" t="s">
        <v>765</v>
      </c>
      <c r="B7020" s="14">
        <v>7003034380</v>
      </c>
      <c r="C7020" s="14">
        <v>1</v>
      </c>
      <c r="D7020" s="184" t="s">
        <v>750</v>
      </c>
    </row>
    <row r="7021" spans="1:4" ht="12.5">
      <c r="A7021" s="15" t="s">
        <v>765</v>
      </c>
      <c r="B7021" s="14">
        <v>7003034438</v>
      </c>
      <c r="C7021" s="14">
        <v>13</v>
      </c>
      <c r="D7021" s="184" t="s">
        <v>759</v>
      </c>
    </row>
    <row r="7022" spans="1:4" ht="12.5">
      <c r="A7022" s="15" t="s">
        <v>765</v>
      </c>
      <c r="B7022" s="14">
        <v>7003034508</v>
      </c>
      <c r="C7022" s="14">
        <v>1</v>
      </c>
      <c r="D7022" s="184" t="s">
        <v>750</v>
      </c>
    </row>
    <row r="7023" spans="1:4" ht="12.5">
      <c r="A7023" s="15" t="s">
        <v>765</v>
      </c>
      <c r="B7023" s="14">
        <v>7003034520</v>
      </c>
      <c r="C7023" s="14">
        <v>1</v>
      </c>
      <c r="D7023" s="184" t="s">
        <v>750</v>
      </c>
    </row>
    <row r="7024" spans="1:4" ht="12.5">
      <c r="A7024" s="15" t="s">
        <v>765</v>
      </c>
      <c r="B7024" s="14">
        <v>7003034531</v>
      </c>
      <c r="C7024" s="14">
        <v>2</v>
      </c>
      <c r="D7024" s="184" t="s">
        <v>751</v>
      </c>
    </row>
    <row r="7025" spans="1:4" ht="12.5">
      <c r="A7025" s="15" t="s">
        <v>765</v>
      </c>
      <c r="B7025" s="14">
        <v>7003034666</v>
      </c>
      <c r="C7025" s="14">
        <v>50</v>
      </c>
      <c r="D7025" s="184" t="s">
        <v>759</v>
      </c>
    </row>
    <row r="7026" spans="1:4" ht="12.5">
      <c r="A7026" s="15" t="s">
        <v>765</v>
      </c>
      <c r="B7026" s="14">
        <v>7003035535</v>
      </c>
      <c r="C7026" s="14">
        <v>1</v>
      </c>
      <c r="D7026" s="184" t="s">
        <v>750</v>
      </c>
    </row>
    <row r="7027" spans="1:4" ht="12.5">
      <c r="A7027" s="15" t="s">
        <v>765</v>
      </c>
      <c r="B7027" s="14">
        <v>7003035716</v>
      </c>
      <c r="C7027" s="14">
        <v>1</v>
      </c>
      <c r="D7027" s="184" t="s">
        <v>750</v>
      </c>
    </row>
    <row r="7028" spans="1:4" ht="12.5">
      <c r="A7028" s="15" t="s">
        <v>765</v>
      </c>
      <c r="B7028" s="14">
        <v>7003036182</v>
      </c>
      <c r="C7028" s="14">
        <v>9</v>
      </c>
      <c r="D7028" s="184" t="s">
        <v>758</v>
      </c>
    </row>
    <row r="7029" spans="1:4" ht="12.5">
      <c r="A7029" s="15" t="s">
        <v>765</v>
      </c>
      <c r="B7029" s="14">
        <v>7003036249</v>
      </c>
      <c r="C7029" s="14">
        <v>2</v>
      </c>
      <c r="D7029" s="184" t="s">
        <v>751</v>
      </c>
    </row>
    <row r="7030" spans="1:4" ht="12.5">
      <c r="A7030" s="15" t="s">
        <v>765</v>
      </c>
      <c r="B7030" s="14">
        <v>7003036619</v>
      </c>
      <c r="C7030" s="14">
        <v>3</v>
      </c>
      <c r="D7030" s="184" t="s">
        <v>751</v>
      </c>
    </row>
    <row r="7031" spans="1:4" ht="12.5">
      <c r="A7031" s="15" t="s">
        <v>765</v>
      </c>
      <c r="B7031" s="14">
        <v>7003036738</v>
      </c>
      <c r="C7031" s="14">
        <v>1</v>
      </c>
      <c r="D7031" s="184" t="s">
        <v>750</v>
      </c>
    </row>
    <row r="7032" spans="1:4" ht="12.5">
      <c r="A7032" s="15" t="s">
        <v>765</v>
      </c>
      <c r="B7032" s="14">
        <v>7003037335</v>
      </c>
      <c r="C7032" s="14">
        <v>1</v>
      </c>
      <c r="D7032" s="184" t="s">
        <v>750</v>
      </c>
    </row>
    <row r="7033" spans="1:4" ht="12.5">
      <c r="A7033" s="15" t="s">
        <v>765</v>
      </c>
      <c r="B7033" s="14">
        <v>7003037482</v>
      </c>
      <c r="C7033" s="14">
        <v>1</v>
      </c>
      <c r="D7033" s="184" t="s">
        <v>750</v>
      </c>
    </row>
    <row r="7034" spans="1:4" ht="12.5">
      <c r="A7034" s="15" t="s">
        <v>765</v>
      </c>
      <c r="B7034" s="14">
        <v>7003037537</v>
      </c>
      <c r="C7034" s="14">
        <v>1</v>
      </c>
      <c r="D7034" s="184" t="s">
        <v>750</v>
      </c>
    </row>
    <row r="7035" spans="1:4" ht="12.5">
      <c r="A7035" s="15" t="s">
        <v>765</v>
      </c>
      <c r="B7035" s="14">
        <v>7003037689</v>
      </c>
      <c r="C7035" s="14">
        <v>2</v>
      </c>
      <c r="D7035" s="184" t="s">
        <v>751</v>
      </c>
    </row>
    <row r="7036" spans="1:4" ht="12.5">
      <c r="A7036" s="15" t="s">
        <v>765</v>
      </c>
      <c r="B7036" s="14">
        <v>7003037691</v>
      </c>
      <c r="C7036" s="14">
        <v>1</v>
      </c>
      <c r="D7036" s="184" t="s">
        <v>750</v>
      </c>
    </row>
    <row r="7037" spans="1:4" ht="12.5">
      <c r="A7037" s="15" t="s">
        <v>765</v>
      </c>
      <c r="B7037" s="14">
        <v>7003038025</v>
      </c>
      <c r="C7037" s="14">
        <v>3</v>
      </c>
      <c r="D7037" s="184" t="s">
        <v>751</v>
      </c>
    </row>
    <row r="7038" spans="1:4" ht="12.5">
      <c r="A7038" s="15" t="s">
        <v>765</v>
      </c>
      <c r="B7038" s="14">
        <v>7003038113</v>
      </c>
      <c r="C7038" s="14">
        <v>1</v>
      </c>
      <c r="D7038" s="184" t="s">
        <v>750</v>
      </c>
    </row>
    <row r="7039" spans="1:4" ht="12.5">
      <c r="A7039" s="15" t="s">
        <v>765</v>
      </c>
      <c r="B7039" s="14">
        <v>7003038517</v>
      </c>
      <c r="C7039" s="14">
        <v>362</v>
      </c>
      <c r="D7039" s="184" t="s">
        <v>759</v>
      </c>
    </row>
    <row r="7040" spans="1:4" ht="12.5">
      <c r="A7040" s="15" t="s">
        <v>765</v>
      </c>
      <c r="B7040" s="14">
        <v>7003038703</v>
      </c>
      <c r="C7040" s="14">
        <v>3</v>
      </c>
      <c r="D7040" s="184" t="s">
        <v>751</v>
      </c>
    </row>
    <row r="7041" spans="1:4" ht="12.5">
      <c r="A7041" s="15" t="s">
        <v>765</v>
      </c>
      <c r="B7041" s="14">
        <v>7003038726</v>
      </c>
      <c r="C7041" s="14">
        <v>1</v>
      </c>
      <c r="D7041" s="184" t="s">
        <v>750</v>
      </c>
    </row>
    <row r="7042" spans="1:4" ht="12.5">
      <c r="A7042" s="15" t="s">
        <v>765</v>
      </c>
      <c r="B7042" s="14">
        <v>7003038735</v>
      </c>
      <c r="C7042" s="14">
        <v>5</v>
      </c>
      <c r="D7042" s="184" t="s">
        <v>751</v>
      </c>
    </row>
    <row r="7043" spans="1:4" ht="12.5">
      <c r="A7043" s="15" t="s">
        <v>765</v>
      </c>
      <c r="B7043" s="14">
        <v>7003039088</v>
      </c>
      <c r="C7043" s="14">
        <v>3</v>
      </c>
      <c r="D7043" s="184" t="s">
        <v>751</v>
      </c>
    </row>
    <row r="7044" spans="1:4" ht="12.5">
      <c r="A7044" s="15" t="s">
        <v>765</v>
      </c>
      <c r="B7044" s="14">
        <v>7003039299</v>
      </c>
      <c r="C7044" s="14">
        <v>1</v>
      </c>
      <c r="D7044" s="184" t="s">
        <v>750</v>
      </c>
    </row>
    <row r="7045" spans="1:4" ht="12.5">
      <c r="A7045" s="15" t="s">
        <v>765</v>
      </c>
      <c r="B7045" s="14">
        <v>7003039344</v>
      </c>
      <c r="C7045" s="14">
        <v>2</v>
      </c>
      <c r="D7045" s="184" t="s">
        <v>751</v>
      </c>
    </row>
    <row r="7046" spans="1:4" ht="12.5">
      <c r="A7046" s="15" t="s">
        <v>765</v>
      </c>
      <c r="B7046" s="14">
        <v>7003039432</v>
      </c>
      <c r="C7046" s="14">
        <v>2</v>
      </c>
      <c r="D7046" s="184" t="s">
        <v>751</v>
      </c>
    </row>
    <row r="7047" spans="1:4" ht="12.5">
      <c r="A7047" s="15" t="s">
        <v>765</v>
      </c>
      <c r="B7047" s="14">
        <v>7003039518</v>
      </c>
      <c r="C7047" s="14">
        <v>10</v>
      </c>
      <c r="D7047" s="184" t="s">
        <v>758</v>
      </c>
    </row>
    <row r="7048" spans="1:4" ht="12.5">
      <c r="A7048" s="15" t="s">
        <v>765</v>
      </c>
      <c r="B7048" s="14">
        <v>7003039640</v>
      </c>
      <c r="C7048" s="14">
        <v>1</v>
      </c>
      <c r="D7048" s="184" t="s">
        <v>750</v>
      </c>
    </row>
    <row r="7049" spans="1:4" ht="12.5">
      <c r="A7049" s="15" t="s">
        <v>765</v>
      </c>
      <c r="B7049" s="14">
        <v>7003039664</v>
      </c>
      <c r="C7049" s="14">
        <v>2</v>
      </c>
      <c r="D7049" s="184" t="s">
        <v>751</v>
      </c>
    </row>
    <row r="7050" spans="1:4" ht="12.5">
      <c r="A7050" s="15" t="s">
        <v>765</v>
      </c>
      <c r="B7050" s="14">
        <v>7003039727</v>
      </c>
      <c r="C7050" s="14">
        <v>1</v>
      </c>
      <c r="D7050" s="184" t="s">
        <v>750</v>
      </c>
    </row>
    <row r="7051" spans="1:4" ht="12.5">
      <c r="A7051" s="195"/>
      <c r="B7051" s="194"/>
      <c r="C7051" s="194"/>
      <c r="D7051" s="192"/>
    </row>
    <row r="7052" spans="1:4" ht="12.5">
      <c r="A7052" s="195"/>
      <c r="B7052" s="194"/>
      <c r="C7052" s="194"/>
      <c r="D7052" s="192"/>
    </row>
    <row r="7053" spans="1:4" ht="12.5">
      <c r="A7053" s="195"/>
      <c r="B7053" s="194"/>
      <c r="C7053" s="194"/>
      <c r="D7053" s="192"/>
    </row>
    <row r="7054" spans="1:4" ht="12.5">
      <c r="A7054" s="195"/>
      <c r="B7054" s="194"/>
      <c r="C7054" s="194"/>
      <c r="D7054" s="192"/>
    </row>
    <row r="7055" spans="1:4" ht="12.5">
      <c r="A7055" s="195"/>
      <c r="B7055" s="194"/>
      <c r="C7055" s="194"/>
      <c r="D7055" s="192"/>
    </row>
    <row r="7056" spans="1:4" ht="12.5">
      <c r="A7056" s="195"/>
      <c r="B7056" s="194"/>
      <c r="C7056" s="194"/>
      <c r="D7056" s="192"/>
    </row>
    <row r="7057" spans="1:4" ht="12.5">
      <c r="A7057" s="195"/>
      <c r="B7057" s="194"/>
      <c r="C7057" s="194"/>
      <c r="D7057" s="192"/>
    </row>
    <row r="7058" spans="1:4" ht="12.5">
      <c r="A7058" s="195"/>
      <c r="B7058" s="194"/>
      <c r="C7058" s="194"/>
      <c r="D7058" s="192"/>
    </row>
    <row r="7059" spans="1:4" ht="12.5">
      <c r="A7059" s="195"/>
      <c r="B7059" s="194"/>
      <c r="C7059" s="194"/>
      <c r="D7059" s="192"/>
    </row>
    <row r="7060" spans="1:4" ht="12.5">
      <c r="A7060" s="195"/>
      <c r="B7060" s="194"/>
      <c r="C7060" s="194"/>
      <c r="D7060" s="192"/>
    </row>
    <row r="7061" spans="1:4" ht="12.5">
      <c r="A7061" s="195"/>
      <c r="B7061" s="194"/>
      <c r="C7061" s="194"/>
      <c r="D7061" s="192"/>
    </row>
    <row r="7062" spans="1:4" ht="12.5">
      <c r="A7062" s="195"/>
      <c r="B7062" s="194"/>
      <c r="C7062" s="194"/>
      <c r="D7062" s="192"/>
    </row>
    <row r="7063" spans="1:4" ht="12.5">
      <c r="A7063" s="195"/>
      <c r="B7063" s="194"/>
      <c r="C7063" s="194"/>
      <c r="D7063" s="192"/>
    </row>
    <row r="7064" spans="1:4" ht="12.5">
      <c r="A7064" s="195"/>
      <c r="B7064" s="194"/>
      <c r="C7064" s="194"/>
      <c r="D7064" s="192"/>
    </row>
    <row r="7065" spans="1:4" ht="12.5">
      <c r="A7065" s="195"/>
      <c r="B7065" s="194"/>
      <c r="C7065" s="194"/>
      <c r="D7065" s="192"/>
    </row>
    <row r="7066" spans="1:4" ht="12.5">
      <c r="A7066" s="195"/>
      <c r="B7066" s="194"/>
      <c r="C7066" s="194"/>
      <c r="D7066" s="192"/>
    </row>
    <row r="7067" spans="1:4" ht="12.5">
      <c r="A7067" s="195"/>
      <c r="B7067" s="194"/>
      <c r="C7067" s="194"/>
      <c r="D7067" s="192"/>
    </row>
    <row r="7068" spans="1:4" ht="12.5">
      <c r="A7068" s="195"/>
      <c r="B7068" s="194"/>
      <c r="C7068" s="194"/>
      <c r="D7068" s="192"/>
    </row>
    <row r="7069" spans="1:4" ht="12.5">
      <c r="A7069" s="195"/>
      <c r="B7069" s="194"/>
      <c r="C7069" s="194"/>
      <c r="D7069" s="192"/>
    </row>
    <row r="7070" spans="1:4" ht="12.5">
      <c r="A7070" s="195"/>
      <c r="B7070" s="194"/>
      <c r="C7070" s="194"/>
      <c r="D7070" s="192"/>
    </row>
    <row r="7071" spans="1:4" ht="12.5">
      <c r="A7071" s="195"/>
      <c r="B7071" s="194"/>
      <c r="C7071" s="194"/>
      <c r="D7071" s="192"/>
    </row>
    <row r="7072" spans="1:4" ht="12.5">
      <c r="A7072" s="195"/>
      <c r="B7072" s="194"/>
      <c r="C7072" s="194"/>
      <c r="D7072" s="192"/>
    </row>
    <row r="7073" spans="1:4" ht="12.5">
      <c r="A7073" s="195"/>
      <c r="B7073" s="194"/>
      <c r="C7073" s="194"/>
      <c r="D7073" s="192"/>
    </row>
    <row r="7074" spans="1:4" ht="12.5">
      <c r="A7074" s="195"/>
      <c r="B7074" s="194"/>
      <c r="C7074" s="194"/>
      <c r="D7074" s="192"/>
    </row>
    <row r="7075" spans="1:4" ht="12.5">
      <c r="A7075" s="195"/>
      <c r="B7075" s="194"/>
      <c r="C7075" s="194"/>
      <c r="D7075" s="192"/>
    </row>
    <row r="7076" spans="1:4" ht="12.5">
      <c r="A7076" s="195"/>
      <c r="B7076" s="194"/>
      <c r="C7076" s="194"/>
      <c r="D7076" s="192"/>
    </row>
    <row r="7077" spans="1:4" ht="12.5">
      <c r="A7077" s="195"/>
      <c r="B7077" s="194"/>
      <c r="C7077" s="194"/>
      <c r="D7077" s="192"/>
    </row>
    <row r="7078" spans="1:4" ht="12.5">
      <c r="A7078" s="195"/>
      <c r="B7078" s="194"/>
      <c r="C7078" s="194"/>
      <c r="D7078" s="192"/>
    </row>
    <row r="7079" spans="1:4" ht="12.5">
      <c r="A7079" s="195"/>
      <c r="B7079" s="194"/>
      <c r="C7079" s="194"/>
      <c r="D7079" s="192"/>
    </row>
    <row r="7080" spans="1:4" ht="12.5">
      <c r="A7080" s="195"/>
      <c r="B7080" s="194"/>
      <c r="C7080" s="194"/>
      <c r="D7080" s="192"/>
    </row>
    <row r="7081" spans="1:4" ht="12.5">
      <c r="A7081" s="195"/>
      <c r="B7081" s="194"/>
      <c r="C7081" s="194"/>
      <c r="D7081" s="192"/>
    </row>
    <row r="7082" spans="1:4" ht="12.5">
      <c r="A7082" s="195"/>
      <c r="B7082" s="194"/>
      <c r="C7082" s="194"/>
      <c r="D7082" s="192"/>
    </row>
    <row r="7083" spans="1:4" ht="12.5">
      <c r="A7083" s="195"/>
      <c r="B7083" s="194"/>
      <c r="C7083" s="194"/>
      <c r="D7083" s="192"/>
    </row>
    <row r="7084" spans="1:4" ht="12.5">
      <c r="A7084" s="195"/>
      <c r="B7084" s="194"/>
      <c r="C7084" s="194"/>
      <c r="D7084" s="192"/>
    </row>
    <row r="7085" spans="1:4" ht="12.5">
      <c r="A7085" s="195"/>
      <c r="B7085" s="194"/>
      <c r="C7085" s="194"/>
      <c r="D7085" s="192"/>
    </row>
    <row r="7086" spans="1:4" ht="12.5">
      <c r="A7086" s="195"/>
      <c r="B7086" s="194"/>
      <c r="C7086" s="194"/>
      <c r="D7086" s="192"/>
    </row>
    <row r="7087" spans="1:4" ht="12.5">
      <c r="A7087" s="195"/>
      <c r="B7087" s="194"/>
      <c r="C7087" s="194"/>
      <c r="D7087" s="192"/>
    </row>
    <row r="7088" spans="1:4" ht="12.5">
      <c r="A7088" s="195"/>
      <c r="B7088" s="194"/>
      <c r="C7088" s="194"/>
      <c r="D7088" s="192"/>
    </row>
    <row r="7089" spans="1:4" ht="12.5">
      <c r="A7089" s="195"/>
      <c r="B7089" s="194"/>
      <c r="C7089" s="194"/>
      <c r="D7089" s="192"/>
    </row>
    <row r="7090" spans="1:4" ht="12.5">
      <c r="A7090" s="195"/>
      <c r="B7090" s="194"/>
      <c r="C7090" s="194"/>
      <c r="D7090" s="192"/>
    </row>
    <row r="7091" spans="1:4" ht="12.5">
      <c r="A7091" s="195"/>
      <c r="B7091" s="194"/>
      <c r="C7091" s="194"/>
      <c r="D7091" s="192"/>
    </row>
    <row r="7092" spans="1:4" ht="12.5">
      <c r="A7092" s="195"/>
      <c r="B7092" s="194"/>
      <c r="C7092" s="194"/>
      <c r="D7092" s="192"/>
    </row>
    <row r="7093" spans="1:4" ht="12.5">
      <c r="A7093" s="195"/>
      <c r="B7093" s="194"/>
      <c r="C7093" s="194"/>
      <c r="D7093" s="192"/>
    </row>
    <row r="7094" spans="1:4" ht="12.5">
      <c r="A7094" s="195"/>
      <c r="B7094" s="194"/>
      <c r="C7094" s="194"/>
      <c r="D7094" s="192"/>
    </row>
    <row r="7095" spans="1:4" ht="12.5">
      <c r="A7095" s="195"/>
      <c r="B7095" s="194"/>
      <c r="C7095" s="194"/>
      <c r="D7095" s="192"/>
    </row>
    <row r="7096" spans="1:4" ht="12.5">
      <c r="A7096" s="195"/>
      <c r="B7096" s="194"/>
      <c r="C7096" s="194"/>
      <c r="D7096" s="192"/>
    </row>
    <row r="7097" spans="1:4" ht="12.5">
      <c r="A7097" s="195"/>
      <c r="B7097" s="194"/>
      <c r="C7097" s="194"/>
      <c r="D7097" s="192"/>
    </row>
    <row r="7098" spans="1:4" ht="12.5">
      <c r="A7098" s="195"/>
      <c r="B7098" s="194"/>
      <c r="C7098" s="194"/>
      <c r="D7098" s="192"/>
    </row>
    <row r="7099" spans="1:4" ht="12.5">
      <c r="A7099" s="195"/>
      <c r="B7099" s="194"/>
      <c r="C7099" s="194"/>
      <c r="D7099" s="192"/>
    </row>
    <row r="7100" spans="1:4" ht="12.5">
      <c r="A7100" s="195"/>
      <c r="B7100" s="194"/>
      <c r="C7100" s="194"/>
      <c r="D7100" s="192"/>
    </row>
    <row r="7101" spans="1:4" ht="12.5">
      <c r="A7101" s="195"/>
      <c r="B7101" s="194"/>
      <c r="C7101" s="194"/>
      <c r="D7101" s="192"/>
    </row>
    <row r="7102" spans="1:4" ht="12.5">
      <c r="A7102" s="195"/>
      <c r="B7102" s="194"/>
      <c r="C7102" s="194"/>
      <c r="D7102" s="192"/>
    </row>
    <row r="7103" spans="1:4" ht="12.5">
      <c r="A7103" s="195"/>
      <c r="B7103" s="194"/>
      <c r="C7103" s="194"/>
      <c r="D7103" s="192"/>
    </row>
    <row r="7104" spans="1:4" ht="12.5">
      <c r="A7104" s="195"/>
      <c r="B7104" s="194"/>
      <c r="C7104" s="194"/>
      <c r="D7104" s="192"/>
    </row>
    <row r="7105" spans="1:4" ht="12.5">
      <c r="A7105" s="195"/>
      <c r="B7105" s="194"/>
      <c r="C7105" s="194"/>
      <c r="D7105" s="192"/>
    </row>
    <row r="7106" spans="1:4" ht="12.5">
      <c r="A7106" s="195"/>
      <c r="B7106" s="194"/>
      <c r="C7106" s="194"/>
      <c r="D7106" s="192"/>
    </row>
    <row r="7107" spans="1:4" ht="12.5">
      <c r="A7107" s="195"/>
      <c r="B7107" s="194"/>
      <c r="C7107" s="194"/>
      <c r="D7107" s="192"/>
    </row>
    <row r="7108" spans="1:4" ht="12.5">
      <c r="A7108" s="195"/>
      <c r="B7108" s="194"/>
      <c r="C7108" s="194"/>
      <c r="D7108" s="192"/>
    </row>
    <row r="7109" spans="1:4" ht="12.5">
      <c r="A7109" s="195"/>
      <c r="B7109" s="194"/>
      <c r="C7109" s="194"/>
      <c r="D7109" s="192"/>
    </row>
    <row r="7110" spans="1:4" ht="12.5">
      <c r="A7110" s="195"/>
      <c r="B7110" s="194"/>
      <c r="C7110" s="194"/>
      <c r="D7110" s="192"/>
    </row>
    <row r="7111" spans="1:4" ht="12.5">
      <c r="A7111" s="195"/>
      <c r="B7111" s="194"/>
      <c r="C7111" s="194"/>
      <c r="D7111" s="192"/>
    </row>
    <row r="7112" spans="1:4" ht="12.5">
      <c r="A7112" s="195"/>
      <c r="B7112" s="194"/>
      <c r="C7112" s="194"/>
      <c r="D7112" s="192"/>
    </row>
    <row r="7113" spans="1:4" ht="12.5">
      <c r="A7113" s="195"/>
      <c r="B7113" s="194"/>
      <c r="C7113" s="194"/>
      <c r="D7113" s="192"/>
    </row>
    <row r="7114" spans="1:4" ht="12.5">
      <c r="A7114" s="195"/>
      <c r="B7114" s="194"/>
      <c r="C7114" s="194"/>
      <c r="D7114" s="192"/>
    </row>
    <row r="7115" spans="1:4" ht="12.5">
      <c r="A7115" s="195"/>
      <c r="B7115" s="194"/>
      <c r="C7115" s="194"/>
      <c r="D7115" s="192"/>
    </row>
    <row r="7116" spans="1:4" ht="12.5">
      <c r="A7116" s="195"/>
      <c r="B7116" s="194"/>
      <c r="C7116" s="194"/>
      <c r="D7116" s="192"/>
    </row>
    <row r="7117" spans="1:4" ht="12.5">
      <c r="A7117" s="195"/>
      <c r="B7117" s="194"/>
      <c r="C7117" s="194"/>
      <c r="D7117" s="192"/>
    </row>
    <row r="7118" spans="1:4" ht="12.5">
      <c r="A7118" s="195"/>
      <c r="B7118" s="194"/>
      <c r="C7118" s="194"/>
      <c r="D7118" s="192"/>
    </row>
    <row r="7119" spans="1:4" ht="12.5">
      <c r="A7119" s="195"/>
      <c r="B7119" s="194"/>
      <c r="C7119" s="194"/>
      <c r="D7119" s="192"/>
    </row>
    <row r="7120" spans="1:4" ht="12.5">
      <c r="A7120" s="195"/>
      <c r="B7120" s="194"/>
      <c r="C7120" s="194"/>
      <c r="D7120" s="192"/>
    </row>
    <row r="7121" spans="1:4" ht="12.5">
      <c r="A7121" s="195"/>
      <c r="B7121" s="194"/>
      <c r="C7121" s="194"/>
      <c r="D7121" s="192"/>
    </row>
    <row r="7122" spans="1:4" ht="12.5">
      <c r="A7122" s="195"/>
      <c r="B7122" s="194"/>
      <c r="C7122" s="194"/>
      <c r="D7122" s="192"/>
    </row>
    <row r="7123" spans="1:4" ht="12.5">
      <c r="A7123" s="195"/>
      <c r="B7123" s="194"/>
      <c r="C7123" s="194"/>
      <c r="D7123" s="192"/>
    </row>
    <row r="7124" spans="1:4" ht="12.5">
      <c r="A7124" s="195"/>
      <c r="B7124" s="194"/>
      <c r="C7124" s="194"/>
      <c r="D7124" s="192"/>
    </row>
    <row r="7125" spans="1:4" ht="12.5">
      <c r="A7125" s="195"/>
      <c r="B7125" s="194"/>
      <c r="C7125" s="194"/>
      <c r="D7125" s="192"/>
    </row>
    <row r="7126" spans="1:4" ht="12.5">
      <c r="A7126" s="195"/>
      <c r="B7126" s="194"/>
      <c r="C7126" s="194"/>
      <c r="D7126" s="192"/>
    </row>
    <row r="7127" spans="1:4" ht="12.5">
      <c r="A7127" s="195"/>
      <c r="B7127" s="194"/>
      <c r="C7127" s="194"/>
      <c r="D7127" s="192"/>
    </row>
    <row r="7128" spans="1:4" ht="12.5">
      <c r="A7128" s="195"/>
      <c r="B7128" s="194"/>
      <c r="C7128" s="194"/>
      <c r="D7128" s="192"/>
    </row>
    <row r="7129" spans="1:4" ht="12.5">
      <c r="A7129" s="195"/>
      <c r="B7129" s="194"/>
      <c r="C7129" s="194"/>
      <c r="D7129" s="192"/>
    </row>
    <row r="7130" spans="1:4" ht="12.5">
      <c r="A7130" s="195"/>
      <c r="B7130" s="194"/>
      <c r="C7130" s="194"/>
      <c r="D7130" s="192"/>
    </row>
    <row r="7131" spans="1:4" ht="12.5">
      <c r="A7131" s="195"/>
      <c r="B7131" s="194"/>
      <c r="C7131" s="194"/>
      <c r="D7131" s="192"/>
    </row>
    <row r="7132" spans="1:4" ht="12.5">
      <c r="A7132" s="195"/>
      <c r="B7132" s="194"/>
      <c r="C7132" s="194"/>
      <c r="D7132" s="192"/>
    </row>
    <row r="7133" spans="1:4" ht="12.5">
      <c r="A7133" s="195"/>
      <c r="B7133" s="194"/>
      <c r="C7133" s="194"/>
      <c r="D7133" s="192"/>
    </row>
    <row r="7134" spans="1:4" ht="12.5">
      <c r="A7134" s="195"/>
      <c r="B7134" s="194"/>
      <c r="C7134" s="194"/>
      <c r="D7134" s="192"/>
    </row>
    <row r="7135" spans="1:4" ht="12.5">
      <c r="A7135" s="195"/>
      <c r="B7135" s="194"/>
      <c r="C7135" s="194"/>
      <c r="D7135" s="192"/>
    </row>
    <row r="7136" spans="1:4" ht="12.5">
      <c r="A7136" s="195"/>
      <c r="B7136" s="194"/>
      <c r="C7136" s="194"/>
      <c r="D7136" s="192"/>
    </row>
    <row r="7137" spans="1:4" ht="12.5">
      <c r="A7137" s="195"/>
      <c r="B7137" s="194"/>
      <c r="C7137" s="194"/>
      <c r="D7137" s="192"/>
    </row>
    <row r="7138" spans="1:4" ht="12.5">
      <c r="A7138" s="195"/>
      <c r="B7138" s="194"/>
      <c r="C7138" s="194"/>
      <c r="D7138" s="192"/>
    </row>
    <row r="7139" spans="1:4" ht="12.5">
      <c r="A7139" s="195"/>
      <c r="B7139" s="194"/>
      <c r="C7139" s="194"/>
      <c r="D7139" s="192"/>
    </row>
    <row r="7140" spans="1:4" ht="12.5">
      <c r="A7140" s="195"/>
      <c r="B7140" s="194"/>
      <c r="C7140" s="194"/>
      <c r="D7140" s="192"/>
    </row>
    <row r="7141" spans="1:4" ht="12.5">
      <c r="A7141" s="195"/>
      <c r="B7141" s="194"/>
      <c r="C7141" s="194"/>
      <c r="D7141" s="192"/>
    </row>
    <row r="7142" spans="1:4" ht="12.5">
      <c r="A7142" s="195"/>
      <c r="B7142" s="194"/>
      <c r="C7142" s="194"/>
      <c r="D7142" s="192"/>
    </row>
    <row r="7143" spans="1:4" ht="12.5">
      <c r="A7143" s="195"/>
      <c r="B7143" s="194"/>
      <c r="C7143" s="194"/>
      <c r="D7143" s="192"/>
    </row>
    <row r="7144" spans="1:4" ht="12.5">
      <c r="A7144" s="195"/>
      <c r="B7144" s="194"/>
      <c r="C7144" s="194"/>
      <c r="D7144" s="192"/>
    </row>
    <row r="7145" spans="1:4" ht="12.5">
      <c r="A7145" s="195"/>
      <c r="B7145" s="194"/>
      <c r="C7145" s="194"/>
      <c r="D7145" s="192"/>
    </row>
    <row r="7146" spans="1:4" ht="12.5">
      <c r="A7146" s="195"/>
      <c r="B7146" s="194"/>
      <c r="C7146" s="194"/>
      <c r="D7146" s="192"/>
    </row>
    <row r="7147" spans="1:4" ht="12.5">
      <c r="A7147" s="195"/>
      <c r="B7147" s="194"/>
      <c r="C7147" s="194"/>
      <c r="D7147" s="192"/>
    </row>
    <row r="7148" spans="1:4" ht="12.5">
      <c r="A7148" s="195"/>
      <c r="B7148" s="194"/>
      <c r="C7148" s="194"/>
      <c r="D7148" s="192"/>
    </row>
    <row r="7149" spans="1:4" ht="12.5">
      <c r="A7149" s="195"/>
      <c r="B7149" s="194"/>
      <c r="C7149" s="194"/>
      <c r="D7149" s="192"/>
    </row>
    <row r="7150" spans="1:4" ht="12.5">
      <c r="A7150" s="195"/>
      <c r="B7150" s="194"/>
      <c r="C7150" s="194"/>
      <c r="D7150" s="192"/>
    </row>
    <row r="7151" spans="1:4" ht="12.5">
      <c r="A7151" s="195"/>
      <c r="B7151" s="194"/>
      <c r="C7151" s="194"/>
      <c r="D7151" s="192"/>
    </row>
    <row r="7152" spans="1:4" ht="12.5">
      <c r="A7152" s="195"/>
      <c r="B7152" s="194"/>
      <c r="C7152" s="194"/>
      <c r="D7152" s="192"/>
    </row>
    <row r="7153" spans="1:4" ht="12.5">
      <c r="A7153" s="195"/>
      <c r="B7153" s="194"/>
      <c r="C7153" s="194"/>
      <c r="D7153" s="192"/>
    </row>
    <row r="7154" spans="1:4" ht="12.5">
      <c r="A7154" s="195"/>
      <c r="B7154" s="194"/>
      <c r="C7154" s="194"/>
      <c r="D7154" s="192"/>
    </row>
    <row r="7155" spans="1:4" ht="12.5">
      <c r="A7155" s="195"/>
      <c r="B7155" s="194"/>
      <c r="C7155" s="194"/>
      <c r="D7155" s="192"/>
    </row>
    <row r="7156" spans="1:4" ht="12.5">
      <c r="A7156" s="195"/>
      <c r="B7156" s="194"/>
      <c r="C7156" s="194"/>
      <c r="D7156" s="192"/>
    </row>
    <row r="7157" spans="1:4" ht="12.5">
      <c r="A7157" s="195"/>
      <c r="B7157" s="194"/>
      <c r="C7157" s="194"/>
      <c r="D7157" s="192"/>
    </row>
    <row r="7158" spans="1:4" ht="12.5">
      <c r="A7158" s="195"/>
      <c r="B7158" s="194"/>
      <c r="C7158" s="194"/>
      <c r="D7158" s="192"/>
    </row>
    <row r="7159" spans="1:4" ht="12.5">
      <c r="A7159" s="195"/>
      <c r="B7159" s="194"/>
      <c r="C7159" s="194"/>
      <c r="D7159" s="192"/>
    </row>
    <row r="7160" spans="1:4" ht="12.5">
      <c r="A7160" s="195"/>
      <c r="B7160" s="194"/>
      <c r="C7160" s="194"/>
      <c r="D7160" s="192"/>
    </row>
    <row r="7161" spans="1:4" ht="12.5">
      <c r="A7161" s="195"/>
      <c r="B7161" s="194"/>
      <c r="C7161" s="194"/>
      <c r="D7161" s="192"/>
    </row>
    <row r="7162" spans="1:4" ht="12.5">
      <c r="A7162" s="195"/>
      <c r="B7162" s="194"/>
      <c r="C7162" s="194"/>
      <c r="D7162" s="192"/>
    </row>
    <row r="7163" spans="1:4" ht="12.5">
      <c r="A7163" s="195"/>
      <c r="B7163" s="194"/>
      <c r="C7163" s="194"/>
      <c r="D7163" s="192"/>
    </row>
    <row r="7164" spans="1:4" ht="12.5">
      <c r="A7164" s="195"/>
      <c r="B7164" s="194"/>
      <c r="C7164" s="194"/>
      <c r="D7164" s="192"/>
    </row>
    <row r="7165" spans="1:4" ht="12.5">
      <c r="A7165" s="195"/>
      <c r="B7165" s="194"/>
      <c r="C7165" s="194"/>
      <c r="D7165" s="192"/>
    </row>
    <row r="7166" spans="1:4" ht="12.5">
      <c r="A7166" s="195"/>
      <c r="B7166" s="194"/>
      <c r="C7166" s="194"/>
      <c r="D7166" s="192"/>
    </row>
    <row r="7167" spans="1:4" ht="12.5">
      <c r="A7167" s="195"/>
      <c r="B7167" s="194"/>
      <c r="C7167" s="194"/>
      <c r="D7167" s="192"/>
    </row>
    <row r="7168" spans="1:4" ht="12.5">
      <c r="A7168" s="195"/>
      <c r="B7168" s="194"/>
      <c r="C7168" s="194"/>
      <c r="D7168" s="192"/>
    </row>
    <row r="7169" spans="1:4" ht="12.5">
      <c r="A7169" s="195"/>
      <c r="B7169" s="194"/>
      <c r="C7169" s="194"/>
      <c r="D7169" s="192"/>
    </row>
    <row r="7170" spans="1:4" ht="12.5">
      <c r="A7170" s="195"/>
      <c r="B7170" s="194"/>
      <c r="C7170" s="194"/>
      <c r="D7170" s="192"/>
    </row>
    <row r="7171" spans="1:4" ht="12.5">
      <c r="A7171" s="195"/>
      <c r="B7171" s="194"/>
      <c r="C7171" s="194"/>
      <c r="D7171" s="192"/>
    </row>
    <row r="7172" spans="1:4" ht="12.5">
      <c r="A7172" s="195"/>
      <c r="B7172" s="194"/>
      <c r="C7172" s="194"/>
      <c r="D7172" s="192"/>
    </row>
    <row r="7173" spans="1:4" ht="12.5">
      <c r="A7173" s="195"/>
      <c r="B7173" s="194"/>
      <c r="C7173" s="194"/>
      <c r="D7173" s="192"/>
    </row>
    <row r="7174" spans="1:4" ht="12.5">
      <c r="A7174" s="195"/>
      <c r="B7174" s="194"/>
      <c r="C7174" s="194"/>
      <c r="D7174" s="192"/>
    </row>
    <row r="7175" spans="1:4" ht="12.5">
      <c r="A7175" s="195"/>
      <c r="B7175" s="194"/>
      <c r="C7175" s="194"/>
      <c r="D7175" s="192"/>
    </row>
    <row r="7176" spans="1:4" ht="12.5">
      <c r="A7176" s="195"/>
      <c r="B7176" s="194"/>
      <c r="C7176" s="194"/>
      <c r="D7176" s="192"/>
    </row>
    <row r="7177" spans="1:4" ht="12.5">
      <c r="A7177" s="195"/>
      <c r="B7177" s="194"/>
      <c r="C7177" s="194"/>
      <c r="D7177" s="192"/>
    </row>
    <row r="7178" spans="1:4" ht="12.5">
      <c r="A7178" s="195"/>
      <c r="B7178" s="194"/>
      <c r="C7178" s="194"/>
      <c r="D7178" s="192"/>
    </row>
    <row r="7179" spans="1:4" ht="12.5">
      <c r="A7179" s="195"/>
      <c r="B7179" s="194"/>
      <c r="C7179" s="194"/>
      <c r="D7179" s="192"/>
    </row>
    <row r="7180" spans="1:4" ht="12.5">
      <c r="A7180" s="195"/>
      <c r="B7180" s="194"/>
      <c r="C7180" s="194"/>
      <c r="D7180" s="192"/>
    </row>
    <row r="7181" spans="1:4" ht="12.5">
      <c r="A7181" s="195"/>
      <c r="B7181" s="194"/>
      <c r="C7181" s="194"/>
      <c r="D7181" s="192"/>
    </row>
    <row r="7182" spans="1:4" ht="12.5">
      <c r="A7182" s="195"/>
      <c r="B7182" s="194"/>
      <c r="C7182" s="194"/>
      <c r="D7182" s="192"/>
    </row>
    <row r="7183" spans="1:4" ht="12.5">
      <c r="A7183" s="195"/>
      <c r="B7183" s="194"/>
      <c r="C7183" s="194"/>
      <c r="D7183" s="192"/>
    </row>
    <row r="7184" spans="1:4" ht="12.5">
      <c r="A7184" s="195"/>
      <c r="B7184" s="194"/>
      <c r="C7184" s="194"/>
      <c r="D7184" s="192"/>
    </row>
    <row r="7185" spans="1:4" ht="12.5">
      <c r="A7185" s="195"/>
      <c r="B7185" s="194"/>
      <c r="C7185" s="194"/>
      <c r="D7185" s="192"/>
    </row>
    <row r="7186" spans="1:4" ht="12.5">
      <c r="A7186" s="195"/>
      <c r="B7186" s="194"/>
      <c r="C7186" s="194"/>
      <c r="D7186" s="192"/>
    </row>
    <row r="7187" spans="1:4" ht="12.5">
      <c r="A7187" s="195"/>
      <c r="B7187" s="194"/>
      <c r="C7187" s="194"/>
      <c r="D7187" s="192"/>
    </row>
    <row r="7188" spans="1:4" ht="12.5">
      <c r="A7188" s="195"/>
      <c r="B7188" s="194"/>
      <c r="C7188" s="194"/>
      <c r="D7188" s="192"/>
    </row>
    <row r="7189" spans="1:4" ht="12.5">
      <c r="A7189" s="195"/>
      <c r="B7189" s="194"/>
      <c r="C7189" s="194"/>
      <c r="D7189" s="192"/>
    </row>
    <row r="7190" spans="1:4" ht="12.5">
      <c r="A7190" s="195"/>
      <c r="B7190" s="194"/>
      <c r="C7190" s="194"/>
      <c r="D7190" s="192"/>
    </row>
    <row r="7191" spans="1:4" ht="12.5">
      <c r="A7191" s="195"/>
      <c r="B7191" s="194"/>
      <c r="C7191" s="194"/>
      <c r="D7191" s="192"/>
    </row>
    <row r="7192" spans="1:4" ht="12.5">
      <c r="A7192" s="195"/>
      <c r="B7192" s="194"/>
      <c r="C7192" s="194"/>
      <c r="D7192" s="192"/>
    </row>
    <row r="7193" spans="1:4" ht="12.5">
      <c r="A7193" s="195"/>
      <c r="B7193" s="194"/>
      <c r="C7193" s="194"/>
      <c r="D7193" s="192"/>
    </row>
    <row r="7194" spans="1:4" ht="12.5">
      <c r="A7194" s="195"/>
      <c r="B7194" s="194"/>
      <c r="C7194" s="194"/>
      <c r="D7194" s="192"/>
    </row>
    <row r="7195" spans="1:4" ht="12.5">
      <c r="A7195" s="195"/>
      <c r="B7195" s="194"/>
      <c r="C7195" s="194"/>
      <c r="D7195" s="192"/>
    </row>
    <row r="7196" spans="1:4" ht="12.5">
      <c r="A7196" s="195"/>
      <c r="B7196" s="194"/>
      <c r="C7196" s="194"/>
      <c r="D7196" s="192"/>
    </row>
    <row r="7197" spans="1:4" ht="12.5">
      <c r="A7197" s="195"/>
      <c r="B7197" s="194"/>
      <c r="C7197" s="194"/>
      <c r="D7197" s="192"/>
    </row>
    <row r="7198" spans="1:4" ht="12.5">
      <c r="A7198" s="195"/>
      <c r="B7198" s="194"/>
      <c r="C7198" s="194"/>
      <c r="D7198" s="192"/>
    </row>
    <row r="7199" spans="1:4" ht="12.5">
      <c r="A7199" s="195"/>
      <c r="B7199" s="194"/>
      <c r="C7199" s="194"/>
      <c r="D7199" s="192"/>
    </row>
    <row r="7200" spans="1:4" ht="12.5">
      <c r="A7200" s="195"/>
      <c r="B7200" s="194"/>
      <c r="C7200" s="194"/>
      <c r="D7200" s="192"/>
    </row>
    <row r="7201" spans="1:4" ht="12.5">
      <c r="A7201" s="195"/>
      <c r="B7201" s="194"/>
      <c r="C7201" s="194"/>
      <c r="D7201" s="192"/>
    </row>
    <row r="7202" spans="1:4" ht="12.5">
      <c r="A7202" s="195"/>
      <c r="B7202" s="194"/>
      <c r="C7202" s="194"/>
      <c r="D7202" s="192"/>
    </row>
    <row r="7203" spans="1:4" ht="12.5">
      <c r="A7203" s="195"/>
      <c r="B7203" s="194"/>
      <c r="C7203" s="194"/>
      <c r="D7203" s="192"/>
    </row>
    <row r="7204" spans="1:4" ht="12.5">
      <c r="A7204" s="195"/>
      <c r="B7204" s="194"/>
      <c r="C7204" s="194"/>
      <c r="D7204" s="192"/>
    </row>
    <row r="7205" spans="1:4" ht="12.5">
      <c r="A7205" s="195"/>
      <c r="B7205" s="194"/>
      <c r="C7205" s="194"/>
      <c r="D7205" s="192"/>
    </row>
    <row r="7206" spans="1:4" ht="12.5">
      <c r="A7206" s="195"/>
      <c r="B7206" s="194"/>
      <c r="C7206" s="194"/>
      <c r="D7206" s="192"/>
    </row>
    <row r="7207" spans="1:4" ht="12.5">
      <c r="A7207" s="195"/>
      <c r="B7207" s="194"/>
      <c r="C7207" s="194"/>
      <c r="D7207" s="192"/>
    </row>
    <row r="7208" spans="1:4" ht="12.5">
      <c r="A7208" s="195"/>
      <c r="B7208" s="194"/>
      <c r="C7208" s="194"/>
      <c r="D7208" s="192"/>
    </row>
    <row r="7209" spans="1:4" ht="12.5">
      <c r="A7209" s="195"/>
      <c r="B7209" s="194"/>
      <c r="C7209" s="194"/>
      <c r="D7209" s="192"/>
    </row>
    <row r="7210" spans="1:4" ht="12.5">
      <c r="A7210" s="195"/>
      <c r="B7210" s="194"/>
      <c r="C7210" s="194"/>
      <c r="D7210" s="192"/>
    </row>
    <row r="7211" spans="1:4" ht="12.5">
      <c r="A7211" s="195"/>
      <c r="B7211" s="194"/>
      <c r="C7211" s="194"/>
      <c r="D7211" s="192"/>
    </row>
    <row r="7212" spans="1:4" ht="12.5">
      <c r="A7212" s="195"/>
      <c r="B7212" s="194"/>
      <c r="C7212" s="194"/>
      <c r="D7212" s="192"/>
    </row>
    <row r="7213" spans="1:4" ht="12.5">
      <c r="A7213" s="195"/>
      <c r="B7213" s="194"/>
      <c r="C7213" s="194"/>
      <c r="D7213" s="192"/>
    </row>
    <row r="7214" spans="1:4" ht="12.5">
      <c r="A7214" s="195"/>
      <c r="B7214" s="194"/>
      <c r="C7214" s="194"/>
      <c r="D7214" s="192"/>
    </row>
    <row r="7215" spans="1:4" ht="12.5">
      <c r="A7215" s="195"/>
      <c r="B7215" s="194"/>
      <c r="C7215" s="194"/>
      <c r="D7215" s="192"/>
    </row>
    <row r="7216" spans="1:4" ht="12.5">
      <c r="A7216" s="195"/>
      <c r="B7216" s="194"/>
      <c r="C7216" s="194"/>
      <c r="D7216" s="192"/>
    </row>
    <row r="7217" spans="1:4" ht="12.5">
      <c r="A7217" s="195"/>
      <c r="B7217" s="194"/>
      <c r="C7217" s="194"/>
      <c r="D7217" s="192"/>
    </row>
    <row r="7218" spans="1:4" ht="12.5">
      <c r="A7218" s="195"/>
      <c r="B7218" s="194"/>
      <c r="C7218" s="194"/>
      <c r="D7218" s="192"/>
    </row>
    <row r="7219" spans="1:4" ht="12.5">
      <c r="A7219" s="195"/>
      <c r="B7219" s="194"/>
      <c r="C7219" s="194"/>
      <c r="D7219" s="192"/>
    </row>
    <row r="7220" spans="1:4" ht="12.5">
      <c r="A7220" s="195"/>
      <c r="B7220" s="194"/>
      <c r="C7220" s="194"/>
      <c r="D7220" s="192"/>
    </row>
    <row r="7221" spans="1:4" ht="12.5">
      <c r="A7221" s="195"/>
      <c r="B7221" s="194"/>
      <c r="C7221" s="194"/>
      <c r="D7221" s="192"/>
    </row>
    <row r="7222" spans="1:4" ht="12.5">
      <c r="A7222" s="195"/>
      <c r="B7222" s="194"/>
      <c r="C7222" s="194"/>
      <c r="D7222" s="192"/>
    </row>
    <row r="7223" spans="1:4" ht="12.5">
      <c r="A7223" s="195"/>
      <c r="B7223" s="194"/>
      <c r="C7223" s="194"/>
      <c r="D7223" s="192"/>
    </row>
    <row r="7224" spans="1:4" ht="12.5">
      <c r="A7224" s="195"/>
      <c r="B7224" s="194"/>
      <c r="C7224" s="194"/>
      <c r="D7224" s="192"/>
    </row>
    <row r="7225" spans="1:4" ht="12.5">
      <c r="A7225" s="195"/>
      <c r="B7225" s="194"/>
      <c r="C7225" s="194"/>
      <c r="D7225" s="192"/>
    </row>
    <row r="7226" spans="1:4" ht="12.5">
      <c r="A7226" s="195"/>
      <c r="B7226" s="194"/>
      <c r="C7226" s="194"/>
      <c r="D7226" s="192"/>
    </row>
    <row r="7227" spans="1:4" ht="12.5">
      <c r="A7227" s="195"/>
      <c r="B7227" s="194"/>
      <c r="C7227" s="194"/>
      <c r="D7227" s="192"/>
    </row>
    <row r="7228" spans="1:4" ht="12.5">
      <c r="A7228" s="195"/>
      <c r="B7228" s="194"/>
      <c r="C7228" s="194"/>
      <c r="D7228" s="192"/>
    </row>
    <row r="7229" spans="1:4" ht="12.5">
      <c r="A7229" s="195"/>
      <c r="B7229" s="194"/>
      <c r="C7229" s="194"/>
      <c r="D7229" s="192"/>
    </row>
    <row r="7230" spans="1:4" ht="12.5">
      <c r="A7230" s="195"/>
      <c r="B7230" s="194"/>
      <c r="C7230" s="194"/>
      <c r="D7230" s="192"/>
    </row>
    <row r="7231" spans="1:4" ht="12.5">
      <c r="A7231" s="195"/>
      <c r="B7231" s="194"/>
      <c r="C7231" s="194"/>
      <c r="D7231" s="192"/>
    </row>
    <row r="7232" spans="1:4" ht="12.5">
      <c r="A7232" s="195"/>
      <c r="B7232" s="194"/>
      <c r="C7232" s="194"/>
      <c r="D7232" s="192"/>
    </row>
    <row r="7233" spans="1:4" ht="12.5">
      <c r="A7233" s="195"/>
      <c r="B7233" s="194"/>
      <c r="C7233" s="194"/>
      <c r="D7233" s="192"/>
    </row>
    <row r="7234" spans="1:4" ht="12.5">
      <c r="A7234" s="195"/>
      <c r="B7234" s="194"/>
      <c r="C7234" s="194"/>
      <c r="D7234" s="192"/>
    </row>
    <row r="7235" spans="1:4" ht="12.5">
      <c r="A7235" s="195"/>
      <c r="B7235" s="194"/>
      <c r="C7235" s="194"/>
      <c r="D7235" s="192"/>
    </row>
    <row r="7236" spans="1:4" ht="12.5">
      <c r="A7236" s="195"/>
      <c r="B7236" s="194"/>
      <c r="C7236" s="194"/>
      <c r="D7236" s="192"/>
    </row>
    <row r="7237" spans="1:4" ht="12.5">
      <c r="A7237" s="195"/>
      <c r="B7237" s="194"/>
      <c r="C7237" s="194"/>
      <c r="D7237" s="192"/>
    </row>
    <row r="7238" spans="1:4" ht="12.5">
      <c r="A7238" s="195"/>
      <c r="B7238" s="194"/>
      <c r="C7238" s="194"/>
      <c r="D7238" s="192"/>
    </row>
    <row r="7239" spans="1:4" ht="12.5">
      <c r="A7239" s="195"/>
      <c r="B7239" s="194"/>
      <c r="C7239" s="194"/>
      <c r="D7239" s="192"/>
    </row>
    <row r="7240" spans="1:4" ht="12.5">
      <c r="A7240" s="195"/>
      <c r="B7240" s="194"/>
      <c r="C7240" s="194"/>
      <c r="D7240" s="192"/>
    </row>
    <row r="7241" spans="1:4" ht="12.5">
      <c r="A7241" s="195"/>
      <c r="B7241" s="194"/>
      <c r="C7241" s="194"/>
      <c r="D7241" s="192"/>
    </row>
    <row r="7242" spans="1:4" ht="12.5">
      <c r="A7242" s="195"/>
      <c r="B7242" s="194"/>
      <c r="C7242" s="194"/>
      <c r="D7242" s="192"/>
    </row>
    <row r="7243" spans="1:4" ht="12.5">
      <c r="A7243" s="195"/>
      <c r="B7243" s="194"/>
      <c r="C7243" s="194"/>
      <c r="D7243" s="192"/>
    </row>
    <row r="7244" spans="1:4" ht="12.5">
      <c r="A7244" s="195"/>
      <c r="B7244" s="194"/>
      <c r="C7244" s="194"/>
      <c r="D7244" s="192"/>
    </row>
    <row r="7245" spans="1:4" ht="12.5">
      <c r="A7245" s="195"/>
      <c r="B7245" s="194"/>
      <c r="C7245" s="194"/>
      <c r="D7245" s="192"/>
    </row>
    <row r="7246" spans="1:4" ht="12.5">
      <c r="A7246" s="195"/>
      <c r="B7246" s="194"/>
      <c r="C7246" s="194"/>
      <c r="D7246" s="192"/>
    </row>
    <row r="7247" spans="1:4" ht="12.5">
      <c r="A7247" s="195"/>
      <c r="B7247" s="194"/>
      <c r="C7247" s="194"/>
      <c r="D7247" s="192"/>
    </row>
    <row r="7248" spans="1:4" ht="12.5">
      <c r="A7248" s="195"/>
      <c r="B7248" s="194"/>
      <c r="C7248" s="194"/>
      <c r="D7248" s="192"/>
    </row>
    <row r="7249" spans="1:4" ht="12.5">
      <c r="A7249" s="195"/>
      <c r="B7249" s="194"/>
      <c r="C7249" s="194"/>
      <c r="D7249" s="192"/>
    </row>
    <row r="7250" spans="1:4" ht="12.5">
      <c r="A7250" s="195"/>
      <c r="B7250" s="194"/>
      <c r="C7250" s="194"/>
      <c r="D7250" s="192"/>
    </row>
    <row r="7251" spans="1:4" ht="12.5">
      <c r="A7251" s="195"/>
      <c r="B7251" s="194"/>
      <c r="C7251" s="194"/>
      <c r="D7251" s="192"/>
    </row>
    <row r="7252" spans="1:4" ht="12.5">
      <c r="A7252" s="195"/>
      <c r="B7252" s="194"/>
      <c r="C7252" s="194"/>
      <c r="D7252" s="192"/>
    </row>
    <row r="7253" spans="1:4" ht="12.5">
      <c r="A7253" s="195"/>
      <c r="B7253" s="194"/>
      <c r="C7253" s="194"/>
      <c r="D7253" s="192"/>
    </row>
    <row r="7254" spans="1:4" ht="12.5">
      <c r="A7254" s="195"/>
      <c r="B7254" s="194"/>
      <c r="C7254" s="194"/>
      <c r="D7254" s="192"/>
    </row>
    <row r="7255" spans="1:4" ht="12.5">
      <c r="A7255" s="195"/>
      <c r="B7255" s="194"/>
      <c r="C7255" s="194"/>
      <c r="D7255" s="192"/>
    </row>
    <row r="7256" spans="1:4" ht="12.5">
      <c r="A7256" s="195"/>
      <c r="B7256" s="194"/>
      <c r="C7256" s="194"/>
      <c r="D7256" s="192"/>
    </row>
    <row r="7257" spans="1:4" ht="12.5">
      <c r="A7257" s="195"/>
      <c r="B7257" s="194"/>
      <c r="C7257" s="194"/>
      <c r="D7257" s="192"/>
    </row>
    <row r="7258" spans="1:4" ht="12.5">
      <c r="A7258" s="195"/>
      <c r="B7258" s="194"/>
      <c r="C7258" s="194"/>
      <c r="D7258" s="192"/>
    </row>
    <row r="7259" spans="1:4" ht="12.5">
      <c r="A7259" s="195"/>
      <c r="B7259" s="194"/>
      <c r="C7259" s="194"/>
      <c r="D7259" s="192"/>
    </row>
    <row r="7260" spans="1:4" ht="12.5">
      <c r="A7260" s="195"/>
      <c r="B7260" s="194"/>
      <c r="C7260" s="194"/>
      <c r="D7260" s="192"/>
    </row>
    <row r="7261" spans="1:4" ht="12.5">
      <c r="A7261" s="195"/>
      <c r="B7261" s="194"/>
      <c r="C7261" s="194"/>
      <c r="D7261" s="192"/>
    </row>
    <row r="7262" spans="1:4" ht="12.5">
      <c r="A7262" s="195"/>
      <c r="B7262" s="194"/>
      <c r="C7262" s="194"/>
      <c r="D7262" s="192"/>
    </row>
    <row r="7263" spans="1:4" ht="12.5">
      <c r="A7263" s="195"/>
      <c r="B7263" s="194"/>
      <c r="C7263" s="194"/>
      <c r="D7263" s="192"/>
    </row>
    <row r="7264" spans="1:4" ht="12.5">
      <c r="A7264" s="195"/>
      <c r="B7264" s="194"/>
      <c r="C7264" s="194"/>
      <c r="D7264" s="192"/>
    </row>
    <row r="7265" spans="1:4" ht="12.5">
      <c r="A7265" s="195"/>
      <c r="B7265" s="194"/>
      <c r="C7265" s="194"/>
      <c r="D7265" s="192"/>
    </row>
    <row r="7266" spans="1:4" ht="12.5">
      <c r="A7266" s="195"/>
      <c r="B7266" s="194"/>
      <c r="C7266" s="194"/>
      <c r="D7266" s="192"/>
    </row>
    <row r="7267" spans="1:4" ht="12.5">
      <c r="A7267" s="195"/>
      <c r="B7267" s="194"/>
      <c r="C7267" s="194"/>
      <c r="D7267" s="192"/>
    </row>
    <row r="7268" spans="1:4" ht="12.5">
      <c r="A7268" s="195"/>
      <c r="B7268" s="194"/>
      <c r="C7268" s="194"/>
      <c r="D7268" s="192"/>
    </row>
    <row r="7269" spans="1:4" ht="12.5">
      <c r="A7269" s="195"/>
      <c r="B7269" s="194"/>
      <c r="C7269" s="194"/>
      <c r="D7269" s="192"/>
    </row>
    <row r="7270" spans="1:4" ht="12.5">
      <c r="A7270" s="195"/>
      <c r="B7270" s="194"/>
      <c r="C7270" s="194"/>
      <c r="D7270" s="192"/>
    </row>
    <row r="7271" spans="1:4" ht="12.5">
      <c r="A7271" s="195"/>
      <c r="B7271" s="194"/>
      <c r="C7271" s="194"/>
      <c r="D7271" s="192"/>
    </row>
    <row r="7272" spans="1:4" ht="12.5">
      <c r="A7272" s="195"/>
      <c r="B7272" s="194"/>
      <c r="C7272" s="194"/>
      <c r="D7272" s="192"/>
    </row>
    <row r="7273" spans="1:4" ht="12.5">
      <c r="A7273" s="195"/>
      <c r="B7273" s="194"/>
      <c r="C7273" s="194"/>
      <c r="D7273" s="192"/>
    </row>
    <row r="7274" spans="1:4" ht="12.5">
      <c r="A7274" s="195"/>
      <c r="B7274" s="194"/>
      <c r="C7274" s="194"/>
      <c r="D7274" s="192"/>
    </row>
    <row r="7275" spans="1:4" ht="12.5">
      <c r="A7275" s="195"/>
      <c r="B7275" s="194"/>
      <c r="C7275" s="194"/>
      <c r="D7275" s="192"/>
    </row>
    <row r="7276" spans="1:4" ht="12.5">
      <c r="A7276" s="195"/>
      <c r="B7276" s="194"/>
      <c r="C7276" s="194"/>
      <c r="D7276" s="192"/>
    </row>
    <row r="7277" spans="1:4" ht="12.5">
      <c r="A7277" s="195"/>
      <c r="B7277" s="194"/>
      <c r="C7277" s="194"/>
      <c r="D7277" s="192"/>
    </row>
    <row r="7278" spans="1:4" ht="12.5">
      <c r="A7278" s="195"/>
      <c r="B7278" s="194"/>
      <c r="C7278" s="194"/>
      <c r="D7278" s="192"/>
    </row>
    <row r="7279" spans="1:4" ht="12.5">
      <c r="A7279" s="195"/>
      <c r="B7279" s="194"/>
      <c r="C7279" s="194"/>
      <c r="D7279" s="192"/>
    </row>
    <row r="7280" spans="1:4" ht="12.5">
      <c r="A7280" s="195"/>
      <c r="B7280" s="194"/>
      <c r="C7280" s="194"/>
      <c r="D7280" s="192"/>
    </row>
    <row r="7281" spans="1:4" ht="12.5">
      <c r="A7281" s="195"/>
      <c r="B7281" s="194"/>
      <c r="C7281" s="194"/>
      <c r="D7281" s="192"/>
    </row>
    <row r="7282" spans="1:4" ht="12.5">
      <c r="A7282" s="195"/>
      <c r="B7282" s="194"/>
      <c r="C7282" s="194"/>
      <c r="D7282" s="192"/>
    </row>
    <row r="7283" spans="1:4" ht="12.5">
      <c r="A7283" s="195"/>
      <c r="B7283" s="194"/>
      <c r="C7283" s="194"/>
      <c r="D7283" s="192"/>
    </row>
    <row r="7284" spans="1:4" ht="12.5">
      <c r="A7284" s="195"/>
      <c r="B7284" s="194"/>
      <c r="C7284" s="194"/>
      <c r="D7284" s="192"/>
    </row>
    <row r="7285" spans="1:4" ht="12.5">
      <c r="A7285" s="195"/>
      <c r="B7285" s="194"/>
      <c r="C7285" s="194"/>
      <c r="D7285" s="192"/>
    </row>
    <row r="7286" spans="1:4" ht="12.5">
      <c r="A7286" s="195"/>
      <c r="B7286" s="194"/>
      <c r="C7286" s="194"/>
      <c r="D7286" s="192"/>
    </row>
    <row r="7287" spans="1:4" ht="12.5">
      <c r="A7287" s="195"/>
      <c r="B7287" s="194"/>
      <c r="C7287" s="194"/>
      <c r="D7287" s="192"/>
    </row>
    <row r="7288" spans="1:4" ht="12.5">
      <c r="A7288" s="195"/>
      <c r="B7288" s="194"/>
      <c r="C7288" s="194"/>
      <c r="D7288" s="192"/>
    </row>
    <row r="7289" spans="1:4" ht="12.5">
      <c r="A7289" s="195"/>
      <c r="B7289" s="194"/>
      <c r="C7289" s="194"/>
      <c r="D7289" s="192"/>
    </row>
    <row r="7290" spans="1:4" ht="12.5">
      <c r="A7290" s="195"/>
      <c r="B7290" s="194"/>
      <c r="C7290" s="194"/>
      <c r="D7290" s="192"/>
    </row>
    <row r="7291" spans="1:4" ht="12.5">
      <c r="A7291" s="195"/>
      <c r="B7291" s="194"/>
      <c r="C7291" s="194"/>
      <c r="D7291" s="192"/>
    </row>
    <row r="7292" spans="1:4" ht="12.5">
      <c r="A7292" s="195"/>
      <c r="B7292" s="194"/>
      <c r="C7292" s="194"/>
      <c r="D7292" s="192"/>
    </row>
    <row r="7293" spans="1:4" ht="12.5">
      <c r="A7293" s="195"/>
      <c r="B7293" s="194"/>
      <c r="C7293" s="194"/>
      <c r="D7293" s="192"/>
    </row>
    <row r="7294" spans="1:4" ht="12.5">
      <c r="A7294" s="195"/>
      <c r="B7294" s="194"/>
      <c r="C7294" s="194"/>
      <c r="D7294" s="192"/>
    </row>
    <row r="7295" spans="1:4" ht="12.5">
      <c r="A7295" s="195"/>
      <c r="B7295" s="194"/>
      <c r="C7295" s="194"/>
      <c r="D7295" s="192"/>
    </row>
    <row r="7296" spans="1:4" ht="12.5">
      <c r="A7296" s="195"/>
      <c r="B7296" s="194"/>
      <c r="C7296" s="194"/>
      <c r="D7296" s="192"/>
    </row>
    <row r="7297" spans="1:4" ht="12.5">
      <c r="A7297" s="195"/>
      <c r="B7297" s="194"/>
      <c r="C7297" s="194"/>
      <c r="D7297" s="192"/>
    </row>
    <row r="7298" spans="1:4" ht="12.5">
      <c r="A7298" s="195"/>
      <c r="B7298" s="194"/>
      <c r="C7298" s="194"/>
      <c r="D7298" s="192"/>
    </row>
    <row r="7299" spans="1:4" ht="12.5">
      <c r="A7299" s="195"/>
      <c r="B7299" s="194"/>
      <c r="C7299" s="194"/>
      <c r="D7299" s="192"/>
    </row>
    <row r="7300" spans="1:4" ht="12.5">
      <c r="A7300" s="195"/>
      <c r="B7300" s="194"/>
      <c r="C7300" s="194"/>
      <c r="D7300" s="192"/>
    </row>
    <row r="7301" spans="1:4" ht="12.5">
      <c r="A7301" s="195"/>
      <c r="B7301" s="194"/>
      <c r="C7301" s="194"/>
      <c r="D7301" s="192"/>
    </row>
    <row r="7302" spans="1:4" ht="12.5">
      <c r="A7302" s="195"/>
      <c r="B7302" s="194"/>
      <c r="C7302" s="194"/>
      <c r="D7302" s="192"/>
    </row>
    <row r="7303" spans="1:4" ht="12.5">
      <c r="A7303" s="195"/>
      <c r="B7303" s="194"/>
      <c r="C7303" s="194"/>
      <c r="D7303" s="192"/>
    </row>
    <row r="7304" spans="1:4" ht="12.5">
      <c r="A7304" s="195"/>
      <c r="B7304" s="194"/>
      <c r="C7304" s="194"/>
      <c r="D7304" s="192"/>
    </row>
    <row r="7305" spans="1:4" ht="12.5">
      <c r="A7305" s="195"/>
      <c r="B7305" s="194"/>
      <c r="C7305" s="194"/>
      <c r="D7305" s="192"/>
    </row>
    <row r="7306" spans="1:4" ht="12.5">
      <c r="A7306" s="195"/>
      <c r="B7306" s="194"/>
      <c r="C7306" s="194"/>
      <c r="D7306" s="192"/>
    </row>
    <row r="7307" spans="1:4" ht="12.5">
      <c r="A7307" s="195"/>
      <c r="B7307" s="194"/>
      <c r="C7307" s="194"/>
      <c r="D7307" s="192"/>
    </row>
    <row r="7308" spans="1:4" ht="12.5">
      <c r="A7308" s="195"/>
      <c r="B7308" s="194"/>
      <c r="C7308" s="194"/>
      <c r="D7308" s="192"/>
    </row>
    <row r="7309" spans="1:4" ht="12.5">
      <c r="A7309" s="195"/>
      <c r="B7309" s="194"/>
      <c r="C7309" s="194"/>
      <c r="D7309" s="192"/>
    </row>
    <row r="7310" spans="1:4" ht="12.5">
      <c r="A7310" s="195"/>
      <c r="B7310" s="194"/>
      <c r="C7310" s="194"/>
      <c r="D7310" s="192"/>
    </row>
    <row r="7311" spans="1:4" ht="12.5">
      <c r="A7311" s="195"/>
      <c r="B7311" s="194"/>
      <c r="C7311" s="194"/>
      <c r="D7311" s="192"/>
    </row>
    <row r="7312" spans="1:4" ht="12.5">
      <c r="A7312" s="195"/>
      <c r="B7312" s="194"/>
      <c r="C7312" s="194"/>
      <c r="D7312" s="192"/>
    </row>
    <row r="7313" spans="1:4" ht="12.5">
      <c r="A7313" s="195"/>
      <c r="B7313" s="194"/>
      <c r="C7313" s="194"/>
      <c r="D7313" s="192"/>
    </row>
    <row r="7314" spans="1:4" ht="12.5">
      <c r="A7314" s="195"/>
      <c r="B7314" s="194"/>
      <c r="C7314" s="194"/>
      <c r="D7314" s="192"/>
    </row>
    <row r="7315" spans="1:4" ht="12.5">
      <c r="A7315" s="195"/>
      <c r="B7315" s="194"/>
      <c r="C7315" s="194"/>
      <c r="D7315" s="192"/>
    </row>
    <row r="7316" spans="1:4" ht="12.5">
      <c r="A7316" s="195"/>
      <c r="B7316" s="194"/>
      <c r="C7316" s="194"/>
      <c r="D7316" s="192"/>
    </row>
    <row r="7317" spans="1:4" ht="12.5">
      <c r="A7317" s="195"/>
      <c r="B7317" s="194"/>
      <c r="C7317" s="194"/>
      <c r="D7317" s="192"/>
    </row>
    <row r="7318" spans="1:4" ht="12.5">
      <c r="A7318" s="195"/>
      <c r="B7318" s="194"/>
      <c r="C7318" s="194"/>
      <c r="D7318" s="192"/>
    </row>
    <row r="7319" spans="1:4" ht="12.5">
      <c r="A7319" s="195"/>
      <c r="B7319" s="194"/>
      <c r="C7319" s="194"/>
      <c r="D7319" s="192"/>
    </row>
    <row r="7320" spans="1:4" ht="12.5">
      <c r="A7320" s="195"/>
      <c r="B7320" s="194"/>
      <c r="C7320" s="194"/>
      <c r="D7320" s="192"/>
    </row>
    <row r="7321" spans="1:4" ht="12.5">
      <c r="A7321" s="195"/>
      <c r="B7321" s="194"/>
      <c r="C7321" s="194"/>
      <c r="D7321" s="192"/>
    </row>
    <row r="7322" spans="1:4" ht="12.5">
      <c r="A7322" s="195"/>
      <c r="B7322" s="194"/>
      <c r="C7322" s="194"/>
      <c r="D7322" s="192"/>
    </row>
    <row r="7323" spans="1:4" ht="12.5">
      <c r="A7323" s="195"/>
      <c r="B7323" s="194"/>
      <c r="C7323" s="194"/>
      <c r="D7323" s="192"/>
    </row>
    <row r="7324" spans="1:4" ht="12.5">
      <c r="A7324" s="195"/>
      <c r="B7324" s="194"/>
      <c r="C7324" s="194"/>
      <c r="D7324" s="192"/>
    </row>
    <row r="7325" spans="1:4" ht="12.5">
      <c r="A7325" s="195"/>
      <c r="B7325" s="194"/>
      <c r="C7325" s="194"/>
      <c r="D7325" s="192"/>
    </row>
    <row r="7326" spans="1:4" ht="12.5">
      <c r="A7326" s="195"/>
      <c r="B7326" s="194"/>
      <c r="C7326" s="194"/>
      <c r="D7326" s="192"/>
    </row>
    <row r="7327" spans="1:4" ht="12.5">
      <c r="A7327" s="195"/>
      <c r="B7327" s="194"/>
      <c r="C7327" s="194"/>
      <c r="D7327" s="192"/>
    </row>
    <row r="7328" spans="1:4" ht="12.5">
      <c r="A7328" s="195"/>
      <c r="B7328" s="194"/>
      <c r="C7328" s="194"/>
      <c r="D7328" s="192"/>
    </row>
    <row r="7329" spans="1:4" ht="12.5">
      <c r="A7329" s="195"/>
      <c r="B7329" s="194"/>
      <c r="C7329" s="194"/>
      <c r="D7329" s="192"/>
    </row>
    <row r="7330" spans="1:4" ht="12.5">
      <c r="A7330" s="195"/>
      <c r="B7330" s="194"/>
      <c r="C7330" s="194"/>
      <c r="D7330" s="192"/>
    </row>
    <row r="7331" spans="1:4" ht="12.5">
      <c r="A7331" s="195"/>
      <c r="B7331" s="194"/>
      <c r="C7331" s="194"/>
      <c r="D7331" s="192"/>
    </row>
    <row r="7332" spans="1:4" ht="12.5">
      <c r="A7332" s="195"/>
      <c r="B7332" s="194"/>
      <c r="C7332" s="194"/>
      <c r="D7332" s="192"/>
    </row>
    <row r="7333" spans="1:4" ht="12.5">
      <c r="A7333" s="195"/>
      <c r="B7333" s="194"/>
      <c r="C7333" s="194"/>
      <c r="D7333" s="192"/>
    </row>
    <row r="7334" spans="1:4" ht="12.5">
      <c r="A7334" s="195"/>
      <c r="B7334" s="194"/>
      <c r="C7334" s="194"/>
      <c r="D7334" s="192"/>
    </row>
    <row r="7335" spans="1:4" ht="12.5">
      <c r="A7335" s="195"/>
      <c r="B7335" s="194"/>
      <c r="C7335" s="194"/>
      <c r="D7335" s="192"/>
    </row>
    <row r="7336" spans="1:4" ht="12.5">
      <c r="A7336" s="195"/>
      <c r="B7336" s="194"/>
      <c r="C7336" s="194"/>
      <c r="D7336" s="192"/>
    </row>
    <row r="7337" spans="1:4" ht="12.5">
      <c r="A7337" s="195"/>
      <c r="B7337" s="194"/>
      <c r="C7337" s="194"/>
      <c r="D7337" s="192"/>
    </row>
    <row r="7338" spans="1:4" ht="12.5">
      <c r="A7338" s="195"/>
      <c r="B7338" s="194"/>
      <c r="C7338" s="194"/>
      <c r="D7338" s="192"/>
    </row>
    <row r="7339" spans="1:4" ht="12.5">
      <c r="A7339" s="195"/>
      <c r="B7339" s="194"/>
      <c r="C7339" s="194"/>
      <c r="D7339" s="192"/>
    </row>
    <row r="7340" spans="1:4" ht="12.5">
      <c r="A7340" s="195"/>
      <c r="B7340" s="194"/>
      <c r="C7340" s="194"/>
      <c r="D7340" s="192"/>
    </row>
    <row r="7341" spans="1:4" ht="12.5">
      <c r="A7341" s="195"/>
      <c r="B7341" s="194"/>
      <c r="C7341" s="194"/>
      <c r="D7341" s="192"/>
    </row>
    <row r="7342" spans="1:4" ht="12.5">
      <c r="A7342" s="195"/>
      <c r="B7342" s="194"/>
      <c r="C7342" s="194"/>
      <c r="D7342" s="192"/>
    </row>
    <row r="7343" spans="1:4" ht="12.5">
      <c r="A7343" s="195"/>
      <c r="B7343" s="194"/>
      <c r="C7343" s="194"/>
      <c r="D7343" s="192"/>
    </row>
    <row r="7344" spans="1:4" ht="12.5">
      <c r="A7344" s="195"/>
      <c r="B7344" s="194"/>
      <c r="C7344" s="194"/>
      <c r="D7344" s="192"/>
    </row>
    <row r="7345" spans="1:4" ht="12.5">
      <c r="A7345" s="195"/>
      <c r="B7345" s="194"/>
      <c r="C7345" s="194"/>
      <c r="D7345" s="192"/>
    </row>
    <row r="7346" spans="1:4" ht="12.5">
      <c r="A7346" s="195"/>
      <c r="B7346" s="194"/>
      <c r="C7346" s="194"/>
      <c r="D7346" s="192"/>
    </row>
    <row r="7347" spans="1:4" ht="12.5">
      <c r="A7347" s="195"/>
      <c r="B7347" s="194"/>
      <c r="C7347" s="194"/>
      <c r="D7347" s="192"/>
    </row>
    <row r="7348" spans="1:4" ht="12.5">
      <c r="A7348" s="195"/>
      <c r="B7348" s="194"/>
      <c r="C7348" s="194"/>
      <c r="D7348" s="192"/>
    </row>
    <row r="7349" spans="1:4" ht="12.5">
      <c r="A7349" s="195"/>
      <c r="B7349" s="194"/>
      <c r="C7349" s="194"/>
      <c r="D7349" s="192"/>
    </row>
    <row r="7350" spans="1:4" ht="12.5">
      <c r="A7350" s="195"/>
      <c r="B7350" s="194"/>
      <c r="C7350" s="194"/>
      <c r="D7350" s="192"/>
    </row>
    <row r="7351" spans="1:4" ht="12.5">
      <c r="A7351" s="195"/>
      <c r="B7351" s="194"/>
      <c r="C7351" s="194"/>
      <c r="D7351" s="192"/>
    </row>
    <row r="7352" spans="1:4" ht="12.5">
      <c r="A7352" s="195"/>
      <c r="B7352" s="194"/>
      <c r="C7352" s="194"/>
      <c r="D7352" s="192"/>
    </row>
    <row r="7353" spans="1:4" ht="12.5">
      <c r="A7353" s="195"/>
      <c r="B7353" s="194"/>
      <c r="C7353" s="194"/>
      <c r="D7353" s="192"/>
    </row>
    <row r="7354" spans="1:4" ht="12.5">
      <c r="A7354" s="195"/>
      <c r="B7354" s="194"/>
      <c r="C7354" s="194"/>
      <c r="D7354" s="192"/>
    </row>
    <row r="7355" spans="1:4" ht="12.5">
      <c r="A7355" s="195"/>
      <c r="B7355" s="194"/>
      <c r="C7355" s="194"/>
      <c r="D7355" s="192"/>
    </row>
    <row r="7356" spans="1:4" ht="12.5">
      <c r="A7356" s="195"/>
      <c r="B7356" s="194"/>
      <c r="C7356" s="194"/>
      <c r="D7356" s="192"/>
    </row>
    <row r="7357" spans="1:4" ht="12.5">
      <c r="A7357" s="195"/>
      <c r="B7357" s="194"/>
      <c r="C7357" s="194"/>
      <c r="D7357" s="192"/>
    </row>
    <row r="7358" spans="1:4" ht="12.5">
      <c r="A7358" s="195"/>
      <c r="B7358" s="194"/>
      <c r="C7358" s="194"/>
      <c r="D7358" s="192"/>
    </row>
    <row r="7359" spans="1:4" ht="12.5">
      <c r="A7359" s="195"/>
      <c r="B7359" s="194"/>
      <c r="C7359" s="194"/>
      <c r="D7359" s="192"/>
    </row>
    <row r="7360" spans="1:4" ht="12.5">
      <c r="A7360" s="195"/>
      <c r="B7360" s="194"/>
      <c r="C7360" s="194"/>
      <c r="D7360" s="192"/>
    </row>
    <row r="7361" spans="1:4" ht="12.5">
      <c r="A7361" s="195"/>
      <c r="B7361" s="194"/>
      <c r="C7361" s="194"/>
      <c r="D7361" s="192"/>
    </row>
    <row r="7362" spans="1:4" ht="12.5">
      <c r="A7362" s="195"/>
      <c r="B7362" s="194"/>
      <c r="C7362" s="194"/>
      <c r="D7362" s="192"/>
    </row>
    <row r="7363" spans="1:4" ht="12.5">
      <c r="A7363" s="195"/>
      <c r="B7363" s="194"/>
      <c r="C7363" s="194"/>
      <c r="D7363" s="192"/>
    </row>
    <row r="7364" spans="1:4" ht="12.5">
      <c r="A7364" s="195"/>
      <c r="B7364" s="194"/>
      <c r="C7364" s="194"/>
      <c r="D7364" s="192"/>
    </row>
    <row r="7365" spans="1:4" ht="12.5">
      <c r="A7365" s="195"/>
      <c r="B7365" s="194"/>
      <c r="C7365" s="194"/>
      <c r="D7365" s="192"/>
    </row>
    <row r="7366" spans="1:4" ht="12.5">
      <c r="A7366" s="195"/>
      <c r="B7366" s="194"/>
      <c r="C7366" s="194"/>
      <c r="D7366" s="192"/>
    </row>
    <row r="7367" spans="1:4" ht="12.5">
      <c r="A7367" s="195"/>
      <c r="B7367" s="194"/>
      <c r="C7367" s="194"/>
      <c r="D7367" s="192"/>
    </row>
    <row r="7368" spans="1:4" ht="12.5">
      <c r="A7368" s="195"/>
      <c r="B7368" s="194"/>
      <c r="C7368" s="194"/>
      <c r="D7368" s="192"/>
    </row>
    <row r="7369" spans="1:4" ht="12.5">
      <c r="A7369" s="195"/>
      <c r="B7369" s="194"/>
      <c r="C7369" s="194"/>
      <c r="D7369" s="192"/>
    </row>
    <row r="7370" spans="1:4" ht="12.5">
      <c r="A7370" s="195"/>
      <c r="B7370" s="194"/>
      <c r="C7370" s="194"/>
      <c r="D7370" s="192"/>
    </row>
    <row r="7371" spans="1:4" ht="12.5">
      <c r="A7371" s="195"/>
      <c r="B7371" s="194"/>
      <c r="C7371" s="194"/>
      <c r="D7371" s="192"/>
    </row>
    <row r="7372" spans="1:4" ht="12.5">
      <c r="A7372" s="195"/>
      <c r="B7372" s="194"/>
      <c r="C7372" s="194"/>
      <c r="D7372" s="192"/>
    </row>
    <row r="7373" spans="1:4" ht="12.5">
      <c r="A7373" s="195"/>
      <c r="B7373" s="194"/>
      <c r="C7373" s="194"/>
      <c r="D7373" s="192"/>
    </row>
    <row r="7374" spans="1:4" ht="12.5">
      <c r="A7374" s="195"/>
      <c r="B7374" s="194"/>
      <c r="C7374" s="194"/>
      <c r="D7374" s="192"/>
    </row>
    <row r="7375" spans="1:4" ht="12.5">
      <c r="A7375" s="195"/>
      <c r="B7375" s="194"/>
      <c r="C7375" s="194"/>
      <c r="D7375" s="192"/>
    </row>
    <row r="7376" spans="1:4" ht="12.5">
      <c r="A7376" s="195"/>
      <c r="B7376" s="194"/>
      <c r="C7376" s="194"/>
      <c r="D7376" s="192"/>
    </row>
    <row r="7377" spans="1:4" ht="12.5">
      <c r="A7377" s="195"/>
      <c r="B7377" s="194"/>
      <c r="C7377" s="194"/>
      <c r="D7377" s="192"/>
    </row>
    <row r="7378" spans="1:4" ht="12.5">
      <c r="A7378" s="195"/>
      <c r="B7378" s="194"/>
      <c r="C7378" s="194"/>
      <c r="D7378" s="192"/>
    </row>
    <row r="7379" spans="1:4" ht="12.5">
      <c r="A7379" s="195"/>
      <c r="B7379" s="194"/>
      <c r="C7379" s="194"/>
      <c r="D7379" s="192"/>
    </row>
    <row r="7380" spans="1:4" ht="12.5">
      <c r="A7380" s="195"/>
      <c r="B7380" s="194"/>
      <c r="C7380" s="194"/>
      <c r="D7380" s="192"/>
    </row>
    <row r="7381" spans="1:4" ht="12.5">
      <c r="A7381" s="195"/>
      <c r="B7381" s="194"/>
      <c r="C7381" s="194"/>
      <c r="D7381" s="192"/>
    </row>
    <row r="7382" spans="1:4" ht="12.5">
      <c r="A7382" s="195"/>
      <c r="B7382" s="194"/>
      <c r="C7382" s="194"/>
      <c r="D7382" s="192"/>
    </row>
    <row r="7383" spans="1:4" ht="12.5">
      <c r="A7383" s="195"/>
      <c r="B7383" s="194"/>
      <c r="C7383" s="194"/>
      <c r="D7383" s="192"/>
    </row>
    <row r="7384" spans="1:4" ht="12.5">
      <c r="A7384" s="195"/>
      <c r="B7384" s="194"/>
      <c r="C7384" s="194"/>
      <c r="D7384" s="192"/>
    </row>
    <row r="7385" spans="1:4" ht="12.5">
      <c r="A7385" s="195"/>
      <c r="B7385" s="194"/>
      <c r="C7385" s="194"/>
      <c r="D7385" s="192"/>
    </row>
    <row r="7386" spans="1:4" ht="12.5">
      <c r="A7386" s="195"/>
      <c r="B7386" s="194"/>
      <c r="C7386" s="194"/>
      <c r="D7386" s="192"/>
    </row>
    <row r="7387" spans="1:4" ht="12.5">
      <c r="A7387" s="195"/>
      <c r="B7387" s="194"/>
      <c r="C7387" s="194"/>
      <c r="D7387" s="192"/>
    </row>
    <row r="7388" spans="1:4" ht="12.5">
      <c r="A7388" s="195"/>
      <c r="B7388" s="194"/>
      <c r="C7388" s="194"/>
      <c r="D7388" s="192"/>
    </row>
    <row r="7389" spans="1:4" ht="12.5">
      <c r="A7389" s="195"/>
      <c r="B7389" s="194"/>
      <c r="C7389" s="194"/>
      <c r="D7389" s="192"/>
    </row>
    <row r="7390" spans="1:4" ht="12.5">
      <c r="A7390" s="195"/>
      <c r="B7390" s="194"/>
      <c r="C7390" s="194"/>
      <c r="D7390" s="192"/>
    </row>
    <row r="7391" spans="1:4" ht="12.5">
      <c r="A7391" s="195"/>
      <c r="B7391" s="194"/>
      <c r="C7391" s="194"/>
      <c r="D7391" s="192"/>
    </row>
    <row r="7392" spans="1:4" ht="12.5">
      <c r="A7392" s="195"/>
      <c r="B7392" s="194"/>
      <c r="C7392" s="194"/>
      <c r="D7392" s="192"/>
    </row>
    <row r="7393" spans="1:4" ht="12.5">
      <c r="A7393" s="195"/>
      <c r="B7393" s="194"/>
      <c r="C7393" s="194"/>
      <c r="D7393" s="192"/>
    </row>
    <row r="7394" spans="1:4" ht="12.5">
      <c r="A7394" s="195"/>
      <c r="B7394" s="194"/>
      <c r="C7394" s="194"/>
      <c r="D7394" s="192"/>
    </row>
    <row r="7395" spans="1:4" ht="12.5">
      <c r="A7395" s="195"/>
      <c r="B7395" s="194"/>
      <c r="C7395" s="194"/>
      <c r="D7395" s="192"/>
    </row>
    <row r="7396" spans="1:4" ht="12.5">
      <c r="A7396" s="195"/>
      <c r="B7396" s="194"/>
      <c r="C7396" s="194"/>
      <c r="D7396" s="192"/>
    </row>
    <row r="7397" spans="1:4" ht="12.5">
      <c r="A7397" s="195"/>
      <c r="B7397" s="194"/>
      <c r="C7397" s="194"/>
      <c r="D7397" s="192"/>
    </row>
    <row r="7398" spans="1:4" ht="12.5">
      <c r="A7398" s="195"/>
      <c r="B7398" s="194"/>
      <c r="C7398" s="194"/>
      <c r="D7398" s="192"/>
    </row>
    <row r="7399" spans="1:4" ht="12.5">
      <c r="A7399" s="195"/>
      <c r="B7399" s="194"/>
      <c r="C7399" s="194"/>
      <c r="D7399" s="192"/>
    </row>
    <row r="7400" spans="1:4" ht="12.5">
      <c r="A7400" s="195"/>
      <c r="B7400" s="194"/>
      <c r="C7400" s="194"/>
      <c r="D7400" s="192"/>
    </row>
    <row r="7401" spans="1:4" ht="12.5">
      <c r="A7401" s="195"/>
      <c r="B7401" s="194"/>
      <c r="C7401" s="194"/>
      <c r="D7401" s="192"/>
    </row>
    <row r="7402" spans="1:4" ht="12.5">
      <c r="A7402" s="195"/>
      <c r="B7402" s="194"/>
      <c r="C7402" s="194"/>
      <c r="D7402" s="192"/>
    </row>
    <row r="7403" spans="1:4" ht="12.5">
      <c r="A7403" s="195"/>
      <c r="B7403" s="194"/>
      <c r="C7403" s="194"/>
      <c r="D7403" s="192"/>
    </row>
    <row r="7404" spans="1:4" ht="12.5">
      <c r="A7404" s="195"/>
      <c r="B7404" s="194"/>
      <c r="C7404" s="194"/>
      <c r="D7404" s="192"/>
    </row>
    <row r="7405" spans="1:4" ht="12.5">
      <c r="A7405" s="195"/>
      <c r="B7405" s="194"/>
      <c r="C7405" s="194"/>
      <c r="D7405" s="192"/>
    </row>
    <row r="7406" spans="1:4" ht="12.5">
      <c r="A7406" s="195"/>
      <c r="B7406" s="194"/>
      <c r="C7406" s="194"/>
      <c r="D7406" s="192"/>
    </row>
    <row r="7407" spans="1:4" ht="12.5">
      <c r="A7407" s="195"/>
      <c r="B7407" s="194"/>
      <c r="C7407" s="194"/>
      <c r="D7407" s="192"/>
    </row>
    <row r="7408" spans="1:4" ht="12.5">
      <c r="A7408" s="195"/>
      <c r="B7408" s="194"/>
      <c r="C7408" s="194"/>
      <c r="D7408" s="192"/>
    </row>
    <row r="7409" spans="1:4" ht="12.5">
      <c r="A7409" s="195"/>
      <c r="B7409" s="194"/>
      <c r="C7409" s="194"/>
      <c r="D7409" s="192"/>
    </row>
    <row r="7410" spans="1:4" ht="12.5">
      <c r="A7410" s="195"/>
      <c r="B7410" s="194"/>
      <c r="C7410" s="194"/>
      <c r="D7410" s="192"/>
    </row>
    <row r="7411" spans="1:4" ht="12.5">
      <c r="A7411" s="195"/>
      <c r="B7411" s="194"/>
      <c r="C7411" s="194"/>
      <c r="D7411" s="192"/>
    </row>
    <row r="7412" spans="1:4" ht="12.5">
      <c r="A7412" s="195"/>
      <c r="B7412" s="194"/>
      <c r="C7412" s="194"/>
      <c r="D7412" s="192"/>
    </row>
    <row r="7413" spans="1:4" ht="12.5">
      <c r="A7413" s="195"/>
      <c r="B7413" s="194"/>
      <c r="C7413" s="194"/>
      <c r="D7413" s="192"/>
    </row>
    <row r="7414" spans="1:4" ht="12.5">
      <c r="A7414" s="195"/>
      <c r="B7414" s="194"/>
      <c r="C7414" s="194"/>
      <c r="D7414" s="192"/>
    </row>
    <row r="7415" spans="1:4" ht="12.5">
      <c r="A7415" s="195"/>
      <c r="B7415" s="194"/>
      <c r="C7415" s="194"/>
      <c r="D7415" s="192"/>
    </row>
    <row r="7416" spans="1:4" ht="12.5">
      <c r="A7416" s="195"/>
      <c r="B7416" s="194"/>
      <c r="C7416" s="194"/>
      <c r="D7416" s="192"/>
    </row>
    <row r="7417" spans="1:4" ht="12.5">
      <c r="A7417" s="195"/>
      <c r="B7417" s="194"/>
      <c r="C7417" s="194"/>
      <c r="D7417" s="192"/>
    </row>
    <row r="7418" spans="1:4" ht="12.5">
      <c r="A7418" s="195"/>
      <c r="B7418" s="194"/>
      <c r="C7418" s="194"/>
      <c r="D7418" s="192"/>
    </row>
    <row r="7419" spans="1:4" ht="12.5">
      <c r="A7419" s="195"/>
      <c r="B7419" s="194"/>
      <c r="C7419" s="194"/>
      <c r="D7419" s="192"/>
    </row>
    <row r="7420" spans="1:4" ht="12.5">
      <c r="A7420" s="195"/>
      <c r="B7420" s="194"/>
      <c r="C7420" s="194"/>
      <c r="D7420" s="192"/>
    </row>
    <row r="7421" spans="1:4" ht="12.5">
      <c r="A7421" s="195"/>
      <c r="B7421" s="194"/>
      <c r="C7421" s="194"/>
      <c r="D7421" s="192"/>
    </row>
    <row r="7422" spans="1:4" ht="12.5">
      <c r="A7422" s="195"/>
      <c r="B7422" s="194"/>
      <c r="C7422" s="194"/>
      <c r="D7422" s="192"/>
    </row>
    <row r="7423" spans="1:4" ht="12.5">
      <c r="A7423" s="195"/>
      <c r="B7423" s="194"/>
      <c r="C7423" s="194"/>
      <c r="D7423" s="192"/>
    </row>
    <row r="7424" spans="1:4" ht="12.5">
      <c r="A7424" s="195"/>
      <c r="B7424" s="194"/>
      <c r="C7424" s="194"/>
      <c r="D7424" s="192"/>
    </row>
    <row r="7425" spans="1:4" ht="12.5">
      <c r="A7425" s="195"/>
      <c r="B7425" s="194"/>
      <c r="C7425" s="194"/>
      <c r="D7425" s="192"/>
    </row>
    <row r="7426" spans="1:4" ht="12.5">
      <c r="A7426" s="195"/>
      <c r="B7426" s="194"/>
      <c r="C7426" s="194"/>
      <c r="D7426" s="192"/>
    </row>
    <row r="7427" spans="1:4" ht="12.5">
      <c r="A7427" s="195"/>
      <c r="B7427" s="194"/>
      <c r="C7427" s="194"/>
      <c r="D7427" s="192"/>
    </row>
    <row r="7428" spans="1:4" ht="12.5">
      <c r="A7428" s="195"/>
      <c r="B7428" s="194"/>
      <c r="C7428" s="194"/>
      <c r="D7428" s="192"/>
    </row>
    <row r="7429" spans="1:4" ht="12.5">
      <c r="A7429" s="195"/>
      <c r="B7429" s="194"/>
      <c r="C7429" s="194"/>
      <c r="D7429" s="192"/>
    </row>
    <row r="7430" spans="1:4" ht="12.5">
      <c r="A7430" s="195"/>
      <c r="B7430" s="194"/>
      <c r="C7430" s="194"/>
      <c r="D7430" s="192"/>
    </row>
    <row r="7431" spans="1:4" ht="12.5">
      <c r="A7431" s="195"/>
      <c r="B7431" s="194"/>
      <c r="C7431" s="194"/>
      <c r="D7431" s="192"/>
    </row>
    <row r="7432" spans="1:4" ht="12.5">
      <c r="A7432" s="195"/>
      <c r="B7432" s="194"/>
      <c r="C7432" s="194"/>
      <c r="D7432" s="192"/>
    </row>
    <row r="7433" spans="1:4" ht="12.5">
      <c r="A7433" s="195"/>
      <c r="B7433" s="194"/>
      <c r="C7433" s="194"/>
      <c r="D7433" s="192"/>
    </row>
    <row r="7434" spans="1:4" ht="12.5">
      <c r="A7434" s="195"/>
      <c r="B7434" s="194"/>
      <c r="C7434" s="194"/>
      <c r="D7434" s="192"/>
    </row>
    <row r="7435" spans="1:4" ht="12.5">
      <c r="A7435" s="195"/>
      <c r="B7435" s="194"/>
      <c r="C7435" s="194"/>
      <c r="D7435" s="192"/>
    </row>
    <row r="7436" spans="1:4" ht="12.5">
      <c r="A7436" s="195"/>
      <c r="B7436" s="194"/>
      <c r="C7436" s="194"/>
      <c r="D7436" s="192"/>
    </row>
    <row r="7437" spans="1:4" ht="12.5">
      <c r="A7437" s="195"/>
      <c r="B7437" s="194"/>
      <c r="C7437" s="194"/>
      <c r="D7437" s="192"/>
    </row>
    <row r="7438" spans="1:4" ht="12.5">
      <c r="A7438" s="195"/>
      <c r="B7438" s="194"/>
      <c r="C7438" s="194"/>
      <c r="D7438" s="192"/>
    </row>
    <row r="7439" spans="1:4" ht="12.5">
      <c r="A7439" s="195"/>
      <c r="B7439" s="194"/>
      <c r="C7439" s="194"/>
      <c r="D7439" s="192"/>
    </row>
    <row r="7440" spans="1:4" ht="12.5">
      <c r="A7440" s="195"/>
      <c r="B7440" s="194"/>
      <c r="C7440" s="194"/>
      <c r="D7440" s="192"/>
    </row>
    <row r="7441" spans="1:4" ht="12.5">
      <c r="A7441" s="195"/>
      <c r="B7441" s="194"/>
      <c r="C7441" s="194"/>
      <c r="D7441" s="192"/>
    </row>
    <row r="7442" spans="1:4" ht="12.5">
      <c r="A7442" s="195"/>
      <c r="B7442" s="194"/>
      <c r="C7442" s="194"/>
      <c r="D7442" s="192"/>
    </row>
    <row r="7443" spans="1:4" ht="12.5">
      <c r="A7443" s="195"/>
      <c r="B7443" s="194"/>
      <c r="C7443" s="194"/>
      <c r="D7443" s="192"/>
    </row>
    <row r="7444" spans="1:4" ht="12.5">
      <c r="A7444" s="195"/>
      <c r="B7444" s="194"/>
      <c r="C7444" s="194"/>
      <c r="D7444" s="192"/>
    </row>
    <row r="7445" spans="1:4" ht="12.5">
      <c r="A7445" s="195"/>
      <c r="B7445" s="194"/>
      <c r="C7445" s="194"/>
      <c r="D7445" s="192"/>
    </row>
    <row r="7446" spans="1:4" ht="12.5">
      <c r="A7446" s="195"/>
      <c r="B7446" s="194"/>
      <c r="C7446" s="194"/>
      <c r="D7446" s="192"/>
    </row>
    <row r="7447" spans="1:4" ht="12.5">
      <c r="A7447" s="195"/>
      <c r="B7447" s="194"/>
      <c r="C7447" s="194"/>
      <c r="D7447" s="192"/>
    </row>
    <row r="7448" spans="1:4" ht="12.5">
      <c r="A7448" s="195"/>
      <c r="B7448" s="194"/>
      <c r="C7448" s="194"/>
      <c r="D7448" s="192"/>
    </row>
    <row r="7449" spans="1:4" ht="12.5">
      <c r="A7449" s="195"/>
      <c r="B7449" s="194"/>
      <c r="C7449" s="194"/>
      <c r="D7449" s="192"/>
    </row>
    <row r="7450" spans="1:4" ht="12.5">
      <c r="A7450" s="195"/>
      <c r="B7450" s="194"/>
      <c r="C7450" s="194"/>
      <c r="D7450" s="192"/>
    </row>
    <row r="7451" spans="1:4" ht="12.5">
      <c r="A7451" s="195"/>
      <c r="B7451" s="194"/>
      <c r="C7451" s="194"/>
      <c r="D7451" s="192"/>
    </row>
    <row r="7452" spans="1:4" ht="12.5">
      <c r="A7452" s="195"/>
      <c r="B7452" s="194"/>
      <c r="C7452" s="194"/>
      <c r="D7452" s="192"/>
    </row>
    <row r="7453" spans="1:4" ht="12.5">
      <c r="A7453" s="195"/>
      <c r="B7453" s="194"/>
      <c r="C7453" s="194"/>
      <c r="D7453" s="192"/>
    </row>
    <row r="7454" spans="1:4" ht="12.5">
      <c r="A7454" s="195"/>
      <c r="B7454" s="194"/>
      <c r="C7454" s="194"/>
      <c r="D7454" s="192"/>
    </row>
    <row r="7455" spans="1:4" ht="12.5">
      <c r="A7455" s="195"/>
      <c r="B7455" s="194"/>
      <c r="C7455" s="194"/>
      <c r="D7455" s="192"/>
    </row>
    <row r="7456" spans="1:4" ht="12.5">
      <c r="A7456" s="195"/>
      <c r="B7456" s="194"/>
      <c r="C7456" s="194"/>
      <c r="D7456" s="192"/>
    </row>
    <row r="7457" spans="1:4" ht="12.5">
      <c r="A7457" s="195"/>
      <c r="B7457" s="194"/>
      <c r="C7457" s="194"/>
      <c r="D7457" s="192"/>
    </row>
    <row r="7458" spans="1:4" ht="12.5">
      <c r="A7458" s="195"/>
      <c r="B7458" s="194"/>
      <c r="C7458" s="194"/>
      <c r="D7458" s="192"/>
    </row>
    <row r="7459" spans="1:4" ht="12.5">
      <c r="A7459" s="195"/>
      <c r="B7459" s="194"/>
      <c r="C7459" s="194"/>
      <c r="D7459" s="192"/>
    </row>
    <row r="7460" spans="1:4" ht="12.5">
      <c r="A7460" s="195"/>
      <c r="B7460" s="194"/>
      <c r="C7460" s="194"/>
      <c r="D7460" s="192"/>
    </row>
    <row r="7461" spans="1:4" ht="12.5">
      <c r="A7461" s="195"/>
      <c r="B7461" s="194"/>
      <c r="C7461" s="194"/>
      <c r="D7461" s="192"/>
    </row>
    <row r="7462" spans="1:4" ht="12.5">
      <c r="A7462" s="195"/>
      <c r="B7462" s="194"/>
      <c r="C7462" s="194"/>
      <c r="D7462" s="192"/>
    </row>
    <row r="7463" spans="1:4" ht="12.5">
      <c r="A7463" s="195"/>
      <c r="B7463" s="194"/>
      <c r="C7463" s="194"/>
      <c r="D7463" s="192"/>
    </row>
    <row r="7464" spans="1:4" ht="12.5">
      <c r="A7464" s="195"/>
      <c r="B7464" s="194"/>
      <c r="C7464" s="194"/>
      <c r="D7464" s="192"/>
    </row>
    <row r="7465" spans="1:4" ht="12.5">
      <c r="A7465" s="195"/>
      <c r="B7465" s="194"/>
      <c r="C7465" s="194"/>
      <c r="D7465" s="192"/>
    </row>
    <row r="7466" spans="1:4" ht="12.5">
      <c r="A7466" s="195"/>
      <c r="B7466" s="194"/>
      <c r="C7466" s="194"/>
      <c r="D7466" s="192"/>
    </row>
    <row r="7467" spans="1:4" ht="12.5">
      <c r="A7467" s="195"/>
      <c r="B7467" s="194"/>
      <c r="C7467" s="194"/>
      <c r="D7467" s="192"/>
    </row>
    <row r="7468" spans="1:4" ht="12.5">
      <c r="A7468" s="195"/>
      <c r="B7468" s="194"/>
      <c r="C7468" s="194"/>
      <c r="D7468" s="192"/>
    </row>
    <row r="7469" spans="1:4" ht="12.5">
      <c r="A7469" s="195"/>
      <c r="B7469" s="194"/>
      <c r="C7469" s="194"/>
      <c r="D7469" s="192"/>
    </row>
    <row r="7470" spans="1:4" ht="12.5">
      <c r="A7470" s="195"/>
      <c r="B7470" s="194"/>
      <c r="C7470" s="194"/>
      <c r="D7470" s="192"/>
    </row>
    <row r="7471" spans="1:4" ht="12.5">
      <c r="A7471" s="195"/>
      <c r="B7471" s="194"/>
      <c r="C7471" s="194"/>
      <c r="D7471" s="192"/>
    </row>
    <row r="7472" spans="1:4" ht="12.5">
      <c r="A7472" s="195"/>
      <c r="B7472" s="194"/>
      <c r="C7472" s="194"/>
      <c r="D7472" s="192"/>
    </row>
    <row r="7473" spans="1:4" ht="12.5">
      <c r="A7473" s="195"/>
      <c r="B7473" s="194"/>
      <c r="C7473" s="194"/>
      <c r="D7473" s="192"/>
    </row>
    <row r="7474" spans="1:4" ht="12.5">
      <c r="A7474" s="195"/>
      <c r="B7474" s="194"/>
      <c r="C7474" s="194"/>
      <c r="D7474" s="192"/>
    </row>
    <row r="7475" spans="1:4" ht="12.5">
      <c r="A7475" s="195"/>
      <c r="B7475" s="194"/>
      <c r="C7475" s="194"/>
      <c r="D7475" s="192"/>
    </row>
    <row r="7476" spans="1:4" ht="12.5">
      <c r="A7476" s="195"/>
      <c r="B7476" s="194"/>
      <c r="C7476" s="194"/>
      <c r="D7476" s="192"/>
    </row>
    <row r="7477" spans="1:4" ht="12.5">
      <c r="A7477" s="195"/>
      <c r="B7477" s="194"/>
      <c r="C7477" s="194"/>
      <c r="D7477" s="192"/>
    </row>
    <row r="7478" spans="1:4" ht="12.5">
      <c r="A7478" s="195"/>
      <c r="B7478" s="194"/>
      <c r="C7478" s="194"/>
      <c r="D7478" s="192"/>
    </row>
    <row r="7479" spans="1:4" ht="12.5">
      <c r="A7479" s="195"/>
      <c r="B7479" s="194"/>
      <c r="C7479" s="194"/>
      <c r="D7479" s="192"/>
    </row>
    <row r="7480" spans="1:4" ht="12.5">
      <c r="A7480" s="195"/>
      <c r="B7480" s="194"/>
      <c r="C7480" s="194"/>
      <c r="D7480" s="192"/>
    </row>
    <row r="7481" spans="1:4" ht="12.5">
      <c r="A7481" s="195"/>
      <c r="B7481" s="194"/>
      <c r="C7481" s="194"/>
      <c r="D7481" s="192"/>
    </row>
    <row r="7482" spans="1:4" ht="12.5">
      <c r="A7482" s="195"/>
      <c r="B7482" s="194"/>
      <c r="C7482" s="194"/>
      <c r="D7482" s="192"/>
    </row>
    <row r="7483" spans="1:4" ht="12.5">
      <c r="A7483" s="195"/>
      <c r="B7483" s="194"/>
      <c r="C7483" s="194"/>
      <c r="D7483" s="192"/>
    </row>
    <row r="7484" spans="1:4" ht="12.5">
      <c r="A7484" s="195"/>
      <c r="B7484" s="194"/>
      <c r="C7484" s="194"/>
      <c r="D7484" s="192"/>
    </row>
    <row r="7485" spans="1:4" ht="12.5">
      <c r="A7485" s="195"/>
      <c r="B7485" s="194"/>
      <c r="C7485" s="194"/>
      <c r="D7485" s="192"/>
    </row>
    <row r="7486" spans="1:4" ht="12.5">
      <c r="A7486" s="195"/>
      <c r="B7486" s="194"/>
      <c r="C7486" s="194"/>
      <c r="D7486" s="192"/>
    </row>
    <row r="7487" spans="1:4" ht="12.5">
      <c r="A7487" s="195"/>
      <c r="B7487" s="194"/>
      <c r="C7487" s="194"/>
      <c r="D7487" s="192"/>
    </row>
    <row r="7488" spans="1:4" ht="12.5">
      <c r="A7488" s="195"/>
      <c r="B7488" s="194"/>
      <c r="C7488" s="194"/>
      <c r="D7488" s="192"/>
    </row>
    <row r="7489" spans="1:4" ht="12.5">
      <c r="A7489" s="195"/>
      <c r="B7489" s="194"/>
      <c r="C7489" s="194"/>
      <c r="D7489" s="192"/>
    </row>
    <row r="7490" spans="1:4" ht="12.5">
      <c r="A7490" s="195"/>
      <c r="B7490" s="194"/>
      <c r="C7490" s="194"/>
      <c r="D7490" s="192"/>
    </row>
    <row r="7491" spans="1:4" ht="12.5">
      <c r="A7491" s="195"/>
      <c r="B7491" s="194"/>
      <c r="C7491" s="194"/>
      <c r="D7491" s="192"/>
    </row>
    <row r="7492" spans="1:4" ht="12.5">
      <c r="A7492" s="195"/>
      <c r="B7492" s="194"/>
      <c r="C7492" s="194"/>
      <c r="D7492" s="192"/>
    </row>
    <row r="7493" spans="1:4" ht="12.5">
      <c r="A7493" s="195"/>
      <c r="B7493" s="194"/>
      <c r="C7493" s="194"/>
      <c r="D7493" s="192"/>
    </row>
    <row r="7494" spans="1:4" ht="12.5">
      <c r="A7494" s="195"/>
      <c r="B7494" s="194"/>
      <c r="C7494" s="194"/>
      <c r="D7494" s="192"/>
    </row>
    <row r="7495" spans="1:4" ht="12.5">
      <c r="A7495" s="195"/>
      <c r="B7495" s="194"/>
      <c r="C7495" s="194"/>
      <c r="D7495" s="192"/>
    </row>
    <row r="7496" spans="1:4" ht="12.5">
      <c r="A7496" s="195"/>
      <c r="B7496" s="194"/>
      <c r="C7496" s="194"/>
      <c r="D7496" s="192"/>
    </row>
    <row r="7497" spans="1:4" ht="12.5">
      <c r="A7497" s="195"/>
      <c r="B7497" s="194"/>
      <c r="C7497" s="194"/>
      <c r="D7497" s="192"/>
    </row>
    <row r="7498" spans="1:4" ht="12.5">
      <c r="A7498" s="195"/>
      <c r="B7498" s="194"/>
      <c r="C7498" s="194"/>
      <c r="D7498" s="192"/>
    </row>
    <row r="7499" spans="1:4" ht="12.5">
      <c r="A7499" s="195"/>
      <c r="B7499" s="194"/>
      <c r="C7499" s="194"/>
      <c r="D7499" s="192"/>
    </row>
    <row r="7500" spans="1:4" ht="12.5">
      <c r="A7500" s="195"/>
      <c r="B7500" s="194"/>
      <c r="C7500" s="194"/>
      <c r="D7500" s="192"/>
    </row>
    <row r="7501" spans="1:4" ht="12.5">
      <c r="A7501" s="195"/>
      <c r="B7501" s="194"/>
      <c r="C7501" s="194"/>
      <c r="D7501" s="192"/>
    </row>
    <row r="7502" spans="1:4" ht="12.5">
      <c r="A7502" s="195"/>
      <c r="B7502" s="194"/>
      <c r="C7502" s="194"/>
      <c r="D7502" s="192"/>
    </row>
    <row r="7503" spans="1:4" ht="12.5">
      <c r="A7503" s="195"/>
      <c r="B7503" s="194"/>
      <c r="C7503" s="194"/>
      <c r="D7503" s="192"/>
    </row>
    <row r="7504" spans="1:4" ht="12.5">
      <c r="A7504" s="195"/>
      <c r="B7504" s="194"/>
      <c r="C7504" s="194"/>
      <c r="D7504" s="192"/>
    </row>
    <row r="7505" spans="1:4" ht="12.5">
      <c r="A7505" s="195"/>
      <c r="B7505" s="194"/>
      <c r="C7505" s="194"/>
      <c r="D7505" s="192"/>
    </row>
    <row r="7506" spans="1:4" ht="12.5">
      <c r="A7506" s="195"/>
      <c r="B7506" s="194"/>
      <c r="C7506" s="194"/>
      <c r="D7506" s="192"/>
    </row>
    <row r="7507" spans="1:4" ht="12.5">
      <c r="A7507" s="195"/>
      <c r="B7507" s="194"/>
      <c r="C7507" s="194"/>
      <c r="D7507" s="192"/>
    </row>
    <row r="7508" spans="1:4" ht="12.5">
      <c r="A7508" s="195"/>
      <c r="B7508" s="194"/>
      <c r="C7508" s="194"/>
      <c r="D7508" s="192"/>
    </row>
    <row r="7509" spans="1:4" ht="12.5">
      <c r="A7509" s="195"/>
      <c r="B7509" s="194"/>
      <c r="C7509" s="194"/>
      <c r="D7509" s="192"/>
    </row>
    <row r="7510" spans="1:4" ht="12.5">
      <c r="A7510" s="195"/>
      <c r="B7510" s="194"/>
      <c r="C7510" s="194"/>
      <c r="D7510" s="192"/>
    </row>
    <row r="7511" spans="1:4" ht="12.5">
      <c r="A7511" s="195"/>
      <c r="B7511" s="194"/>
      <c r="C7511" s="194"/>
      <c r="D7511" s="192"/>
    </row>
    <row r="7512" spans="1:4" ht="12.5">
      <c r="A7512" s="195"/>
      <c r="B7512" s="194"/>
      <c r="C7512" s="194"/>
      <c r="D7512" s="192"/>
    </row>
    <row r="7513" spans="1:4" ht="12.5">
      <c r="A7513" s="195"/>
      <c r="B7513" s="194"/>
      <c r="C7513" s="194"/>
      <c r="D7513" s="192"/>
    </row>
    <row r="7514" spans="1:4" ht="12.5">
      <c r="A7514" s="195"/>
      <c r="B7514" s="194"/>
      <c r="C7514" s="194"/>
      <c r="D7514" s="192"/>
    </row>
    <row r="7515" spans="1:4" ht="12.5">
      <c r="A7515" s="195"/>
      <c r="B7515" s="194"/>
      <c r="C7515" s="194"/>
      <c r="D7515" s="192"/>
    </row>
    <row r="7516" spans="1:4" ht="12.5">
      <c r="A7516" s="195"/>
      <c r="B7516" s="194"/>
      <c r="C7516" s="194"/>
      <c r="D7516" s="192"/>
    </row>
    <row r="7517" spans="1:4" ht="12.5">
      <c r="A7517" s="195"/>
      <c r="B7517" s="194"/>
      <c r="C7517" s="194"/>
      <c r="D7517" s="192"/>
    </row>
    <row r="7518" spans="1:4" ht="12.5">
      <c r="A7518" s="195"/>
      <c r="B7518" s="194"/>
      <c r="C7518" s="194"/>
      <c r="D7518" s="192"/>
    </row>
    <row r="7519" spans="1:4" ht="12.5">
      <c r="A7519" s="195"/>
      <c r="B7519" s="194"/>
      <c r="C7519" s="194"/>
      <c r="D7519" s="192"/>
    </row>
    <row r="7520" spans="1:4" ht="12.5">
      <c r="A7520" s="195"/>
      <c r="B7520" s="194"/>
      <c r="C7520" s="194"/>
      <c r="D7520" s="192"/>
    </row>
    <row r="7521" spans="1:4" ht="12.5">
      <c r="A7521" s="195"/>
      <c r="B7521" s="194"/>
      <c r="C7521" s="194"/>
      <c r="D7521" s="192"/>
    </row>
    <row r="7522" spans="1:4" ht="12.5">
      <c r="A7522" s="195"/>
      <c r="B7522" s="194"/>
      <c r="C7522" s="194"/>
      <c r="D7522" s="192"/>
    </row>
    <row r="7523" spans="1:4" ht="12.5">
      <c r="A7523" s="195"/>
      <c r="B7523" s="194"/>
      <c r="C7523" s="194"/>
      <c r="D7523" s="192"/>
    </row>
    <row r="7524" spans="1:4" ht="12.5">
      <c r="A7524" s="195"/>
      <c r="B7524" s="194"/>
      <c r="C7524" s="194"/>
      <c r="D7524" s="192"/>
    </row>
    <row r="7525" spans="1:4" ht="12.5">
      <c r="A7525" s="195"/>
      <c r="B7525" s="194"/>
      <c r="C7525" s="194"/>
      <c r="D7525" s="192"/>
    </row>
    <row r="7526" spans="1:4" ht="12.5">
      <c r="A7526" s="195"/>
      <c r="B7526" s="194"/>
      <c r="C7526" s="194"/>
      <c r="D7526" s="192"/>
    </row>
    <row r="7527" spans="1:4" ht="12.5">
      <c r="A7527" s="195"/>
      <c r="B7527" s="194"/>
      <c r="C7527" s="194"/>
      <c r="D7527" s="192"/>
    </row>
    <row r="7528" spans="1:4" ht="12.5">
      <c r="A7528" s="195"/>
      <c r="B7528" s="194"/>
      <c r="C7528" s="194"/>
      <c r="D7528" s="192"/>
    </row>
    <row r="7529" spans="1:4" ht="12.5">
      <c r="A7529" s="195"/>
      <c r="B7529" s="194"/>
      <c r="C7529" s="194"/>
      <c r="D7529" s="192"/>
    </row>
    <row r="7530" spans="1:4" ht="12.5">
      <c r="A7530" s="195"/>
      <c r="B7530" s="194"/>
      <c r="C7530" s="194"/>
      <c r="D7530" s="192"/>
    </row>
    <row r="7531" spans="1:4" ht="12.5">
      <c r="A7531" s="195"/>
      <c r="B7531" s="194"/>
      <c r="C7531" s="194"/>
      <c r="D7531" s="192"/>
    </row>
    <row r="7532" spans="1:4" ht="12.5">
      <c r="A7532" s="195"/>
      <c r="B7532" s="194"/>
      <c r="C7532" s="194"/>
      <c r="D7532" s="192"/>
    </row>
    <row r="7533" spans="1:4" ht="12.5">
      <c r="A7533" s="195"/>
      <c r="B7533" s="194"/>
      <c r="C7533" s="194"/>
      <c r="D7533" s="192"/>
    </row>
    <row r="7534" spans="1:4" ht="12.5">
      <c r="A7534" s="195"/>
      <c r="B7534" s="194"/>
      <c r="C7534" s="194"/>
      <c r="D7534" s="192"/>
    </row>
    <row r="7535" spans="1:4" ht="12.5">
      <c r="A7535" s="195"/>
      <c r="B7535" s="194"/>
      <c r="C7535" s="194"/>
      <c r="D7535" s="192"/>
    </row>
    <row r="7536" spans="1:4" ht="12.5">
      <c r="A7536" s="195"/>
      <c r="B7536" s="194"/>
      <c r="C7536" s="194"/>
      <c r="D7536" s="192"/>
    </row>
    <row r="7537" spans="1:4" ht="12.5">
      <c r="A7537" s="195"/>
      <c r="B7537" s="194"/>
      <c r="C7537" s="194"/>
      <c r="D7537" s="192"/>
    </row>
    <row r="7538" spans="1:4" ht="12.5">
      <c r="A7538" s="195"/>
      <c r="B7538" s="194"/>
      <c r="C7538" s="194"/>
      <c r="D7538" s="192"/>
    </row>
    <row r="7539" spans="1:4" ht="12.5">
      <c r="A7539" s="195"/>
      <c r="B7539" s="194"/>
      <c r="C7539" s="194"/>
      <c r="D7539" s="192"/>
    </row>
    <row r="7540" spans="1:4" ht="12.5">
      <c r="A7540" s="195"/>
      <c r="B7540" s="194"/>
      <c r="C7540" s="194"/>
      <c r="D7540" s="192"/>
    </row>
    <row r="7541" spans="1:4" ht="12.5">
      <c r="A7541" s="195"/>
      <c r="B7541" s="194"/>
      <c r="C7541" s="194"/>
      <c r="D7541" s="192"/>
    </row>
    <row r="7542" spans="1:4" ht="12.5">
      <c r="A7542" s="195"/>
      <c r="B7542" s="194"/>
      <c r="C7542" s="194"/>
      <c r="D7542" s="192"/>
    </row>
    <row r="7543" spans="1:4" ht="12.5">
      <c r="A7543" s="195"/>
      <c r="B7543" s="194"/>
      <c r="C7543" s="194"/>
      <c r="D7543" s="192"/>
    </row>
    <row r="7544" spans="1:4" ht="12.5">
      <c r="A7544" s="195"/>
      <c r="B7544" s="194"/>
      <c r="C7544" s="194"/>
      <c r="D7544" s="192"/>
    </row>
    <row r="7545" spans="1:4" ht="12.5">
      <c r="A7545" s="195"/>
      <c r="B7545" s="194"/>
      <c r="C7545" s="194"/>
      <c r="D7545" s="192"/>
    </row>
    <row r="7546" spans="1:4" ht="12.5">
      <c r="A7546" s="195"/>
      <c r="B7546" s="194"/>
      <c r="C7546" s="194"/>
      <c r="D7546" s="192"/>
    </row>
    <row r="7547" spans="1:4" ht="12.5">
      <c r="A7547" s="195"/>
      <c r="B7547" s="194"/>
      <c r="C7547" s="194"/>
      <c r="D7547" s="192"/>
    </row>
    <row r="7548" spans="1:4" ht="12.5">
      <c r="A7548" s="195"/>
      <c r="B7548" s="194"/>
      <c r="C7548" s="194"/>
      <c r="D7548" s="192"/>
    </row>
    <row r="7549" spans="1:4" ht="12.5">
      <c r="A7549" s="195"/>
      <c r="B7549" s="194"/>
      <c r="C7549" s="194"/>
      <c r="D7549" s="192"/>
    </row>
    <row r="7550" spans="1:4" ht="12.5">
      <c r="A7550" s="195"/>
      <c r="B7550" s="194"/>
      <c r="C7550" s="194"/>
      <c r="D7550" s="192"/>
    </row>
    <row r="7551" spans="1:4" ht="12.5">
      <c r="A7551" s="195"/>
      <c r="B7551" s="194"/>
      <c r="C7551" s="194"/>
      <c r="D7551" s="192"/>
    </row>
    <row r="7552" spans="1:4" ht="12.5">
      <c r="A7552" s="195"/>
      <c r="B7552" s="194"/>
      <c r="C7552" s="194"/>
      <c r="D7552" s="192"/>
    </row>
    <row r="7553" spans="1:4" ht="12.5">
      <c r="A7553" s="195"/>
      <c r="B7553" s="194"/>
      <c r="C7553" s="194"/>
      <c r="D7553" s="192"/>
    </row>
    <row r="7554" spans="1:4" ht="12.5">
      <c r="A7554" s="195"/>
      <c r="B7554" s="194"/>
      <c r="C7554" s="194"/>
      <c r="D7554" s="192"/>
    </row>
    <row r="7555" spans="1:4" ht="12.5">
      <c r="A7555" s="195"/>
      <c r="B7555" s="194"/>
      <c r="C7555" s="194"/>
      <c r="D7555" s="192"/>
    </row>
    <row r="7556" spans="1:4" ht="12.5">
      <c r="A7556" s="195"/>
      <c r="B7556" s="194"/>
      <c r="C7556" s="194"/>
      <c r="D7556" s="192"/>
    </row>
    <row r="7557" spans="1:4" ht="12.5">
      <c r="A7557" s="195"/>
      <c r="B7557" s="194"/>
      <c r="C7557" s="194"/>
      <c r="D7557" s="192"/>
    </row>
    <row r="7558" spans="1:4" ht="12.5">
      <c r="A7558" s="195"/>
      <c r="B7558" s="194"/>
      <c r="C7558" s="194"/>
      <c r="D7558" s="192"/>
    </row>
    <row r="7559" spans="1:4" ht="12.5">
      <c r="A7559" s="195"/>
      <c r="B7559" s="194"/>
      <c r="C7559" s="194"/>
      <c r="D7559" s="192"/>
    </row>
    <row r="7560" spans="1:4" ht="12.5">
      <c r="A7560" s="195"/>
      <c r="B7560" s="194"/>
      <c r="C7560" s="194"/>
      <c r="D7560" s="192"/>
    </row>
    <row r="7561" spans="1:4" ht="12.5">
      <c r="A7561" s="195"/>
      <c r="B7561" s="194"/>
      <c r="C7561" s="194"/>
      <c r="D7561" s="192"/>
    </row>
    <row r="7562" spans="1:4" ht="12.5">
      <c r="A7562" s="195"/>
      <c r="B7562" s="194"/>
      <c r="C7562" s="194"/>
      <c r="D7562" s="192"/>
    </row>
    <row r="7563" spans="1:4" ht="12.5">
      <c r="A7563" s="195"/>
      <c r="B7563" s="194"/>
      <c r="C7563" s="194"/>
      <c r="D7563" s="192"/>
    </row>
    <row r="7564" spans="1:4" ht="12.5">
      <c r="A7564" s="195"/>
      <c r="B7564" s="194"/>
      <c r="C7564" s="194"/>
      <c r="D7564" s="192"/>
    </row>
    <row r="7565" spans="1:4" ht="12.5">
      <c r="A7565" s="195"/>
      <c r="B7565" s="194"/>
      <c r="C7565" s="194"/>
      <c r="D7565" s="192"/>
    </row>
    <row r="7566" spans="1:4" ht="12.5">
      <c r="A7566" s="195"/>
      <c r="B7566" s="194"/>
      <c r="C7566" s="194"/>
      <c r="D7566" s="192"/>
    </row>
    <row r="7567" spans="1:4" ht="12.5">
      <c r="A7567" s="195"/>
      <c r="B7567" s="194"/>
      <c r="C7567" s="194"/>
      <c r="D7567" s="192"/>
    </row>
    <row r="7568" spans="1:4" ht="12.5">
      <c r="A7568" s="195"/>
      <c r="B7568" s="194"/>
      <c r="C7568" s="194"/>
      <c r="D7568" s="192"/>
    </row>
    <row r="7569" spans="1:4" ht="12.5">
      <c r="A7569" s="195"/>
      <c r="B7569" s="194"/>
      <c r="C7569" s="194"/>
      <c r="D7569" s="192"/>
    </row>
    <row r="7570" spans="1:4" ht="12.5">
      <c r="A7570" s="195"/>
      <c r="B7570" s="194"/>
      <c r="C7570" s="194"/>
      <c r="D7570" s="192"/>
    </row>
    <row r="7571" spans="1:4" ht="12.5">
      <c r="A7571" s="195"/>
      <c r="B7571" s="194"/>
      <c r="C7571" s="194"/>
      <c r="D7571" s="192"/>
    </row>
    <row r="7572" spans="1:4" ht="12.5">
      <c r="A7572" s="195"/>
      <c r="B7572" s="194"/>
      <c r="C7572" s="194"/>
      <c r="D7572" s="192"/>
    </row>
    <row r="7573" spans="1:4" ht="12.5">
      <c r="A7573" s="195"/>
      <c r="B7573" s="194"/>
      <c r="C7573" s="194"/>
      <c r="D7573" s="192"/>
    </row>
    <row r="7574" spans="1:4" ht="12.5">
      <c r="A7574" s="195"/>
      <c r="B7574" s="194"/>
      <c r="C7574" s="194"/>
      <c r="D7574" s="192"/>
    </row>
    <row r="7575" spans="1:4" ht="12.5">
      <c r="A7575" s="195"/>
      <c r="B7575" s="194"/>
      <c r="C7575" s="194"/>
      <c r="D7575" s="192"/>
    </row>
    <row r="7576" spans="1:4" ht="12.5">
      <c r="A7576" s="195"/>
      <c r="B7576" s="194"/>
      <c r="C7576" s="194"/>
      <c r="D7576" s="192"/>
    </row>
    <row r="7577" spans="1:4" ht="12.5">
      <c r="A7577" s="195"/>
      <c r="B7577" s="194"/>
      <c r="C7577" s="194"/>
      <c r="D7577" s="192"/>
    </row>
    <row r="7578" spans="1:4" ht="12.5">
      <c r="A7578" s="195"/>
      <c r="B7578" s="194"/>
      <c r="C7578" s="194"/>
      <c r="D7578" s="192"/>
    </row>
    <row r="7579" spans="1:4" ht="12.5">
      <c r="A7579" s="195"/>
      <c r="B7579" s="194"/>
      <c r="C7579" s="194"/>
      <c r="D7579" s="192"/>
    </row>
    <row r="7580" spans="1:4" ht="12.5">
      <c r="A7580" s="195"/>
      <c r="B7580" s="194"/>
      <c r="C7580" s="194"/>
      <c r="D7580" s="192"/>
    </row>
    <row r="7581" spans="1:4" ht="12.5">
      <c r="A7581" s="195"/>
      <c r="B7581" s="194"/>
      <c r="C7581" s="194"/>
      <c r="D7581" s="192"/>
    </row>
    <row r="7582" spans="1:4" ht="12.5">
      <c r="A7582" s="195"/>
      <c r="B7582" s="194"/>
      <c r="C7582" s="194"/>
      <c r="D7582" s="192"/>
    </row>
    <row r="7583" spans="1:4" ht="12.5">
      <c r="A7583" s="195"/>
      <c r="B7583" s="194"/>
      <c r="C7583" s="194"/>
      <c r="D7583" s="192"/>
    </row>
    <row r="7584" spans="1:4" ht="12.5">
      <c r="A7584" s="195"/>
      <c r="B7584" s="194"/>
      <c r="C7584" s="194"/>
      <c r="D7584" s="192"/>
    </row>
    <row r="7585" spans="1:4" ht="12.5">
      <c r="A7585" s="195"/>
      <c r="B7585" s="194"/>
      <c r="C7585" s="194"/>
      <c r="D7585" s="192"/>
    </row>
    <row r="7586" spans="1:4" ht="12.5">
      <c r="A7586" s="195"/>
      <c r="B7586" s="194"/>
      <c r="C7586" s="194"/>
      <c r="D7586" s="192"/>
    </row>
    <row r="7587" spans="1:4" ht="12.5">
      <c r="A7587" s="195"/>
      <c r="B7587" s="194"/>
      <c r="C7587" s="194"/>
      <c r="D7587" s="192"/>
    </row>
    <row r="7588" spans="1:4" ht="12.5">
      <c r="A7588" s="195"/>
      <c r="B7588" s="194"/>
      <c r="C7588" s="194"/>
      <c r="D7588" s="192"/>
    </row>
    <row r="7589" spans="1:4" ht="12.5">
      <c r="A7589" s="195"/>
      <c r="B7589" s="194"/>
      <c r="C7589" s="194"/>
      <c r="D7589" s="192"/>
    </row>
    <row r="7590" spans="1:4" ht="12.5">
      <c r="A7590" s="195"/>
      <c r="B7590" s="194"/>
      <c r="C7590" s="194"/>
      <c r="D7590" s="192"/>
    </row>
    <row r="7591" spans="1:4" ht="12.5">
      <c r="A7591" s="195"/>
      <c r="B7591" s="194"/>
      <c r="C7591" s="194"/>
      <c r="D7591" s="192"/>
    </row>
    <row r="7592" spans="1:4" ht="12.5">
      <c r="A7592" s="195"/>
      <c r="B7592" s="194"/>
      <c r="C7592" s="194"/>
      <c r="D7592" s="192"/>
    </row>
    <row r="7593" spans="1:4" ht="12.5">
      <c r="A7593" s="195"/>
      <c r="B7593" s="194"/>
      <c r="C7593" s="194"/>
      <c r="D7593" s="192"/>
    </row>
    <row r="7594" spans="1:4" ht="12.5">
      <c r="A7594" s="195"/>
      <c r="B7594" s="194"/>
      <c r="C7594" s="194"/>
      <c r="D7594" s="192"/>
    </row>
    <row r="7595" spans="1:4" ht="12.5">
      <c r="A7595" s="195"/>
      <c r="B7595" s="194"/>
      <c r="C7595" s="194"/>
      <c r="D7595" s="192"/>
    </row>
    <row r="7596" spans="1:4" ht="12.5">
      <c r="A7596" s="195"/>
      <c r="B7596" s="194"/>
      <c r="C7596" s="194"/>
      <c r="D7596" s="192"/>
    </row>
    <row r="7597" spans="1:4" ht="12.5">
      <c r="A7597" s="195"/>
      <c r="B7597" s="194"/>
      <c r="C7597" s="194"/>
      <c r="D7597" s="192"/>
    </row>
    <row r="7598" spans="1:4" ht="12.5">
      <c r="A7598" s="195"/>
      <c r="B7598" s="194"/>
      <c r="C7598" s="194"/>
      <c r="D7598" s="192"/>
    </row>
    <row r="7599" spans="1:4" ht="12.5">
      <c r="A7599" s="195"/>
      <c r="B7599" s="194"/>
      <c r="C7599" s="194"/>
      <c r="D7599" s="192"/>
    </row>
    <row r="7600" spans="1:4" ht="12.5">
      <c r="A7600" s="195"/>
      <c r="B7600" s="194"/>
      <c r="C7600" s="194"/>
      <c r="D7600" s="192"/>
    </row>
    <row r="7601" spans="1:4" ht="12.5">
      <c r="A7601" s="195"/>
      <c r="B7601" s="194"/>
      <c r="C7601" s="194"/>
      <c r="D7601" s="192"/>
    </row>
    <row r="7602" spans="1:4" ht="12.5">
      <c r="A7602" s="195"/>
      <c r="B7602" s="194"/>
      <c r="C7602" s="194"/>
      <c r="D7602" s="192"/>
    </row>
    <row r="7603" spans="1:4" ht="12.5">
      <c r="A7603" s="195"/>
      <c r="B7603" s="194"/>
      <c r="C7603" s="194"/>
      <c r="D7603" s="192"/>
    </row>
    <row r="7604" spans="1:4" ht="12.5">
      <c r="A7604" s="195"/>
      <c r="B7604" s="194"/>
      <c r="C7604" s="194"/>
      <c r="D7604" s="192"/>
    </row>
    <row r="7605" spans="1:4" ht="12.5">
      <c r="A7605" s="195"/>
      <c r="B7605" s="194"/>
      <c r="C7605" s="194"/>
      <c r="D7605" s="192"/>
    </row>
    <row r="7606" spans="1:4" ht="12.5">
      <c r="A7606" s="195"/>
      <c r="B7606" s="194"/>
      <c r="C7606" s="194"/>
      <c r="D7606" s="192"/>
    </row>
    <row r="7607" spans="1:4" ht="12.5">
      <c r="A7607" s="195"/>
      <c r="B7607" s="194"/>
      <c r="C7607" s="194"/>
      <c r="D7607" s="192"/>
    </row>
    <row r="7608" spans="1:4" ht="12.5">
      <c r="A7608" s="195"/>
      <c r="B7608" s="194"/>
      <c r="C7608" s="194"/>
      <c r="D7608" s="192"/>
    </row>
    <row r="7609" spans="1:4" ht="12.5">
      <c r="A7609" s="195"/>
      <c r="B7609" s="194"/>
      <c r="C7609" s="194"/>
      <c r="D7609" s="192"/>
    </row>
    <row r="7610" spans="1:4" ht="12.5">
      <c r="A7610" s="195"/>
      <c r="B7610" s="194"/>
      <c r="C7610" s="194"/>
      <c r="D7610" s="192"/>
    </row>
    <row r="7611" spans="1:4" ht="12.5">
      <c r="A7611" s="195"/>
      <c r="B7611" s="194"/>
      <c r="C7611" s="194"/>
      <c r="D7611" s="192"/>
    </row>
    <row r="7612" spans="1:4" ht="12.5">
      <c r="A7612" s="195"/>
      <c r="B7612" s="194"/>
      <c r="C7612" s="194"/>
      <c r="D7612" s="192"/>
    </row>
    <row r="7613" spans="1:4" ht="12.5">
      <c r="A7613" s="195"/>
      <c r="B7613" s="194"/>
      <c r="C7613" s="194"/>
      <c r="D7613" s="192"/>
    </row>
    <row r="7614" spans="1:4" ht="12.5">
      <c r="A7614" s="195"/>
      <c r="B7614" s="194"/>
      <c r="C7614" s="194"/>
      <c r="D7614" s="192"/>
    </row>
    <row r="7615" spans="1:4" ht="12.5">
      <c r="A7615" s="195"/>
      <c r="B7615" s="194"/>
      <c r="C7615" s="194"/>
      <c r="D7615" s="192"/>
    </row>
    <row r="7616" spans="1:4" ht="12.5">
      <c r="A7616" s="195"/>
      <c r="B7616" s="194"/>
      <c r="C7616" s="194"/>
      <c r="D7616" s="192"/>
    </row>
    <row r="7617" spans="1:4" ht="12.5">
      <c r="A7617" s="195"/>
      <c r="B7617" s="194"/>
      <c r="C7617" s="194"/>
      <c r="D7617" s="192"/>
    </row>
    <row r="7618" spans="1:4" ht="12.5">
      <c r="A7618" s="195"/>
      <c r="B7618" s="194"/>
      <c r="C7618" s="194"/>
      <c r="D7618" s="192"/>
    </row>
    <row r="7619" spans="1:4" ht="12.5">
      <c r="A7619" s="195"/>
      <c r="B7619" s="194"/>
      <c r="C7619" s="194"/>
      <c r="D7619" s="192"/>
    </row>
    <row r="7620" spans="1:4" ht="12.5">
      <c r="A7620" s="195"/>
      <c r="B7620" s="194"/>
      <c r="C7620" s="194"/>
      <c r="D7620" s="192"/>
    </row>
    <row r="7621" spans="1:4" ht="12.5">
      <c r="A7621" s="195"/>
      <c r="B7621" s="194"/>
      <c r="C7621" s="194"/>
      <c r="D7621" s="192"/>
    </row>
    <row r="7622" spans="1:4" ht="12.5">
      <c r="A7622" s="195"/>
      <c r="B7622" s="194"/>
      <c r="C7622" s="194"/>
      <c r="D7622" s="192"/>
    </row>
    <row r="7623" spans="1:4" ht="12.5">
      <c r="A7623" s="195"/>
      <c r="B7623" s="194"/>
      <c r="C7623" s="194"/>
      <c r="D7623" s="192"/>
    </row>
    <row r="7624" spans="1:4" ht="12.5">
      <c r="A7624" s="195"/>
      <c r="B7624" s="194"/>
      <c r="C7624" s="194"/>
      <c r="D7624" s="192"/>
    </row>
    <row r="7625" spans="1:4" ht="12.5">
      <c r="A7625" s="195"/>
      <c r="B7625" s="194"/>
      <c r="C7625" s="194"/>
      <c r="D7625" s="192"/>
    </row>
    <row r="7626" spans="1:4" ht="12.5">
      <c r="A7626" s="195"/>
      <c r="B7626" s="194"/>
      <c r="C7626" s="194"/>
      <c r="D7626" s="192"/>
    </row>
    <row r="7627" spans="1:4" ht="12.5">
      <c r="A7627" s="195"/>
      <c r="B7627" s="194"/>
      <c r="C7627" s="194"/>
      <c r="D7627" s="192"/>
    </row>
    <row r="7628" spans="1:4" ht="12.5">
      <c r="A7628" s="195"/>
      <c r="B7628" s="194"/>
      <c r="C7628" s="194"/>
      <c r="D7628" s="192"/>
    </row>
    <row r="7629" spans="1:4" ht="12.5">
      <c r="A7629" s="195"/>
      <c r="B7629" s="194"/>
      <c r="C7629" s="194"/>
      <c r="D7629" s="192"/>
    </row>
    <row r="7630" spans="1:4" ht="12.5">
      <c r="A7630" s="195"/>
      <c r="B7630" s="194"/>
      <c r="C7630" s="194"/>
      <c r="D7630" s="192"/>
    </row>
    <row r="7631" spans="1:4" ht="12.5">
      <c r="A7631" s="195"/>
      <c r="B7631" s="194"/>
      <c r="C7631" s="194"/>
      <c r="D7631" s="192"/>
    </row>
    <row r="7632" spans="1:4" ht="12.5">
      <c r="A7632" s="195"/>
      <c r="B7632" s="194"/>
      <c r="C7632" s="194"/>
      <c r="D7632" s="192"/>
    </row>
    <row r="7633" spans="1:4" ht="12.5">
      <c r="A7633" s="195"/>
      <c r="B7633" s="194"/>
      <c r="C7633" s="194"/>
      <c r="D7633" s="192"/>
    </row>
    <row r="7634" spans="1:4" ht="12.5">
      <c r="A7634" s="195"/>
      <c r="B7634" s="194"/>
      <c r="C7634" s="194"/>
      <c r="D7634" s="192"/>
    </row>
    <row r="7635" spans="1:4" ht="12.5">
      <c r="A7635" s="195"/>
      <c r="B7635" s="194"/>
      <c r="C7635" s="194"/>
      <c r="D7635" s="192"/>
    </row>
    <row r="7636" spans="1:4" ht="12.5">
      <c r="A7636" s="195"/>
      <c r="B7636" s="194"/>
      <c r="C7636" s="194"/>
      <c r="D7636" s="192"/>
    </row>
    <row r="7637" spans="1:4" ht="12.5">
      <c r="A7637" s="195"/>
      <c r="B7637" s="194"/>
      <c r="C7637" s="194"/>
      <c r="D7637" s="192"/>
    </row>
    <row r="7638" spans="1:4" ht="12.5">
      <c r="A7638" s="195"/>
      <c r="B7638" s="194"/>
      <c r="C7638" s="194"/>
      <c r="D7638" s="192"/>
    </row>
    <row r="7639" spans="1:4" ht="12.5">
      <c r="A7639" s="195"/>
      <c r="B7639" s="194"/>
      <c r="C7639" s="194"/>
      <c r="D7639" s="192"/>
    </row>
    <row r="7640" spans="1:4" ht="12.5">
      <c r="A7640" s="195"/>
      <c r="B7640" s="194"/>
      <c r="C7640" s="194"/>
      <c r="D7640" s="192"/>
    </row>
    <row r="7641" spans="1:4" ht="12.5">
      <c r="A7641" s="195"/>
      <c r="B7641" s="194"/>
      <c r="C7641" s="194"/>
      <c r="D7641" s="192"/>
    </row>
    <row r="7642" spans="1:4" ht="12.5">
      <c r="A7642" s="195"/>
      <c r="B7642" s="194"/>
      <c r="C7642" s="194"/>
      <c r="D7642" s="192"/>
    </row>
    <row r="7643" spans="1:4" ht="12.5">
      <c r="A7643" s="195"/>
      <c r="B7643" s="194"/>
      <c r="C7643" s="194"/>
      <c r="D7643" s="192"/>
    </row>
    <row r="7644" spans="1:4" ht="12.5">
      <c r="A7644" s="195"/>
      <c r="B7644" s="194"/>
      <c r="C7644" s="194"/>
      <c r="D7644" s="192"/>
    </row>
    <row r="7645" spans="1:4" ht="12.5">
      <c r="A7645" s="195"/>
      <c r="B7645" s="194"/>
      <c r="C7645" s="194"/>
      <c r="D7645" s="192"/>
    </row>
    <row r="7646" spans="1:4" ht="12.5">
      <c r="A7646" s="195"/>
      <c r="B7646" s="194"/>
      <c r="C7646" s="194"/>
      <c r="D7646" s="192"/>
    </row>
    <row r="7647" spans="1:4" ht="12.5">
      <c r="A7647" s="195"/>
      <c r="B7647" s="194"/>
      <c r="C7647" s="194"/>
      <c r="D7647" s="192"/>
    </row>
    <row r="7648" spans="1:4" ht="12.5">
      <c r="A7648" s="195"/>
      <c r="B7648" s="194"/>
      <c r="C7648" s="194"/>
      <c r="D7648" s="192"/>
    </row>
    <row r="7649" spans="1:4" ht="12.5">
      <c r="A7649" s="195"/>
      <c r="B7649" s="194"/>
      <c r="C7649" s="194"/>
      <c r="D7649" s="192"/>
    </row>
    <row r="7650" spans="1:4" ht="12.5">
      <c r="A7650" s="195"/>
      <c r="B7650" s="194"/>
      <c r="C7650" s="194"/>
      <c r="D7650" s="192"/>
    </row>
    <row r="7651" spans="1:4" ht="12.5">
      <c r="A7651" s="195"/>
      <c r="B7651" s="194"/>
      <c r="C7651" s="194"/>
      <c r="D7651" s="192"/>
    </row>
    <row r="7652" spans="1:4" ht="12.5">
      <c r="A7652" s="195"/>
      <c r="B7652" s="194"/>
      <c r="C7652" s="194"/>
      <c r="D7652" s="192"/>
    </row>
    <row r="7653" spans="1:4" ht="12.5">
      <c r="A7653" s="195"/>
      <c r="B7653" s="194"/>
      <c r="C7653" s="194"/>
      <c r="D7653" s="192"/>
    </row>
    <row r="7654" spans="1:4" ht="12.5">
      <c r="A7654" s="195"/>
      <c r="B7654" s="194"/>
      <c r="C7654" s="194"/>
      <c r="D7654" s="192"/>
    </row>
    <row r="7655" spans="1:4" ht="12.5">
      <c r="A7655" s="195"/>
      <c r="B7655" s="194"/>
      <c r="C7655" s="194"/>
      <c r="D7655" s="192"/>
    </row>
  </sheetData>
  <autoFilter ref="A6661:X7050" xr:uid="{00000000-0009-0000-0000-00000C000000}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MPFBF Metrics</vt:lpstr>
      <vt:lpstr>Inventory View</vt:lpstr>
      <vt:lpstr>Central RCA</vt:lpstr>
      <vt:lpstr>June IBOB</vt:lpstr>
      <vt:lpstr>May IBOB</vt:lpstr>
      <vt:lpstr>&gt;7 days pendency RCA</vt:lpstr>
      <vt:lpstr>IBOB April </vt:lpstr>
      <vt:lpstr>March IBOB Boxes</vt:lpstr>
      <vt:lpstr>Grid plan sheet</vt:lpstr>
      <vt:lpstr>GGN Attainment</vt:lpstr>
      <vt:lpstr>GGN grid view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Partibha .</dc:creator>
  <cp:lastModifiedBy>Partibha .</cp:lastModifiedBy>
  <dcterms:created xsi:type="dcterms:W3CDTF">2026-06-15T06:49:32Z</dcterms:created>
  <dcterms:modified xsi:type="dcterms:W3CDTF">2026-06-15T06:49:32Z</dcterms:modified>
</cp:coreProperties>
</file>